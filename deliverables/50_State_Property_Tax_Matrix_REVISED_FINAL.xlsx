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2440" yWindow="620" windowWidth="22380" windowHeight="22820" tabRatio="600" firstSheet="0" activeTab="0" autoFilterDateGrouping="1"/>
  </bookViews>
  <sheets>
    <sheet xmlns:r="http://schemas.openxmlformats.org/officeDocument/2006/relationships" name="50-state matrix" sheetId="1" state="visible" r:id="rId1"/>
    <sheet xmlns:r="http://schemas.openxmlformats.org/officeDocument/2006/relationships" name="Analyses" sheetId="2" state="visible" r:id="rId2"/>
    <sheet xmlns:r="http://schemas.openxmlformats.org/officeDocument/2006/relationships" name="Sources" sheetId="3" state="visible" r:id="rId3"/>
    <sheet xmlns:r="http://schemas.openxmlformats.org/officeDocument/2006/relationships" name="Effective rates 2010-2024" sheetId="4" state="visible" r:id="rId4"/>
    <sheet xmlns:r="http://schemas.openxmlformats.org/officeDocument/2006/relationships" name="Definitions &amp; caveats" sheetId="5" state="visible" r:id="rId5"/>
    <sheet xmlns:r="http://schemas.openxmlformats.org/officeDocument/2006/relationships" name="Summary" sheetId="6" state="visible" r:id="rId6"/>
    <sheet xmlns:r="http://schemas.openxmlformats.org/officeDocument/2006/relationships" name="Truth-in-Taxation" sheetId="7" state="visible" r:id="rId7"/>
    <sheet xmlns:r="http://schemas.openxmlformats.org/officeDocument/2006/relationships" name="Revision log" sheetId="8" state="visible" r:id="rId8"/>
  </sheets>
  <definedNames/>
  <calcPr calcId="191028" fullCalcOnLoad="1"/>
</workbook>
</file>

<file path=xl/styles.xml><?xml version="1.0" encoding="utf-8"?>
<styleSheet xmlns="http://schemas.openxmlformats.org/spreadsheetml/2006/main">
  <numFmts count="0"/>
  <fonts count="7">
    <font>
      <name val="Carlito"/>
      <sz val="11"/>
    </font>
    <font>
      <name val="Carlito"/>
      <b val="1"/>
      <color rgb="FFFFFFFF"/>
      <sz val="11"/>
    </font>
    <font>
      <name val="Carlito"/>
      <color theme="10"/>
      <sz val="11"/>
      <u val="single"/>
    </font>
    <font>
      <name val="Google Sans"/>
      <charset val="1"/>
      <color rgb="FF000000"/>
      <sz val="12"/>
    </font>
    <font>
      <name val="Carlito"/>
      <color rgb="FF000000"/>
      <sz val="11"/>
    </font>
    <font>
      <name val="Carlito"/>
      <b val="1"/>
      <sz val="11"/>
    </font>
    <font>
      <name val="Carlito"/>
      <color rgb="FF0563C1"/>
      <sz val="11"/>
      <u val="single"/>
    </font>
  </fonts>
  <fills count="7">
    <fill>
      <patternFill/>
    </fill>
    <fill>
      <patternFill patternType="gray125"/>
    </fill>
    <fill>
      <patternFill patternType="solid">
        <fgColor rgb="FF1F4E79"/>
      </patternFill>
    </fill>
    <fill>
      <patternFill patternType="solid">
        <fgColor theme="9" tint="0.7999816888943144"/>
        <bgColor indexed="6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0" fontId="2"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wrapText="1"/>
    </xf>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2" fillId="0" borderId="0" applyAlignment="1" pivotButton="0" quotePrefix="0" xfId="1">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4" fillId="3" borderId="0" applyAlignment="1" pivotButton="0" quotePrefix="0" xfId="0">
      <alignment vertical="top" wrapText="1"/>
    </xf>
    <xf numFmtId="0" fontId="0" fillId="5" borderId="0" applyAlignment="1" pivotButton="0" quotePrefix="0" xfId="0">
      <alignment vertical="top" wrapText="1"/>
    </xf>
    <xf numFmtId="0" fontId="4" fillId="0" borderId="0" applyAlignment="1" pivotButton="0" quotePrefix="0" xfId="0">
      <alignment vertical="top" wrapText="1"/>
    </xf>
    <xf numFmtId="0" fontId="0" fillId="6" borderId="0" applyAlignment="1" pivotButton="0" quotePrefix="0" xfId="0">
      <alignment vertical="top" wrapText="1"/>
    </xf>
    <xf numFmtId="0" fontId="3" fillId="5" borderId="0"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1">
      <alignment vertical="top" wrapText="1"/>
    </xf>
    <xf numFmtId="0" fontId="6" fillId="0" borderId="0" applyAlignment="1" pivotButton="0" quotePrefix="0" xfId="0">
      <alignment vertical="top" wrapText="1"/>
    </xf>
    <xf numFmtId="0" fontId="5" fillId="0" borderId="0" pivotButton="0" quotePrefix="0" xfId="0"/>
    <xf numFmtId="2" fontId="0" fillId="0" borderId="0" pivotButton="0" quotePrefix="0" xfId="0"/>
  </cellXfs>
  <cellStyles count="2">
    <cellStyle name="Normal" xfId="0" builtinId="0"/>
    <cellStyle name="Hyperlink" xfId="1" builtinId="8"/>
  </cellStyles>
  <dxfs count="113">
    <dxf>
      <alignment wrapText="1"/>
    </dxf>
    <dxf>
      <alignment wrapText="1"/>
    </dxf>
    <dxf>
      <fill>
        <patternFill patternType="solid">
          <fgColor indexed="64"/>
          <bgColor theme="0"/>
        </patternFill>
      </fill>
      <alignment horizontal="general" vertical="top" wrapText="1"/>
    </dxf>
    <dxf>
      <alignment wrapText="1"/>
    </dxf>
    <dxf>
      <fill>
        <patternFill patternType="solid">
          <fgColor indexed="64"/>
          <bgColor theme="0"/>
        </patternFill>
      </fill>
      <alignment horizontal="general" vertical="top" wrapText="1"/>
    </dxf>
    <dxf>
      <alignment wrapText="1"/>
    </dxf>
    <dxf>
      <alignment wrapText="1"/>
    </dxf>
    <dxf>
      <fill>
        <patternFill patternType="solid">
          <fgColor indexed="64"/>
          <bgColor theme="0"/>
        </patternFill>
      </fill>
      <alignment horizontal="general" vertical="top" wrapText="1"/>
    </dxf>
    <dxf>
      <alignment wrapText="1"/>
    </dxf>
    <dxf>
      <alignment wrapText="1"/>
    </dxf>
    <dxf>
      <alignment wrapText="1"/>
    </dxf>
    <dxf>
      <alignment wrapText="1"/>
    </dxf>
    <dxf>
      <fill>
        <patternFill patternType="solid">
          <fgColor indexed="64"/>
          <bgColor theme="0"/>
        </patternFill>
      </fill>
      <alignment horizontal="general" vertical="top" wrapText="1"/>
    </dxf>
    <dxf>
      <alignment wrapText="1"/>
    </dxf>
    <dxf>
      <alignment wrapText="1"/>
    </dxf>
    <dxf>
      <alignment wrapText="1"/>
    </dxf>
    <dxf>
      <alignment wrapText="1"/>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fgColor rgb="FFD7E8DE"/>
          <bgColor rgb="FFD7E8DE"/>
        </patternFill>
      </fill>
    </dxf>
    <dxf>
      <fill>
        <patternFill patternType="solid">
          <fgColor rgb="FFF3E2C7"/>
          <bgColor rgb="FFF3E2C7"/>
        </patternFill>
      </fill>
    </dxf>
    <dxf>
      <fill>
        <patternFill patternType="solid">
          <fgColor rgb="FFE9ECEB"/>
          <bgColor rgb="FFE9ECEB"/>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StatePropertyTaxMatrix" displayName="StatePropertyTaxMatrix" ref="A1:X51" headerRowCount="1">
  <autoFilter ref="A1:X51"/>
  <tableColumns count="24">
    <tableColumn id="1" name="State"/>
    <tableColumn id="2" name="Letter grade: did the restrictions keep property taxes down? (points, deductions, reasons)"/>
    <tableColumn id="3" name="Four-regime scorecard (spending · levy · assessment · rate)"/>
    <tableColumn id="4" name="Local spending limit (budgets, appropriations or general revenue)"/>
    <tableColumn id="5" name="Local property tax levy limit (cap on property tax revenue growth)"/>
    <tableColumn id="6" name="Property tax assessment caps (with all exclusions)"/>
    <tableColumn id="7" name="Property tax rate limits (specific rates)"/>
    <tableColumn id="8" name="School districts covered by the limits? (education exclusions)"/>
    <tableColumn id="9" name="A statewide property tax (additional tax or local pass-through?)"/>
    <tableColumn id="10" name="Homestead Exemption (property tax)"/>
    <tableColumn id="11" name="Property tax credits, circuit breakers &amp; rebates (separate from homestead exemptions)"/>
    <tableColumn id="12" name="State subsidies to local governments to reduce property taxes (mechanism)"/>
    <tableColumn id="13" name="Truth-in-taxation laws"/>
    <tableColumn id="14" name="Property tax rollback protections"/>
    <tableColumn id="15" name="Supermajority requirement for local tax increases (thresholds)"/>
    <tableColumn id="16" name="November-ballot requirement for local spending/tax increases"/>
    <tableColumn id="17" name="Statewide restrictions on how localities may spend property tax dollars"/>
    <tableColumn id="18" name="Jurisdictions with property taxing authority"/>
    <tableColumn id="19" name="Has it worked? Short verdict, then loopholes, workarounds and the full record (incl. shifts to sales/income taxes or fees)"/>
    <tableColumn id="20" name="Conservative &amp; free-market analyses (State Policy Network groups, taxpayer groups): links with synopses"/>
    <tableColumn id="21" name="Recent reform efforts (2020–2026) &amp; outcomes"/>
    <tableColumn id="22" name="Tax Foundation 2026 ranking: effective property tax rate on owner-occupied homes (1 = lowest), with the 2010 rate by the same measure"/>
    <tableColumn id="23" name="Notes"/>
    <tableColumn id="24" name="Source URLs"/>
  </tableColumns>
  <tableStyleInfo name="TableStyleMedium2" showFirstColumn="0" showLastColumn="0" showRowStripes="1" showColumnStripes="0"/>
</table>
</file>

<file path=xl/tables/table2.xml><?xml version="1.0" encoding="utf-8"?>
<table xmlns="http://schemas.openxmlformats.org/spreadsheetml/2006/main" id="2" name="FreeMarketAnalyses" displayName="FreeMarketAnalyses" ref="A1:K414" headerRowCount="1">
  <autoFilter ref="A1:K414"/>
  <tableColumns count="11">
    <tableColumn id="1" name="State"/>
    <tableColumn id="2" name="Kind"/>
    <tableColumn id="3" name="Level"/>
    <tableColumn id="4" name="Group"/>
    <tableColumn id="5" name="Author"/>
    <tableColumn id="6" name="Title (click to open)"/>
    <tableColumn id="7" name="Date"/>
    <tableColumn id="8" name="Sort date"/>
    <tableColumn id="9" name="Summary"/>
    <tableColumn id="10" name="Where it appears in the matrix"/>
    <tableColumn id="11" name="URL"/>
  </tableColumns>
  <tableStyleInfo name="TableStyleMedium2" showRowStripes="1"/>
</table>
</file>

<file path=xl/tables/table3.xml><?xml version="1.0" encoding="utf-8"?>
<table xmlns="http://schemas.openxmlformats.org/spreadsheetml/2006/main" id="3" name="SourceLinks" displayName="SourceLinks" ref="A1:G1129" headerRowCount="1">
  <autoFilter ref="A1:G1129"/>
  <tableColumns count="7">
    <tableColumn id="1" name="State"/>
    <tableColumn id="2" name="Type"/>
    <tableColumn id="3" name="Publisher (site)"/>
    <tableColumn id="4" name="Title (click to open)"/>
    <tableColumn id="5" name="Page date"/>
    <tableColumn id="6" name="Also cited for"/>
    <tableColumn id="7" name="URL"/>
  </tableColumns>
  <tableStyleInfo name="TableStyleMedium2" showRowStripes="1"/>
</table>
</file>

<file path=xl/tables/table4.xml><?xml version="1.0" encoding="utf-8"?>
<table xmlns="http://schemas.openxmlformats.org/spreadsheetml/2006/main" id="4" name="EffectiveRates" displayName="EffectiveRates" ref="A1:R52" headerRowCount="1">
  <autoFilter ref="A1:R52"/>
  <tableColumns count="18">
    <tableColumn id="1" name="State"/>
    <tableColumn id="2" name="Tax Foundation 2026 rank (1 = lowest)"/>
    <tableColumn id="3" name="2010 (2006–10 survey)"/>
    <tableColumn id="4" name="2011 (2007–11 survey)"/>
    <tableColumn id="5" name="2012 (2008–12 survey)"/>
    <tableColumn id="6" name="2013 (2009–13 survey)"/>
    <tableColumn id="7" name="2014 (2010–14 survey)"/>
    <tableColumn id="8" name="2015 (2011–15 survey)"/>
    <tableColumn id="9" name="2016 (2012–16 survey)"/>
    <tableColumn id="10" name="2017 (2013–17 survey)"/>
    <tableColumn id="11" name="2018 (2014–18 survey)"/>
    <tableColumn id="12" name="2019 (2015–19 survey)"/>
    <tableColumn id="13" name="2020 (2016–20 survey)"/>
    <tableColumn id="14" name="2021 (2017–21 survey)"/>
    <tableColumn id="15" name="2022 (2018–22 survey)"/>
    <tableColumn id="16" name="2023 (2019–23 survey)"/>
    <tableColumn id="17" name="2024 (2020–24 survey)"/>
    <tableColumn id="18" name="Change 2010–2024 (percentage points)"/>
  </tableColumns>
  <tableStyleInfo name="TableStyleMedium2" showRowStripes="1"/>
</table>
</file>

<file path=xl/tables/table5.xml><?xml version="1.0" encoding="utf-8"?>
<table xmlns="http://schemas.openxmlformats.org/spreadsheetml/2006/main" id="5" name="DefinitionsTable" displayName="DefinitionsTable" ref="A1:B31" headerRowCount="1">
  <autoFilter ref="A1:B31"/>
  <tableColumns count="2">
    <tableColumn id="1" name="Item"/>
    <tableColumn id="2" name="Definition / coding rule"/>
  </tableColumns>
  <tableStyleInfo name="TableStyleMedium2" showRowStripes="1"/>
</table>
</file>

<file path=xl/tables/table6.xml><?xml version="1.0" encoding="utf-8"?>
<table xmlns="http://schemas.openxmlformats.org/spreadsheetml/2006/main" id="6" name="SummaryTable" displayName="SummaryTable" ref="A1:E15" headerRowCount="1">
  <autoFilter ref="A1:E15"/>
  <tableColumns count="5">
    <tableColumn id="1" name="Provision (50 states)"/>
    <tableColumn id="2" name="Yes"/>
    <tableColumn id="3" name="Partial"/>
    <tableColumn id="4" name="No"/>
    <tableColumn id="5" name="Not yet revised"/>
  </tableColumns>
  <tableStyleInfo name="TableStyleMedium2" showRowStripes="1"/>
</table>
</file>

<file path=xl/tables/table7.xml><?xml version="1.0" encoding="utf-8"?>
<table xmlns="http://schemas.openxmlformats.org/spreadsheetml/2006/main" id="7" name="TruthInTaxation" displayName="TruthInTaxation" ref="A1:F51" headerRowCount="1">
  <autoFilter ref="A1:F51"/>
  <tableColumns count="6">
    <tableColumn id="1" name="State"/>
    <tableColumn id="2" name="Truth-in-taxation"/>
    <tableColumn id="3" name="Rollback"/>
    <tableColumn id="4" name="How it works (from the matrix)"/>
    <tableColumn id="5" name="Measured outcomes"/>
    <tableColumn id="6" name="Outcome source"/>
  </tableColumns>
  <tableStyleInfo name="TableStyleMedium2" showRowStripes="1"/>
</table>
</file>

<file path=xl/tables/table8.xml><?xml version="1.0" encoding="utf-8"?>
<table xmlns="http://schemas.openxmlformats.org/spreadsheetml/2006/main" id="8" name="RevisionLog" displayName="RevisionLog" ref="A1:C51" headerRowCount="1">
  <autoFilter ref="A1:C51"/>
  <tableColumns count="3">
    <tableColumn id="1" name="State"/>
    <tableColumn id="2" name="Batch"/>
    <tableColumn id="3" name="What changed from the original matrix"/>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colninst.edu/publications/policy-downloads/understanding-state-property-tax-limits/;%20https:/www.lincolninst.edu/publications/working-papers/state-requirements-under-truth-in-taxation-laws-property-taxes/;%20https:/www.lincolninst.edu/data/significant-features-property-tax/access-database/;%20https:/taxfoundation.org/research/all/state/property-tax-limitation-regimes-primer/" TargetMode="External" Id="rId1"/><Relationship Type="http://schemas.openxmlformats.org/officeDocument/2006/relationships/hyperlink" Target="https://www.lincolninst.edu/publications/policy-downloads/understanding-state-property-tax-limits/;%20https:/www.lincolninst.edu/publications/working-papers/state-requirements-under-truth-in-taxation-laws-property-taxes/;%20https:/www.lincolninst.edu/data/significant-features-property-tax/access-database/;%20https:/taxfoundation.org/research/all/state/property-tax-limitation-regimes-primer/%20;%20https:/www.lincolninst.edu/publications/working-papers/state-requirements-under-truth-in-taxation-laws-property-taxes/" TargetMode="External" Id="rId2"/><Relationship Type="http://schemas.openxmlformats.org/officeDocument/2006/relationships/table" Target="/xl/tables/table1.xml" Id="rId3"/></Relationships>
</file>

<file path=xl/worksheets/_rels/sheet2.xml.rels><Relationships xmlns="http://schemas.openxmlformats.org/package/2006/relationships"><Relationship Type="http://schemas.openxmlformats.org/officeDocument/2006/relationships/hyperlink" Target="https://1819news.com/news/item/alabamas-7-property-tax-reappraisal-cap-expires-in-2027-will-lawmakers-extend-it" TargetMode="External" Id="rId1"/><Relationship Type="http://schemas.openxmlformats.org/officeDocument/2006/relationships/hyperlink" Target="https://alabamapolicy.org/2026/07/15/alabama-policy-institute-launches-landmark-alabama-tax-relief-report-a-multi-phase-roadmap-for-economic-growth-and-fiscal-discipline/" TargetMode="External" Id="rId2"/><Relationship Type="http://schemas.openxmlformats.org/officeDocument/2006/relationships/hyperlink" Target="https://taxfoundation.org/blog/alabama-tax-reform-relief-2025/" TargetMode="External" Id="rId3"/><Relationship Type="http://schemas.openxmlformats.org/officeDocument/2006/relationships/hyperlink" Target="https://1819news.com/news/item/ainsworth-on-new-property-tax-cap-we-dont-want-anybody-to-get-gouged" TargetMode="External" Id="rId4"/><Relationship Type="http://schemas.openxmlformats.org/officeDocument/2006/relationships/hyperlink" Target="https://alabamapolicy.org/2024/02/05/api-top-10-things-the-al-legislature-should-accomplish-in-2024/" TargetMode="External" Id="rId5"/><Relationship Type="http://schemas.openxmlformats.org/officeDocument/2006/relationships/hyperlink" Target="https://alaskapolicyforum.org/2023/06/testimony-tax-blighted-property/" TargetMode="External" Id="rId6"/><Relationship Type="http://schemas.openxmlformats.org/officeDocument/2006/relationships/hyperlink" Target="https://alaskapolicyforum.org/2022/10/economic-implications-of-an-alaska-income-tax-or-its-alternatives/" TargetMode="External" Id="rId7"/><Relationship Type="http://schemas.openxmlformats.org/officeDocument/2006/relationships/hyperlink" Target="https://alaskapolicyforum.org/2022/08/alaska-property-taxes-ranked/" TargetMode="External" Id="rId8"/><Relationship Type="http://schemas.openxmlformats.org/officeDocument/2006/relationships/hyperlink" Target="https://www.arizonatax.org/sites/default/files/publications/newsletters/file/ATRA%20Sept%20Oct%202026%20Newsletter.pdf" TargetMode="External" Id="rId9"/><Relationship Type="http://schemas.openxmlformats.org/officeDocument/2006/relationships/hyperlink" Target="https://azfree.org/blog/2026/01/07/addressing-affordability-in-the-2026-legislative-session/" TargetMode="External" Id="rId10"/><Relationship Type="http://schemas.openxmlformats.org/officeDocument/2006/relationships/hyperlink" Target="https://azfree.org/blog/2025/10/28/the-arizona-free-enterprise-club-recommends-that-maricopa-county-voters-vote-no-on-proposition-409/" TargetMode="External" Id="rId11"/><Relationship Type="http://schemas.openxmlformats.org/officeDocument/2006/relationships/hyperlink" Target="https://www.goldwaterinstitute.org/yuma-county-hospital-district-treasurer-refunding-illegal-property-tax-after-goldwater-legal-challenge/" TargetMode="External" Id="rId12"/><Relationship Type="http://schemas.openxmlformats.org/officeDocument/2006/relationships/hyperlink" Target="https://commonsenseinstituteus.org/arizona/research/ballot-issues/arizona-prop-312/" TargetMode="External" Id="rId13"/><Relationship Type="http://schemas.openxmlformats.org/officeDocument/2006/relationships/hyperlink" Target="https://www.goldwaterinstitute.org/?p=36407" TargetMode="External" Id="rId14"/><Relationship Type="http://schemas.openxmlformats.org/officeDocument/2006/relationships/hyperlink" Target="https://commonsenseinstituteus.org/arizona/research/taxes-and-fees/hb-2822-the-taxation-of-business-personal-property/" TargetMode="External" Id="rId15"/><Relationship Type="http://schemas.openxmlformats.org/officeDocument/2006/relationships/hyperlink" Target="https://taxfoundation.org/research/state-tax/2026-state-tax-ballot-measures/" TargetMode="External" Id="rId16"/><Relationship Type="http://schemas.openxmlformats.org/officeDocument/2006/relationships/hyperlink" Target="https://azfree.org/blog/2026/07/07/another-month-another-onslaught-of-municipal-tax-and-fee-increases/" TargetMode="External" Id="rId17"/><Relationship Type="http://schemas.openxmlformats.org/officeDocument/2006/relationships/hyperlink" Target="https://azfree.org/blog/2025/12/04/arizonas-local-tax-trap-how-cities-are-destroying-affordability/" TargetMode="External" Id="rId18"/><Relationship Type="http://schemas.openxmlformats.org/officeDocument/2006/relationships/hyperlink" Target="https://senate.arkansas.gov/senate-news/posts/2026/08/lawmakers-discuss-issue-3/" TargetMode="External" Id="rId19"/><Relationship Type="http://schemas.openxmlformats.org/officeDocument/2006/relationships/hyperlink" Target="https://www.arkansashouse.org/?p=33676" TargetMode="External" Id="rId20"/><Relationship Type="http://schemas.openxmlformats.org/officeDocument/2006/relationships/hyperlink" Target="https://taxfoundation.org/research/all/state/property-tax-limitation-regimes-primer/" TargetMode="External" Id="rId21"/><Relationship Type="http://schemas.openxmlformats.org/officeDocument/2006/relationships/hyperlink" Target="https://senate.arkansas.gov/senate-news/posts/2025/03/9926-2/" TargetMode="External" Id="rId22"/><Relationship Type="http://schemas.openxmlformats.org/officeDocument/2006/relationships/hyperlink" Target="https://arkansaspolicyfoundation.org/arkansas-income-tax-rate-cut-to-3-9/" TargetMode="External" Id="rId23"/><Relationship Type="http://schemas.openxmlformats.org/officeDocument/2006/relationships/hyperlink" Target="https://californiapolicycenter.org/cpcs-2026-voter-information-guide/" TargetMode="External" Id="rId24"/><Relationship Type="http://schemas.openxmlformats.org/officeDocument/2006/relationships/hyperlink" Target="https://www.hjta.org/news-events/taxing-times/taxing-times-online-fall-2026-vol-52-issue-3/under-the-dome-the-inside-story-on-the-deal-to-save-prop-13/" TargetMode="External" Id="rId25"/><Relationship Type="http://schemas.openxmlformats.org/officeDocument/2006/relationships/hyperlink" Target="https://caltax.org/news-release/california-voters-will-see-273-tax-increases-on-local-ballots-in-november/" TargetMode="External" Id="rId26"/><Relationship Type="http://schemas.openxmlformats.org/officeDocument/2006/relationships/hyperlink" Target="https://www.pacificresearch.org/another-tax-that-backfired/" TargetMode="External" Id="rId27"/><Relationship Type="http://schemas.openxmlformats.org/officeDocument/2006/relationships/hyperlink" Target="https://www.pacificresearch.org/spending-watch-californians-will-pay-a-high-price-for-tom-steyers-split-role-proposal/" TargetMode="External" Id="rId28"/><Relationship Type="http://schemas.openxmlformats.org/officeDocument/2006/relationships/hyperlink" Target="https://pacificlegal.org/press-release/pacific-legal-foundation-applauds-californias-move-to-end-home-equity-theft-loophole/" TargetMode="External" Id="rId29"/><Relationship Type="http://schemas.openxmlformats.org/officeDocument/2006/relationships/hyperlink" Target="https://californiapolicycenter.org/californias-unstoppable-taxation-machine/" TargetMode="External" Id="rId30"/><Relationship Type="http://schemas.openxmlformats.org/officeDocument/2006/relationships/hyperlink" Target="https://reason.org/voters-guide/california-proposition-5-lower-supermajority-requirement-to-55-for-local-bond-measures-to-fund-housing-and-public-infrastructure-amendment/" TargetMode="External" Id="rId31"/><Relationship Type="http://schemas.openxmlformats.org/officeDocument/2006/relationships/hyperlink" Target="https://caltax.org/2023/01/06/proposition-13-protects-property-owners-from-7-percent-tax-hike-in-2023/" TargetMode="External" Id="rId32"/><Relationship Type="http://schemas.openxmlformats.org/officeDocument/2006/relationships/hyperlink" Target="https://taxfoundation.org/research/state-tax/2026-state-tax-ballot-measures/" TargetMode="External" Id="rId33"/><Relationship Type="http://schemas.openxmlformats.org/officeDocument/2006/relationships/hyperlink" Target="https://www.pacificresearch.org/california-cities-turn-to-tax-hikes-to-deal-with-overspending/" TargetMode="External" Id="rId34"/><Relationship Type="http://schemas.openxmlformats.org/officeDocument/2006/relationships/hyperlink" Target="https://caltax.org/2025/04/25/california-property-tax-revenue-increased-8-9-billion-in-2024-boe-reports/" TargetMode="External" Id="rId35"/><Relationship Type="http://schemas.openxmlformats.org/officeDocument/2006/relationships/hyperlink" Target="https://taxfoundation.org/research/all/state/property-tax-limitation-regimes-primer/" TargetMode="External" Id="rId36"/><Relationship Type="http://schemas.openxmlformats.org/officeDocument/2006/relationships/hyperlink" Target="https://www.hjta.org/press-releases/new-initiative-to-save-proposition-13/" TargetMode="External" Id="rId37"/><Relationship Type="http://schemas.openxmlformats.org/officeDocument/2006/relationships/hyperlink" Target="https://archive.commonsenseinstituteus.org/iowa/research/taxes-and-fees/iowa-leads-the-nation-in-property-tax-relief-ranking-state-reforms-of-the-past-decade" TargetMode="External" Id="rId38"/><Relationship Type="http://schemas.openxmlformats.org/officeDocument/2006/relationships/hyperlink" Target="https://i2i.org/leviathan-by-loophole-the-growth-of-colorados-state-government-after-tabor/" TargetMode="External" Id="rId39"/><Relationship Type="http://schemas.openxmlformats.org/officeDocument/2006/relationships/hyperlink" Target="https://i2i.org/wp-content/uploads/IP_3_2024_b.pdf" TargetMode="External" Id="rId40"/><Relationship Type="http://schemas.openxmlformats.org/officeDocument/2006/relationships/hyperlink" Target="https://www.denvergazette.com/2024/09/04/colorado-property-tax-ballot-initiatives-withdrawn-as-part-of-deal-with-governor-lawmakers/" TargetMode="External" Id="rId41"/><Relationship Type="http://schemas.openxmlformats.org/officeDocument/2006/relationships/hyperlink" Target="https://commonsenseinstituteus.org/colorado/research/taxes-and-fees/reining-in-property-taxes-the-voters-choice-at-the-2024-november-ballot/" TargetMode="External" Id="rId42"/><Relationship Type="http://schemas.openxmlformats.org/officeDocument/2006/relationships/hyperlink" Target="https://commonsenseinstituteus.org/colorado/research/taxes-and-fees/does-sb24-233-provide-taxpayer-relief-and-predictability/" TargetMode="External" Id="rId43"/><Relationship Type="http://schemas.openxmlformats.org/officeDocument/2006/relationships/hyperlink" Target="https://taxfoundation.org/research/state-tax/2026-state-tax-ballot-measures/" TargetMode="External" Id="rId44"/><Relationship Type="http://schemas.openxmlformats.org/officeDocument/2006/relationships/hyperlink" Target="https://steamboatinstitute.org/update/steamboat-institute-joins-coalition-to-protect-colorados-tabor" TargetMode="External" Id="rId45"/><Relationship Type="http://schemas.openxmlformats.org/officeDocument/2006/relationships/hyperlink" Target="https://www.yankeeinstitute.org/2026/08/21/when-connecticut-mandates-towns-pay/" TargetMode="External" Id="rId46"/><Relationship Type="http://schemas.openxmlformats.org/officeDocument/2006/relationships/hyperlink" Target="https://www.yankeeinstitute.org/2026/07/24/a-task-force-numerous-bills-and-a-car-tax-that-refuses-to-die/" TargetMode="External" Id="rId47"/><Relationship Type="http://schemas.openxmlformats.org/officeDocument/2006/relationships/hyperlink" Target="https://www.yankeeinstitute.org/2026/04/29/connecticuts-relief-for-towns-needs-safeguards-or-it-risks-becoming-the-next-tax-increase/" TargetMode="External" Id="rId48"/><Relationship Type="http://schemas.openxmlformats.org/officeDocument/2006/relationships/hyperlink" Target="https://www.yankeeinstitute.org/2026/03/19/connecticut-does-it-again-still-top-three-in-property-taxes/" TargetMode="External" Id="rId49"/><Relationship Type="http://schemas.openxmlformats.org/officeDocument/2006/relationships/hyperlink" Target="https://www.yankeeinstitute.org/2026/02/26/progressives-push-trio-of-tax-the-richm-bills-including-new-state-property-tax/" TargetMode="External" Id="rId50"/><Relationship Type="http://schemas.openxmlformats.org/officeDocument/2006/relationships/hyperlink" Target="https://www.cbia.com/?p=174685" TargetMode="External" Id="rId51"/><Relationship Type="http://schemas.openxmlformats.org/officeDocument/2006/relationships/hyperlink" Target="https://reason.org/commentary/connecticuts-fiscal-guardrails-are-a-solution-not-the-problem/" TargetMode="External" Id="rId52"/><Relationship Type="http://schemas.openxmlformats.org/officeDocument/2006/relationships/hyperlink" Target="https://housegop.delaware.gov/2026/08/07/delaware-two-tier-school-tax-bill/" TargetMode="External" Id="rId53"/><Relationship Type="http://schemas.openxmlformats.org/officeDocument/2006/relationships/hyperlink" Target="https://www.caesarrodney.org/post/sb-322-delaware-should-not-put-school-property-taxes-on-autopilot" TargetMode="External" Id="rId54"/><Relationship Type="http://schemas.openxmlformats.org/officeDocument/2006/relationships/hyperlink" Target="https://housegop.delaware.gov/2026/02/27/delaware-property-reassessment-equity/" TargetMode="External" Id="rId55"/><Relationship Type="http://schemas.openxmlformats.org/officeDocument/2006/relationships/hyperlink" Target="https://housegop.delaware.gov/2025/10/04/legislative-property-reassessment-investigation/" TargetMode="External" Id="rId56"/><Relationship Type="http://schemas.openxmlformats.org/officeDocument/2006/relationships/hyperlink" Target="https://www.caesarrodney.org/post/delaware-policy-choices-caused-the-property-tax-problem" TargetMode="External" Id="rId57"/><Relationship Type="http://schemas.openxmlformats.org/officeDocument/2006/relationships/hyperlink" Target="https://housegop.delaware.gov/2025/08/29/ncco-reassessment-political-fix/" TargetMode="External" Id="rId58"/><Relationship Type="http://schemas.openxmlformats.org/officeDocument/2006/relationships/hyperlink" Target="https://housegop.delaware.gov/2025/07/25/house-senate-republicans-propose-bills-urge-special-session-to-deal-with-reassessment-aftermath/" TargetMode="External" Id="rId59"/><Relationship Type="http://schemas.openxmlformats.org/officeDocument/2006/relationships/hyperlink" Target="https://www.nfib.com/news/news/delaware-2025-special-session-what-you-need-to-know/" TargetMode="External" Id="rId60"/><Relationship Type="http://schemas.openxmlformats.org/officeDocument/2006/relationships/hyperlink" Target="https://jamesmadison.org/2026-florida-amendment-guide/" TargetMode="External" Id="rId61"/><Relationship Type="http://schemas.openxmlformats.org/officeDocument/2006/relationships/hyperlink" Target="https://floridataxwatch.org/?p=9214" TargetMode="External" Id="rId62"/><Relationship Type="http://schemas.openxmlformats.org/officeDocument/2006/relationships/hyperlink" Target="https://taxfoundation.org/blog/florida-property-tax-proposal/" TargetMode="External" Id="rId63"/><Relationship Type="http://schemas.openxmlformats.org/officeDocument/2006/relationships/hyperlink" Target="https://jamesmadison.org/levy-caps-for-property-tax-reform-in-florida/" TargetMode="External" Id="rId64"/><Relationship Type="http://schemas.openxmlformats.org/officeDocument/2006/relationships/hyperlink" Target="https://www.wflx.com/2026/02/10/we-have-slogan-we-dont-have-policy-former-florida-lawmaker-criticizes-property-tax-relief-plan/" TargetMode="External" Id="rId65"/><Relationship Type="http://schemas.openxmlformats.org/officeDocument/2006/relationships/hyperlink" Target="https://floridataxwatch.org/?p=7093" TargetMode="External" Id="rId66"/><Relationship Type="http://schemas.openxmlformats.org/officeDocument/2006/relationships/hyperlink" Target="https://jamesmadison.org/property-tax-relief-in-florida-challenges-options-and-the-path-to-true-homeownership/" TargetMode="External" Id="rId67"/><Relationship Type="http://schemas.openxmlformats.org/officeDocument/2006/relationships/hyperlink" Target="https://thefga.org/research/out-of-control-spending-leads-to-soaring-property-taxes/" TargetMode="External" Id="rId68"/><Relationship Type="http://schemas.openxmlformats.org/officeDocument/2006/relationships/hyperlink" Target="https://taxfoundation.org/research/state-tax/2026-state-tax-ballot-measures/" TargetMode="External" Id="rId69"/><Relationship Type="http://schemas.openxmlformats.org/officeDocument/2006/relationships/hyperlink" Target="https://floridataxwatch.org/Research/Full-Library/truth-in-property-taxation-can-be-hard-to-come-by-3" TargetMode="External" Id="rId70"/><Relationship Type="http://schemas.openxmlformats.org/officeDocument/2006/relationships/hyperlink" Target="https://www.georgiapolicy.org/news/guide-to-the-issues-2026-thirty-years-after-the-first-edition/" TargetMode="External" Id="rId71"/><Relationship Type="http://schemas.openxmlformats.org/officeDocument/2006/relationships/hyperlink" Target="https://archive.commonsenseinstituteus.org/iowa/research/taxes-and-fees/iowa-leads-the-nation-in-property-tax-relief-ranking-state-reforms-of-the-past-decade" TargetMode="External" Id="rId72"/><Relationship Type="http://schemas.openxmlformats.org/officeDocument/2006/relationships/hyperlink" Target="https://taxfoundation.org/blog/georgia-tax-reform-income-taxes-property-taxes/" TargetMode="External" Id="rId73"/><Relationship Type="http://schemas.openxmlformats.org/officeDocument/2006/relationships/hyperlink" Target="https://americansforprosperity.org/press-release/afp-ga-applauds-senate-passage-of-hb-1116/" TargetMode="External" Id="rId74"/><Relationship Type="http://schemas.openxmlformats.org/officeDocument/2006/relationships/hyperlink" Target="https://www.georgiapolicy.org/news/how-can-we-cap-property-taxes-in-georgia/" TargetMode="External" Id="rId75"/><Relationship Type="http://schemas.openxmlformats.org/officeDocument/2006/relationships/hyperlink" Target="https://taxfoundation.org/blog/georgia-property-tax-reform/" TargetMode="External" Id="rId76"/><Relationship Type="http://schemas.openxmlformats.org/officeDocument/2006/relationships/hyperlink" Target="https://www.georgiapolicy.org/news/what-the-2025-legislative-session-means-for-georgia-taxpayers/" TargetMode="External" Id="rId77"/><Relationship Type="http://schemas.openxmlformats.org/officeDocument/2006/relationships/hyperlink" Target="https://www.grassrootinstitute.org/2026/09/comparing-county-property-taxes-across-hawaii-who-pays-the-most/" TargetMode="External" Id="rId78"/><Relationship Type="http://schemas.openxmlformats.org/officeDocument/2006/relationships/hyperlink" Target="https://www.tfhawaii.org/wordpress/blog/honolulu-special-funds/" TargetMode="External" Id="rId79"/><Relationship Type="http://schemas.openxmlformats.org/officeDocument/2006/relationships/hyperlink" Target="https://www.grassrootinstitute.org/2026/07/empty-homes-tax-proposal-is-vague-legally-risky-and-could-raise-prices/" TargetMode="External" Id="rId80"/><Relationship Type="http://schemas.openxmlformats.org/officeDocument/2006/relationships/hyperlink" Target="https://www.grassrootinstitute.org/2025/05/no-we-dont-have-low-property-taxes/" TargetMode="External" Id="rId81"/><Relationship Type="http://schemas.openxmlformats.org/officeDocument/2006/relationships/hyperlink" Target="https://www.grassrootinstitute.org/2023/04/new-brief-outlines-how-counties-can-provide-property-tax-relief/" TargetMode="External" Id="rId82"/><Relationship Type="http://schemas.openxmlformats.org/officeDocument/2006/relationships/hyperlink" Target="https://www.mountainstatespolicy.org/post/new-study-what-it-would-take-to-eliminate-idaho-s-local-property-taxes" TargetMode="External" Id="rId83"/><Relationship Type="http://schemas.openxmlformats.org/officeDocument/2006/relationships/hyperlink" Target="https://idahofreedom.org/the-ratchet-only-goes-one-way-boises-ever-increasing-property-taxes/" TargetMode="External" Id="rId84"/><Relationship Type="http://schemas.openxmlformats.org/officeDocument/2006/relationships/hyperlink" Target="https://idahofreedom.org/property-tax-relief-options-explained/" TargetMode="External" Id="rId85"/><Relationship Type="http://schemas.openxmlformats.org/officeDocument/2006/relationships/hyperlink" Target="https://idahofreedom.org/the-property-tax-expensive-and-outdated/" TargetMode="External" Id="rId86"/><Relationship Type="http://schemas.openxmlformats.org/officeDocument/2006/relationships/hyperlink" Target="https://idahofreedom.org/house-bill-959-initiative-budget-limits/" TargetMode="External" Id="rId87"/><Relationship Type="http://schemas.openxmlformats.org/officeDocument/2006/relationships/hyperlink" Target="https://www.mountainstatespolicy.org/post/truth-in-taxation-proposed-in-idaho-to-increase-property-tax-transparency" TargetMode="External" Id="rId88"/><Relationship Type="http://schemas.openxmlformats.org/officeDocument/2006/relationships/hyperlink" Target="https://americansforprosperity.org/press-release/afp-il-finds-statewide-pattern-of-taxpayer-funded-referendum-campaigning-urges-investigation/" TargetMode="External" Id="rId89"/><Relationship Type="http://schemas.openxmlformats.org/officeDocument/2006/relationships/hyperlink" Target="https://www.illinoispolicy.org/reports/illinois-tax-reform-economic-growth/" TargetMode="External" Id="rId90"/><Relationship Type="http://schemas.openxmlformats.org/officeDocument/2006/relationships/hyperlink" Target="https://www.illinoispolicy.org/new-data-illinois-homeowners-pay-countrys-highest-property-taxes/" TargetMode="External" Id="rId91"/><Relationship Type="http://schemas.openxmlformats.org/officeDocument/2006/relationships/hyperlink" Target="https://www.illinoispolicy.org/illinois-property-taxes-up-27-under-pritzker/" TargetMode="External" Id="rId92"/><Relationship Type="http://schemas.openxmlformats.org/officeDocument/2006/relationships/hyperlink" Target="https://repugaste.com/2026/04/09/house-republicans-launch-property-tax-relief-conference-issue-open-letter-on-stadium-proposal/" TargetMode="External" Id="rId93"/><Relationship Type="http://schemas.openxmlformats.org/officeDocument/2006/relationships/hyperlink" Target="https://www.illinoispolicy.org/cook-county-tifs-cost-taxpayers-over-2-billion/" TargetMode="External" Id="rId94"/><Relationship Type="http://schemas.openxmlformats.org/officeDocument/2006/relationships/hyperlink" Target="https://www.illinoispolicy.org/chicago-property-taxes-jump-but-unevenly/" TargetMode="External" Id="rId95"/><Relationship Type="http://schemas.openxmlformats.org/officeDocument/2006/relationships/hyperlink" Target="https://www.truthinaccounting.org/news/detail/chicagos-combined-state-and-local-taxpayer-debt-burden-worst-in-the-nation" TargetMode="External" Id="rId96"/><Relationship Type="http://schemas.openxmlformats.org/officeDocument/2006/relationships/hyperlink" Target="https://heartland.org/opinion/press-release-florida-gov-ron-desantis-speech-in-chicago-pushed-for-historic-property-tax-rollback/" TargetMode="External" Id="rId97"/><Relationship Type="http://schemas.openxmlformats.org/officeDocument/2006/relationships/hyperlink" Target="https://www.illinoispolicy.org/illinois-lawmakers-finally-pass-bill-to-end-home-equity-theft/" TargetMode="External" Id="rId98"/><Relationship Type="http://schemas.openxmlformats.org/officeDocument/2006/relationships/hyperlink" Target="https://americansforprosperity.org/press-release/afp-in-launches-campaign-urging-hoosiers-to-vote-no-on-school-property-tax-referendums/" TargetMode="External" Id="rId99"/><Relationship Type="http://schemas.openxmlformats.org/officeDocument/2006/relationships/hyperlink" Target="https://archive.commonsenseinstituteus.org/iowa/research/taxes-and-fees/iowa-leads-the-nation-in-property-tax-relief-ranking-state-reforms-of-the-past-decade" TargetMode="External" Id="rId100"/><Relationship Type="http://schemas.openxmlformats.org/officeDocument/2006/relationships/hyperlink" Target="https://americansforprosperity.org/press-release/afp-in-and-community-partners-celebrate-victory-for-taxpayers-as-northwest-allen-county-referendum-fails/" TargetMode="External" Id="rId101"/><Relationship Type="http://schemas.openxmlformats.org/officeDocument/2006/relationships/hyperlink" Target="https://www.indianahouserepublicans.com/news/press-releases/northeast-indiana-legislators-legislation-delivering-robust-property-tax-relief-and-reform-to-hoosiers-signed-into-law/" TargetMode="External" Id="rId102"/><Relationship Type="http://schemas.openxmlformats.org/officeDocument/2006/relationships/hyperlink" Target="https://taxfoundation.org/blog/indiana-property-tax-reform-local-income-taxes/" TargetMode="External" Id="rId103"/><Relationship Type="http://schemas.openxmlformats.org/officeDocument/2006/relationships/hyperlink" Target="https://www.infarmbureau.org/news/news-article/2025/03/26/tax-facts-when-it-comes-to-property-taxes-nothing-is-simple" TargetMode="External" Id="rId104"/><Relationship Type="http://schemas.openxmlformats.org/officeDocument/2006/relationships/hyperlink" Target="https://inpolicy.org/franke-property-tax-misery/" TargetMode="External" Id="rId105"/><Relationship Type="http://schemas.openxmlformats.org/officeDocument/2006/relationships/hyperlink" Target="https://commonsenseinstituteus.org/research/counties-cities-and-the-cap-iowas-local-payroll-growth-meets-sf-2472/" TargetMode="External" Id="rId106"/><Relationship Type="http://schemas.openxmlformats.org/officeDocument/2006/relationships/hyperlink" Target="https://itrfoundation.org/a-few-votes-long-term-consequences-results-from-iowas-september-2026-special-elections/" TargetMode="External" Id="rId107"/><Relationship Type="http://schemas.openxmlformats.org/officeDocument/2006/relationships/hyperlink" Target="https://itrfoundation.org/school-districts-blame-save-changes-for-tax-hikes-already-in-the-works/" TargetMode="External" Id="rId108"/><Relationship Type="http://schemas.openxmlformats.org/officeDocument/2006/relationships/hyperlink" Target="https://commonsenseinstituteus.org/iowa/research/iowa-leads-the-nation-in-property-tax-relief-ranking-state-reforms-of-the-past-decade/" TargetMode="External" Id="rId109"/><Relationship Type="http://schemas.openxmlformats.org/officeDocument/2006/relationships/hyperlink" Target="https://commonsenseinstituteus.org/iowa/research/taxes-and-fees/iowas-largest-property-tax-reform-in-decades-changes-the-us-tax-burden-map/" TargetMode="External" Id="rId110"/><Relationship Type="http://schemas.openxmlformats.org/officeDocument/2006/relationships/hyperlink" Target="https://itrfoundation.org/taxpayers-come-first-as-iowa-wraps-up-2026-legislative-session/" TargetMode="External" Id="rId111"/><Relationship Type="http://schemas.openxmlformats.org/officeDocument/2006/relationships/hyperlink" Target="https://itrfoundation.org/new-law-puts-limits-on-property-tax-levies-in-iowa/" TargetMode="External" Id="rId112"/><Relationship Type="http://schemas.openxmlformats.org/officeDocument/2006/relationships/hyperlink" Target="https://itrfoundation.org/from-waterloo-to-keokuk-where-property-taxes-hit-hardest-in-iowa/" TargetMode="External" Id="rId113"/><Relationship Type="http://schemas.openxmlformats.org/officeDocument/2006/relationships/hyperlink" Target="https://itrfoundation.org/does-iowa-really-have-a-truth-in-taxation-law/" TargetMode="External" Id="rId114"/><Relationship Type="http://schemas.openxmlformats.org/officeDocument/2006/relationships/hyperlink" Target="https://commonsenseinstituteus.org/iowa/research/taxes-and-fees/property-tax-reform-targeting-iowas-high-local-tax-burden/" TargetMode="External" Id="rId115"/><Relationship Type="http://schemas.openxmlformats.org/officeDocument/2006/relationships/hyperlink" Target="https://taxfoundation.org/blog/iowa-property-tax-reform/" TargetMode="External" Id="rId116"/><Relationship Type="http://schemas.openxmlformats.org/officeDocument/2006/relationships/hyperlink" Target="https://kansaspolicy.org/6-billion-cash-reserves-1-8-billion-non-budgeted/" TargetMode="External" Id="rId117"/><Relationship Type="http://schemas.openxmlformats.org/officeDocument/2006/relationships/hyperlink" Target="https://kansaspolicy.org/examining-issues-options-property-tax-relief/" TargetMode="External" Id="rId118"/><Relationship Type="http://schemas.openxmlformats.org/officeDocument/2006/relationships/hyperlink" Target="https://kansaspolicy.org/options-to-eliminate-property-taxes/" TargetMode="External" Id="rId119"/><Relationship Type="http://schemas.openxmlformats.org/officeDocument/2006/relationships/hyperlink" Target="https://kansaspolicy.org/affordability-issue-property-tax-increases/" TargetMode="External" Id="rId120"/><Relationship Type="http://schemas.openxmlformats.org/officeDocument/2006/relationships/hyperlink" Target="https://www.wibw.com/2026/04/27/gov-kelly-vetoes-property-tax-protest-bill-kansas-house-speaker-responds/" TargetMode="External" Id="rId121"/><Relationship Type="http://schemas.openxmlformats.org/officeDocument/2006/relationships/hyperlink" Target="https://taxfoundation.org/blog/kansas-property-tax-reform/" TargetMode="External" Id="rId122"/><Relationship Type="http://schemas.openxmlformats.org/officeDocument/2006/relationships/hyperlink" Target="https://kansaspolicy.org/alec-praises-revenue-neutral-says-more-is-needed/" TargetMode="External" Id="rId123"/><Relationship Type="http://schemas.openxmlformats.org/officeDocument/2006/relationships/hyperlink" Target="https://kansaspolicy.org/revenue-neutral-helps-more-tax-reform-needed/" TargetMode="External" Id="rId124"/><Relationship Type="http://schemas.openxmlformats.org/officeDocument/2006/relationships/hyperlink" Target="https://americansforprosperity.org/press-release/americans-for-prosperity-kansas-issues-statement-on-school-bond-property-tax-vote/" TargetMode="External" Id="rId125"/><Relationship Type="http://schemas.openxmlformats.org/officeDocument/2006/relationships/hyperlink" Target="https://kysenaterepublicans.com/press-releases/2026/4/8/boswell-bill-strengthening-taxpayer-protections-passes-senate" TargetMode="External" Id="rId126"/><Relationship Type="http://schemas.openxmlformats.org/officeDocument/2006/relationships/hyperlink" Target="https://www.bluegrassinstitute.org/kys-flawed-property-tax-system-allows-silent-increases/" TargetMode="External" Id="rId127"/><Relationship Type="http://schemas.openxmlformats.org/officeDocument/2006/relationships/hyperlink" Target="https://taxfoundation.org/research/all/state/kentucky-tax-reform/" TargetMode="External" Id="rId128"/><Relationship Type="http://schemas.openxmlformats.org/officeDocument/2006/relationships/hyperlink" Target="https://pelicanpolicy.org/local-government/fall2026constitutionalamendments/" TargetMode="External" Id="rId129"/><Relationship Type="http://schemas.openxmlformats.org/officeDocument/2006/relationships/hyperlink" Target="https://pelicanpolicy.org/local-government/amendment4/" TargetMode="External" Id="rId130"/><Relationship Type="http://schemas.openxmlformats.org/officeDocument/2006/relationships/hyperlink" Target="https://pelicanpolicy.org/tax-budget/fiscal-discipline-the-key-to-lasting-tax-relief-in-louisiana/" TargetMode="External" Id="rId131"/><Relationship Type="http://schemas.openxmlformats.org/officeDocument/2006/relationships/hyperlink" Target="https://pelicanpolicy.org/tax-budget/proposed-constitutional-amendment-2-driving-greater-economic-prosperity-for-louisiana/" TargetMode="External" Id="rId132"/><Relationship Type="http://schemas.openxmlformats.org/officeDocument/2006/relationships/hyperlink" Target="https://taxfoundation.org/blog/louisiana-franchise-tax-reform/" TargetMode="External" Id="rId133"/><Relationship Type="http://schemas.openxmlformats.org/officeDocument/2006/relationships/hyperlink" Target="https://pelicanpolicy.org/tax-budget/bringing-home-the-bacon-the-relationship-between-state-and-local-government/" TargetMode="External" Id="rId134"/><Relationship Type="http://schemas.openxmlformats.org/officeDocument/2006/relationships/hyperlink" Target="https://taxfoundation.org/research/state-tax/2026-state-tax-ballot-measures/" TargetMode="External" Id="rId135"/><Relationship Type="http://schemas.openxmlformats.org/officeDocument/2006/relationships/hyperlink" Target="https://mesenategop.com/2026/09/11/maine-cant-become-more-affordable-by-taking-more-from-taxpayers/" TargetMode="External" Id="rId136"/><Relationship Type="http://schemas.openxmlformats.org/officeDocument/2006/relationships/hyperlink" Target="https://mainepolicy.org/maine-teacher-salary-mandate/" TargetMode="External" Id="rId137"/><Relationship Type="http://schemas.openxmlformats.org/officeDocument/2006/relationships/hyperlink" Target="https://mainepolicy.org/the-good-bad-and-ugly-of-2nd-session-bill-requests/" TargetMode="External" Id="rId138"/><Relationship Type="http://schemas.openxmlformats.org/officeDocument/2006/relationships/hyperlink" Target="https://legislature.maine.gov/testimony/resources/SLG20250317Van%20Pate133864749170285597.pdf" TargetMode="External" Id="rId139"/><Relationship Type="http://schemas.openxmlformats.org/officeDocument/2006/relationships/hyperlink" Target="https://mesenategop.com/2024/09/02/property-taxes-are-becoming-an-existential-threat-to-maines-homeowners/" TargetMode="External" Id="rId140"/><Relationship Type="http://schemas.openxmlformats.org/officeDocument/2006/relationships/hyperlink" Target="https://mainehousegop.org/newsroom/ld-2102-will-raise-property-taxes/" TargetMode="External" Id="rId141"/><Relationship Type="http://schemas.openxmlformats.org/officeDocument/2006/relationships/hyperlink" Target="https://mainepolicy.org/testimonies/testimony-protecting-property-taxpayers-from-unsustainable-increases-ld-2102/" TargetMode="External" Id="rId142"/><Relationship Type="http://schemas.openxmlformats.org/officeDocument/2006/relationships/hyperlink" Target="https://mainepolicy.org/property-tax-stabilization-program-shifts-burden-to-state-taxpayers/" TargetMode="External" Id="rId143"/><Relationship Type="http://schemas.openxmlformats.org/officeDocument/2006/relationships/hyperlink" Target="https://montgomeryperspective.com/2026/08/17/stop-the-spend-charter-amendment-fails/" TargetMode="External" Id="rId144"/><Relationship Type="http://schemas.openxmlformats.org/officeDocument/2006/relationships/hyperlink" Target="https://montgomeryperspective.com/2026/07/22/will-stop-the-spend-get-on-the-ballot/" TargetMode="External" Id="rId145"/><Relationship Type="http://schemas.openxmlformats.org/officeDocument/2006/relationships/hyperlink" Target="https://taxfoundation.org/blog/virginia-income-tax-proposals-2026/" TargetMode="External" Id="rId146"/><Relationship Type="http://schemas.openxmlformats.org/officeDocument/2006/relationships/hyperlink" Target="https://www.wypr.org/wypr-news/2024-08-29/there-will-be-no-baby-bonus-and-no-property-tax-cut-on-baltimore-city-ballot" TargetMode="External" Id="rId147"/><Relationship Type="http://schemas.openxmlformats.org/officeDocument/2006/relationships/hyperlink" Target="https://pioneerinstitute.org/pioneer-calls-on-ma-leaders-to-probe-department-of-revenues-inaction/" TargetMode="External" Id="rId148"/><Relationship Type="http://schemas.openxmlformats.org/officeDocument/2006/relationships/hyperlink" Target="https://pioneerinstitute.org/pioneer-new-england-legal-foundation-urges-dor-to-reopen-tax-assessments-probe-after-boston-makes-initial-disclosure-of-150-properties-affected-by-retaliatory-assessment-increases/" TargetMode="External" Id="rId149"/><Relationship Type="http://schemas.openxmlformats.org/officeDocument/2006/relationships/hyperlink" Target="https://www.fiscalalliancefoundation.org/rent-control-property-taxes" TargetMode="External" Id="rId150"/><Relationship Type="http://schemas.openxmlformats.org/officeDocument/2006/relationships/hyperlink" Target="https://www.fiscalalliancefoundation.org/prop-2-5-study" TargetMode="External" Id="rId151"/><Relationship Type="http://schemas.openxmlformats.org/officeDocument/2006/relationships/hyperlink" Target="https://www.votervoice.net/MASSFISCAL/Campaigns/132431/Respond" TargetMode="External" Id="rId152"/><Relationship Type="http://schemas.openxmlformats.org/officeDocument/2006/relationships/hyperlink" Target="https://www.massfiscal.org/the_push_to_weaken_prop_2" TargetMode="External" Id="rId153"/><Relationship Type="http://schemas.openxmlformats.org/officeDocument/2006/relationships/hyperlink" Target="https://taxfoundation.org/research/all/state/massachusetts-property-tax-proposition-2-12/" TargetMode="External" Id="rId154"/><Relationship Type="http://schemas.openxmlformats.org/officeDocument/2006/relationships/hyperlink" Target="https://www.massfiscal.org/massfiscal_responds_to_mayor_wu_s_call_to_undermine_proposition_2" TargetMode="External" Id="rId155"/><Relationship Type="http://schemas.openxmlformats.org/officeDocument/2006/relationships/hyperlink" Target="https://pioneerinstitute.org/mayor-wus-commercial-property-tax-proposal-a-solution-or-a-snuff/" TargetMode="External" Id="rId156"/><Relationship Type="http://schemas.openxmlformats.org/officeDocument/2006/relationships/hyperlink" Target="https://www.mackinac.org/blog/2026/michigans-local-tax-votes-shouldnt-happen-when-turnout-is-lowest" TargetMode="External" Id="rId157"/><Relationship Type="http://schemas.openxmlformats.org/officeDocument/2006/relationships/hyperlink" Target="https://www.senatoraricnesbitt.com/nesbitt-bill-would-eliminate-state-property-tax/" TargetMode="External" Id="rId158"/><Relationship Type="http://schemas.openxmlformats.org/officeDocument/2006/relationships/hyperlink" Target="https://www.mackinac.org/blog/2026/a-look-at-michigans-property-tax" TargetMode="External" Id="rId159"/><Relationship Type="http://schemas.openxmlformats.org/officeDocument/2006/relationships/hyperlink" Target="https://gophouse.org/posts/rep-robinson-secures-house-approval-of-major-property-tax-relief-plan-lowering-costs-for-michigan-families" TargetMode="External" Id="rId160"/><Relationship Type="http://schemas.openxmlformats.org/officeDocument/2006/relationships/hyperlink" Target="https://www.mackinac.org/blog/2026/some-detroiters-pay-high-property-taxes-others-dont" TargetMode="External" Id="rId161"/><Relationship Type="http://schemas.openxmlformats.org/officeDocument/2006/relationships/hyperlink" Target="https://gophouse.org/posts/rep-bohnak-announces-monumental-5-billion-state-property-tax-relief-plan" TargetMode="External" Id="rId162"/><Relationship Type="http://schemas.openxmlformats.org/officeDocument/2006/relationships/hyperlink" Target="https://www.mackinac.org/blog/2026/senior-discount-wont-solve-michigans-property-tax-problem" TargetMode="External" Id="rId163"/><Relationship Type="http://schemas.openxmlformats.org/officeDocument/2006/relationships/hyperlink" Target="https://www.mackinac.org/blog/2026/voters-can-lower-their-own-property-taxes-under-michigan-rules" TargetMode="External" Id="rId164"/><Relationship Type="http://schemas.openxmlformats.org/officeDocument/2006/relationships/hyperlink" Target="https://www.americanexperiment.org/how-the-dfl-trifecta-hiked-property-taxes-and-hit-affordability/" TargetMode="External" Id="rId165"/><Relationship Type="http://schemas.openxmlformats.org/officeDocument/2006/relationships/hyperlink" Target="https://www.americanexperiment.org/as-property-taxes-surge-again-hammering-affordability-its-time-for-minnesotans-to-say-taxed-enough-already/" TargetMode="External" Id="rId166"/><Relationship Type="http://schemas.openxmlformats.org/officeDocument/2006/relationships/hyperlink" Target="https://www.americanexperiment.org/property-taxes-the-spending-is-the-problem/" TargetMode="External" Id="rId167"/><Relationship Type="http://schemas.openxmlformats.org/officeDocument/2006/relationships/hyperlink" Target="https://www.americanexperiment.org/republican-plan-to-restrain-property-tax-hikes-will-help-with-affordability/" TargetMode="External" Id="rId168"/><Relationship Type="http://schemas.openxmlformats.org/officeDocument/2006/relationships/hyperlink" Target="https://www.mnsenaterepublicans.com/senate-republicans-propose-tax-relief-that-makes-a-difference/" TargetMode="External" Id="rId169"/><Relationship Type="http://schemas.openxmlformats.org/officeDocument/2006/relationships/hyperlink" Target="https://alphanews.org/local-governments-raising-property-taxes-as-poll-finds-60-are-very-concerned-about-increases/" TargetMode="External" Id="rId170"/><Relationship Type="http://schemas.openxmlformats.org/officeDocument/2006/relationships/hyperlink" Target="https://www.americanexperiment.org/tanking-commercial-property-values-in-downtown-minneapolis-push-up-residential-property-taxes/" TargetMode="External" Id="rId171"/><Relationship Type="http://schemas.openxmlformats.org/officeDocument/2006/relationships/hyperlink" Target="https://oakmn.org/rochesters-proposed-referendum-shows-its-time-to-start-spending-smarter-when-it-comes-to-education/" TargetMode="External" Id="rId172"/><Relationship Type="http://schemas.openxmlformats.org/officeDocument/2006/relationships/hyperlink" Target="https://freedomfoundationofminnesota.com/minnesota-legislature-takes-away-taxpayers-right-to-vote/" TargetMode="External" Id="rId173"/><Relationship Type="http://schemas.openxmlformats.org/officeDocument/2006/relationships/hyperlink" Target="https://magnoliatribune.com/2026/09/18/house-lawmakers-exploring-ways-to-cut-mississippi-property-taxes-car-tag-fees/" TargetMode="External" Id="rId174"/><Relationship Type="http://schemas.openxmlformats.org/officeDocument/2006/relationships/hyperlink" Target="https://mspolicy.org/Clarion-Ledger.pdf" TargetMode="External" Id="rId175"/><Relationship Type="http://schemas.openxmlformats.org/officeDocument/2006/relationships/hyperlink" Target="https://www.osa.ms.gov/sites/default/files/osa/files/reports/25A%20Review%20of%20Car%20Tag%20Prices%20Across%20Mississippi.pdf" TargetMode="External" Id="rId176"/><Relationship Type="http://schemas.openxmlformats.org/officeDocument/2006/relationships/hyperlink" Target="https://magnoliatribune.com/2025/07/29/are-property-taxes-going-up-in-mississippi/" TargetMode="External" Id="rId177"/><Relationship Type="http://schemas.openxmlformats.org/officeDocument/2006/relationships/hyperlink" Target="https://taxfoundation.org/research/all/state/property-tax-limitation-regimes-primer/" TargetMode="External" Id="rId178"/><Relationship Type="http://schemas.openxmlformats.org/officeDocument/2006/relationships/hyperlink" Target="https://magnoliatribune.com/2024/08/21/will-state-legislative-leaders-join-growing-national-trend-toward-property-tax-limits/" TargetMode="External" Id="rId179"/><Relationship Type="http://schemas.openxmlformats.org/officeDocument/2006/relationships/hyperlink" Target="https://magnoliatribune.com/2024/05/26/cut-school-taxes-to-provide-tax-relief/" TargetMode="External" Id="rId180"/><Relationship Type="http://schemas.openxmlformats.org/officeDocument/2006/relationships/hyperlink" Target="https://showmeinstitute.org/article/economy/why-county-tax-increases-can-be-tricky/" TargetMode="External" Id="rId181"/><Relationship Type="http://schemas.openxmlformats.org/officeDocument/2006/relationships/hyperlink" Target="https://showmeinstitute.org/article/taxes/the-wrong-way-to-fix-property-taxes-2/" TargetMode="External" Id="rId182"/><Relationship Type="http://schemas.openxmlformats.org/officeDocument/2006/relationships/hyperlink" Target="https://showmeinstitute.org/wp-content/uploads/2026/02/20260218-Property-Taxes-SJR-111-Stokes.pdf" TargetMode="External" Id="rId183"/><Relationship Type="http://schemas.openxmlformats.org/officeDocument/2006/relationships/hyperlink" Target="https://showmeinstitute.org/publication/economy/property-tax-reform-2/" TargetMode="External" Id="rId184"/><Relationship Type="http://schemas.openxmlformats.org/officeDocument/2006/relationships/hyperlink" Target="https://showmeinstitute.org/wp-content/uploads/2025/06/20250610-Property-Tax-SS.pdf" TargetMode="External" Id="rId185"/><Relationship Type="http://schemas.openxmlformats.org/officeDocument/2006/relationships/hyperlink" Target="https://showmeinstitute.org/article/taxes/does-the-hancock-amendment-mean-anything-to-town-and-country/" TargetMode="External" Id="rId186"/><Relationship Type="http://schemas.openxmlformats.org/officeDocument/2006/relationships/hyperlink" Target="https://frontierinstitute.org/permanent-tax-relief-requires-limiting-government-budget-growth/" TargetMode="External" Id="rId187"/><Relationship Type="http://schemas.openxmlformats.org/officeDocument/2006/relationships/hyperlink" Target="https://frontierinstitute.org/eliminate-montanas-35-million-university-property-tax/" TargetMode="External" Id="rId188"/><Relationship Type="http://schemas.openxmlformats.org/officeDocument/2006/relationships/hyperlink" Target="https://frontierinstitute.org/reports/2026-real-government-budgets/" TargetMode="External" Id="rId189"/><Relationship Type="http://schemas.openxmlformats.org/officeDocument/2006/relationships/hyperlink" Target="https://frontierinstitute.org/more-property-tax-relief-needed/" TargetMode="External" Id="rId190"/><Relationship Type="http://schemas.openxmlformats.org/officeDocument/2006/relationships/hyperlink" Target="https://americansforprosperity.org/press-release/afp-montana-launches-statewide-accountability-campaign-on-property-taxes/" TargetMode="External" Id="rId191"/><Relationship Type="http://schemas.openxmlformats.org/officeDocument/2006/relationships/hyperlink" Target="https://archive.legmt.gov/content/Committees/Interim/2025-2026/RIC/Meetings/July_11_2025/4.3.MonTax%20public_comment.pdf" TargetMode="External" Id="rId192"/><Relationship Type="http://schemas.openxmlformats.org/officeDocument/2006/relationships/hyperlink" Target="https://frontierinstitute.org/the-one-way-property-tax-ratchet/" TargetMode="External" Id="rId193"/><Relationship Type="http://schemas.openxmlformats.org/officeDocument/2006/relationships/hyperlink" Target="https://frontierinstitute.org/the-latest-levy-report-card/" TargetMode="External" Id="rId194"/><Relationship Type="http://schemas.openxmlformats.org/officeDocument/2006/relationships/hyperlink" Target="https://archive.commonsenseinstituteus.org/iowa/research/taxes-and-fees/iowa-leads-the-nation-in-property-tax-relief-ranking-state-reforms-of-the-past-decade" TargetMode="External" Id="rId195"/><Relationship Type="http://schemas.openxmlformats.org/officeDocument/2006/relationships/hyperlink" Target="https://platteinstitute.org/how-lincoln-raised-property-taxes-without-raising-rates/" TargetMode="External" Id="rId196"/><Relationship Type="http://schemas.openxmlformats.org/officeDocument/2006/relationships/hyperlink" Target="https://platteinstitute.org/nebraskas-property-tax-caps-are-not-the-same-as-iowas/" TargetMode="External" Id="rId197"/><Relationship Type="http://schemas.openxmlformats.org/officeDocument/2006/relationships/hyperlink" Target="https://files.platteinstitute.org/uploads/2026/01/FINAL-Policy-Pathway-for-Principled-Tax-Reform.pdf" TargetMode="External" Id="rId198"/><Relationship Type="http://schemas.openxmlformats.org/officeDocument/2006/relationships/hyperlink" Target="https://platteinstitute.org/nebraska-property-taxes-keep-rising-despite-tax-caps/" TargetMode="External" Id="rId199"/><Relationship Type="http://schemas.openxmlformats.org/officeDocument/2006/relationships/hyperlink" Target="https://platteinstitute.org/how-nebraska-can-improve-truth-in-taxation-lessons-from-utahs-property-tax-reform/" TargetMode="External" Id="rId200"/><Relationship Type="http://schemas.openxmlformats.org/officeDocument/2006/relationships/hyperlink" Target="https://americansforprosperity.org/press-release/afp-nebraska-response-to-pillen-tax-plan-press-conference/" TargetMode="External" Id="rId201"/><Relationship Type="http://schemas.openxmlformats.org/officeDocument/2006/relationships/hyperlink" Target="https://tax.nv.gov/wp-content/uploads/2026/08/R098-26-Public-Comment-Nevada-Taxpayers-Assn.pdf" TargetMode="External" Id="rId202"/><Relationship Type="http://schemas.openxmlformats.org/officeDocument/2006/relationships/hyperlink" Target="https://nevadapolicy.org/week-8-under-the-dome-key-hearings-work-sessions/" TargetMode="External" Id="rId203"/><Relationship Type="http://schemas.openxmlformats.org/officeDocument/2006/relationships/hyperlink" Target="https://nevadapolicy.org/bill-to-sharply-increase-state-property-tax-fails/" TargetMode="External" Id="rId204"/><Relationship Type="http://schemas.openxmlformats.org/officeDocument/2006/relationships/hyperlink" Target="https://jbartlett.org/2026/09/new-hampshires-first-statewide-chance-to-cap-property-tax-growth-comes-in-november/" TargetMode="External" Id="rId205"/><Relationship Type="http://schemas.openxmlformats.org/officeDocument/2006/relationships/hyperlink" Target="https://jbartlett.org/2026/08/claremonts-missing-word/" TargetMode="External" Id="rId206"/><Relationship Type="http://schemas.openxmlformats.org/officeDocument/2006/relationships/hyperlink" Target="https://www.nhhousegop.com/press-releases/house-republicans-appluad-gov-ayotte-for-signing-taxpayer-protection-act/" TargetMode="External" Id="rId207"/><Relationship Type="http://schemas.openxmlformats.org/officeDocument/2006/relationships/hyperlink" Target="https://jbartlett.org/2026/07/capping-school-district-budget-growth-and-property-taxes-the-massachusetts-way/" TargetMode="External" Id="rId208"/><Relationship Type="http://schemas.openxmlformats.org/officeDocument/2006/relationships/hyperlink" Target="https://indepthnh.org/2026/07/15/ayotte-signs-20-bills-including-the-controversial-local-school-budget-cap-hb-1300/" TargetMode="External" Id="rId209"/><Relationship Type="http://schemas.openxmlformats.org/officeDocument/2006/relationships/hyperlink" Target="https://jbartlett.org/2026/03/an-income-tax-for-new-hampshire-delaware-connecticut-offer-a-warning/" TargetMode="External" Id="rId210"/><Relationship Type="http://schemas.openxmlformats.org/officeDocument/2006/relationships/hyperlink" Target="https://jbartlett.org/2025/07/how-both-sides-lost-the-conval-school-funding-case/" TargetMode="External" Id="rId211"/><Relationship Type="http://schemas.openxmlformats.org/officeDocument/2006/relationships/hyperlink" Target="https://jbartlett.org/2025/06/per-pupil-spending-in-nh-nearly-doubles-from-2001-2024-as-district-public-schools-spend-1-25-billion-more-on-54000-fewer-students/" TargetMode="External" Id="rId212"/><Relationship Type="http://schemas.openxmlformats.org/officeDocument/2006/relationships/hyperlink" Target="https://jbartlett.org/2024/05/legislators-vote-to-strengthen-local-tax-caps-especially-for-school-districts/" TargetMode="External" Id="rId213"/><Relationship Type="http://schemas.openxmlformats.org/officeDocument/2006/relationships/hyperlink" Target="https://newjerseypolicyinstitute.org/2026/08/the-new-jersey-school-funding-crisis-a-problem-in-need-of-solutions/" TargetMode="External" Id="rId214"/><Relationship Type="http://schemas.openxmlformats.org/officeDocument/2006/relationships/hyperlink" Target="https://archive.commonsenseinstituteus.org/iowa/research/taxes-and-fees/iowa-leads-the-nation-in-property-tax-relief-ranking-state-reforms-of-the-past-decade" TargetMode="External" Id="rId215"/><Relationship Type="http://schemas.openxmlformats.org/officeDocument/2006/relationships/hyperlink" Target="https://www.gardenstateinitiative.org/app/uploads/2026/02/GSI-School-Funding-2.26.pdf" TargetMode="External" Id="rId216"/><Relationship Type="http://schemas.openxmlformats.org/officeDocument/2006/relationships/hyperlink" Target="https://www.gardenstateinitiative.org/press-release/gsis-egea-governors-budget-insufficient-to-improve-business-climate-wont-reduce-property-taxes/" TargetMode="External" Id="rId217"/><Relationship Type="http://schemas.openxmlformats.org/officeDocument/2006/relationships/hyperlink" Target="https://www.gardenstateinitiative.org/op-ed/new-jersey-needs-a-plan-to-slay-its-property-tax-dragon/" TargetMode="External" Id="rId218"/><Relationship Type="http://schemas.openxmlformats.org/officeDocument/2006/relationships/hyperlink" Target="https://jersey1st.org/recycled-rebate-checks-cant-paper-over-need-for-real-reform-opinion/" TargetMode="External" Id="rId219"/><Relationship Type="http://schemas.openxmlformats.org/officeDocument/2006/relationships/hyperlink" Target="https://www.gardenstateinitiative.org/op-ed/gsi-opinion-heres-why-your-new-jersey-property-taxes-will-never-go-down-unless-theres-radical-change/" TargetMode="External" Id="rId220"/><Relationship Type="http://schemas.openxmlformats.org/officeDocument/2006/relationships/hyperlink" Target="https://riograndefoundation.org/rgf-opinion-piece-data-centers-are-coming-how-to-handle-them/" TargetMode="External" Id="rId221"/><Relationship Type="http://schemas.openxmlformats.org/officeDocument/2006/relationships/hyperlink" Target="https://riograndefoundation.org/rgf-opinion-piece-voters-should-be-skeptical-of-350-million-bond-for-aps/" TargetMode="External" Id="rId222"/><Relationship Type="http://schemas.openxmlformats.org/officeDocument/2006/relationships/hyperlink" Target="https://riograndefoundation.org/rgf-op-ed-mayors-downtown-taxing-plans-wont-work-because-they-dont-address-crime-and-vagrancy/" TargetMode="External" Id="rId223"/><Relationship Type="http://schemas.openxmlformats.org/officeDocument/2006/relationships/hyperlink" Target="https://riograndefoundation.org/a-conservative-looks-down-the-new-mexico-ballot/" TargetMode="External" Id="rId224"/><Relationship Type="http://schemas.openxmlformats.org/officeDocument/2006/relationships/hyperlink" Target="https://riograndefoundation.org/oak-nm-in-abq-journal-educate-yourself-and-vote-on-school-board-bond-mill-levy/" TargetMode="External" Id="rId225"/><Relationship Type="http://schemas.openxmlformats.org/officeDocument/2006/relationships/hyperlink" Target="https://www.empirecenter.org/publications/new-yorks-school-districts-plan-to-spend-over-37k-per-student/" TargetMode="External" Id="rId226"/><Relationship Type="http://schemas.openxmlformats.org/officeDocument/2006/relationships/hyperlink" Target="https://www.city-journal.org/article/mamdani-closes-12-billion-new-york-city-budget-gap" TargetMode="External" Id="rId227"/><Relationship Type="http://schemas.openxmlformats.org/officeDocument/2006/relationships/hyperlink" Target="https://www.empirecenter.org/publications/four-problems-with-a-statewide-pied-a-terre-tax/" TargetMode="External" Id="rId228"/><Relationship Type="http://schemas.openxmlformats.org/officeDocument/2006/relationships/hyperlink" Target="https://www.empirecenter.org/publications/two-dozen-school-districts-are-returning-to-the-polls-for-budget-revotes/" TargetMode="External" Id="rId229"/><Relationship Type="http://schemas.openxmlformats.org/officeDocument/2006/relationships/hyperlink" Target="https://www.empirecenter.org/publications/empire-index-june-2024/" TargetMode="External" Id="rId230"/><Relationship Type="http://schemas.openxmlformats.org/officeDocument/2006/relationships/hyperlink" Target="https://www.empirecenter.org/publications/a-tale-of-two-levies/" TargetMode="External" Id="rId231"/><Relationship Type="http://schemas.openxmlformats.org/officeDocument/2006/relationships/hyperlink" Target="https://www.johnlocke.org/is-a-tax-revolt-brewing/" TargetMode="External" Id="rId232"/><Relationship Type="http://schemas.openxmlformats.org/officeDocument/2006/relationships/hyperlink" Target="https://www.johnlocke.org/model-legislation-how-north-carolinas-property-tax-levy-limit-needs-to-be-designed/" TargetMode="External" Id="rId233"/><Relationship Type="http://schemas.openxmlformats.org/officeDocument/2006/relationships/hyperlink" Target="https://taxfoundation.org/blog/north-carolina-property-tax-reform/" TargetMode="External" Id="rId234"/><Relationship Type="http://schemas.openxmlformats.org/officeDocument/2006/relationships/hyperlink" Target="https://www.johnlocke.org/how-much-is-too-much-an-analysis-of-property-tax-revenue-growth-in-the-states-most-populous-counties/" TargetMode="External" Id="rId235"/><Relationship Type="http://schemas.openxmlformats.org/officeDocument/2006/relationships/hyperlink" Target="https://www.johnlocke.org/not-all-property-tax-levy-limits-are-created-equal/" TargetMode="External" Id="rId236"/><Relationship Type="http://schemas.openxmlformats.org/officeDocument/2006/relationships/hyperlink" Target="https://www.johnlocke.org/lower-rates-higher-bills-north-carolinas-property-tax-reality/" TargetMode="External" Id="rId237"/><Relationship Type="http://schemas.openxmlformats.org/officeDocument/2006/relationships/hyperlink" Target="https://taxfoundation.org/blog/north-dakota-property-tax-relief-reform/" TargetMode="External" Id="rId238"/><Relationship Type="http://schemas.openxmlformats.org/officeDocument/2006/relationships/hyperlink" Target="https://americansforprosperity.org/press-release/americans-for-prosperity-north-dakota-announces-2025-pathway-to-prosperity-legislative-agenda/" TargetMode="External" Id="rId239"/><Relationship Type="http://schemas.openxmlformats.org/officeDocument/2006/relationships/hyperlink" Target="https://taxfoundation.org/blog/north-dakota-property-tax-ballot-measure/" TargetMode="External" Id="rId240"/><Relationship Type="http://schemas.openxmlformats.org/officeDocument/2006/relationships/hyperlink" Target="https://roughriderinstitute.org/nd-legislature-hits-home-stretch/" TargetMode="External" Id="rId241"/><Relationship Type="http://schemas.openxmlformats.org/officeDocument/2006/relationships/hyperlink" Target="https://archive.commonsenseinstituteus.org/iowa/research/taxes-and-fees/iowa-leads-the-nation-in-property-tax-relief-ranking-state-reforms-of-the-past-decade" TargetMode="External" Id="rId242"/><Relationship Type="http://schemas.openxmlformats.org/officeDocument/2006/relationships/hyperlink" Target="https://www.buckeyeinstitute.org/research/detail/buckeye-institute-recommended-policies-to-lower-property-taxes-signed-into-law" TargetMode="External" Id="rId243"/><Relationship Type="http://schemas.openxmlformats.org/officeDocument/2006/relationships/hyperlink" Target="https://americansforprosperity.org/press-release/afp-oh-statement-on-house-passage-of-property-tax-reform-bills-hb-186-and-hb-335/" TargetMode="External" Id="rId244"/><Relationship Type="http://schemas.openxmlformats.org/officeDocument/2006/relationships/hyperlink" Target="https://www.buckeyeinstitute.org/research/detail/the-buckeye-institute-offers-10-specific-recommendations-to-lower-property-taxes" TargetMode="External" Id="rId245"/><Relationship Type="http://schemas.openxmlformats.org/officeDocument/2006/relationships/hyperlink" Target="https://americansforprosperity.org/press-release/afp-oh-applauds-ohio-house-for-overriding-property-tax-veto-rallies-support-ahead-of-senate-vote/" TargetMode="External" Id="rId246"/><Relationship Type="http://schemas.openxmlformats.org/officeDocument/2006/relationships/hyperlink" Target="https://www.buckeyeinstitute.org/research/detail/the-buckeye-institute-policies-in-ohio-hb-344-increase-property-tax-transparency" TargetMode="External" Id="rId247"/><Relationship Type="http://schemas.openxmlformats.org/officeDocument/2006/relationships/hyperlink" Target="https://taxfoundation.org/research/state-tax/2026-state-tax-ballot-measures/" TargetMode="External" Id="rId248"/><Relationship Type="http://schemas.openxmlformats.org/officeDocument/2006/relationships/hyperlink" Target="https://ocpathink.org/post/analysis/judges-and-property-taxes-what-oklahoma-voters-should-know-about-sq-845-and-sq-847" TargetMode="External" Id="rId249"/><Relationship Type="http://schemas.openxmlformats.org/officeDocument/2006/relationships/hyperlink" Target="https://ocpathink.org/post/independent-journalism/oklahoma-schools-with-sky-high-per-student-funding-are-sitting-on-millions-in-reserves-and-arent-necessarily-producing-the-highest-academic-results" TargetMode="External" Id="rId250"/><Relationship Type="http://schemas.openxmlformats.org/officeDocument/2006/relationships/hyperlink" Target="https://www.oksenate.gov/press-releases/standridge-champions-bills-lower-property-taxes" TargetMode="External" Id="rId251"/><Relationship Type="http://schemas.openxmlformats.org/officeDocument/2006/relationships/hyperlink" Target="https://ocpathink.org/post/analysis/how-oklahoma-can-deliver-property-tax-relief-the-smart-way" TargetMode="External" Id="rId252"/><Relationship Type="http://schemas.openxmlformats.org/officeDocument/2006/relationships/hyperlink" Target="https://ocpathink.org/post/independent-journalism/lawmakers-differ-on-reining-in-inflated-tax-bills" TargetMode="External" Id="rId253"/><Relationship Type="http://schemas.openxmlformats.org/officeDocument/2006/relationships/hyperlink" Target="https://cascadepolicy.org/tax-and-budget/we-cant-afford-metros-affordable-housing/" TargetMode="External" Id="rId254"/><Relationship Type="http://schemas.openxmlformats.org/officeDocument/2006/relationships/hyperlink" Target="https://cascadepolicy.org/tax-and-budget/hb-2089-brings-oregon-into-compliance-with-the-supreme-courts-tyler-ruling-on-property-rights-and-home-equity/" TargetMode="External" Id="rId255"/><Relationship Type="http://schemas.openxmlformats.org/officeDocument/2006/relationships/hyperlink" Target="https://cascadepolicy.org/tax-and-budget/testimony-before-the-multnomah-county-tax-supervising-and-conservation-commission-regarding-the-pps-general-obligation-bond-budget/" TargetMode="External" Id="rId256"/><Relationship Type="http://schemas.openxmlformats.org/officeDocument/2006/relationships/hyperlink" Target="https://apps.oregonlegislature.gov/liz/2025R1/Downloads/PublicTestimonyDocument/169367" TargetMode="External" Id="rId257"/><Relationship Type="http://schemas.openxmlformats.org/officeDocument/2006/relationships/hyperlink" Target="https://cascadepolicy.org/tax-and-budget/pps-bond-request-is-too-big-and-too-vague/" TargetMode="External" Id="rId258"/><Relationship Type="http://schemas.openxmlformats.org/officeDocument/2006/relationships/hyperlink" Target="https://cascadepolicy.org/tax-and-budget/taxpayers-have-been-generous-to-portland-schools/" TargetMode="External" Id="rId259"/><Relationship Type="http://schemas.openxmlformats.org/officeDocument/2006/relationships/hyperlink" Target="https://cascadepolicy.org/tax-and-budget/no-on-measure-26-225-metros-parks-and-nature-program-needs-a-reset/" TargetMode="External" Id="rId260"/><Relationship Type="http://schemas.openxmlformats.org/officeDocument/2006/relationships/hyperlink" Target="https://repwendyfink.com/News/37669/Latest-News/Independent-Fiscal-Office-Report-Confirms-Keefer-s-Senate-Bill-962---Fink-s-House-Bill-1649-Boost-Business-Investment-and-Deliver-Immediate-Relief-to-Families" TargetMode="External" Id="rId261"/><Relationship Type="http://schemas.openxmlformats.org/officeDocument/2006/relationships/hyperlink" Target="https://broadandliberty.com/2025/09/15/turning-the-key-to-property-tax-elimination/" TargetMode="External" Id="rId262"/><Relationship Type="http://schemas.openxmlformats.org/officeDocument/2006/relationships/hyperlink" Target="https://www.pagoppolicy.com/Display/SiteFiles/428/Documents/2021/PropertyTaxReform083021/RepRyan.pdf" TargetMode="External" Id="rId263"/><Relationship Type="http://schemas.openxmlformats.org/officeDocument/2006/relationships/hyperlink" Target="https://rifreedom.org/2026/07/big-government-report/" TargetMode="External" Id="rId264"/><Relationship Type="http://schemas.openxmlformats.org/officeDocument/2006/relationships/hyperlink" Target="https://ripec.org/property-taxes-2026/" TargetMode="External" Id="rId265"/><Relationship Type="http://schemas.openxmlformats.org/officeDocument/2006/relationships/hyperlink" Target="https://oceanstatecurrent.com/rhode-islands-property-tax-bite-painful-but-not-the-regions-worst/" TargetMode="External" Id="rId266"/><Relationship Type="http://schemas.openxmlformats.org/officeDocument/2006/relationships/hyperlink" Target="https://www.rihousegop.org/news-media/2026-rhode-island-republican-state-of-the-state-rebuttal" TargetMode="External" Id="rId267"/><Relationship Type="http://schemas.openxmlformats.org/officeDocument/2006/relationships/hyperlink" Target="https://taxfoundation.org/location/rhode-island/" TargetMode="External" Id="rId268"/><Relationship Type="http://schemas.openxmlformats.org/officeDocument/2006/relationships/hyperlink" Target="https://oceanstatecurrent.com/dave-talan-angel-connell-no-to-providences-big-tax-hike/" TargetMode="External" Id="rId269"/><Relationship Type="http://schemas.openxmlformats.org/officeDocument/2006/relationships/hyperlink" Target="https://rifreedom.org/2024/03/the-lefts-assault-on-ri-families/" TargetMode="External" Id="rId270"/><Relationship Type="http://schemas.openxmlformats.org/officeDocument/2006/relationships/hyperlink" Target="https://www.scpolicycouncil.org/s_c_senate_moves_to_expand_property_tax_homestead_exemption" TargetMode="External" Id="rId271"/><Relationship Type="http://schemas.openxmlformats.org/officeDocument/2006/relationships/hyperlink" Target="https://taxfoundation.org/location/south-carolina/" TargetMode="External" Id="rId272"/><Relationship Type="http://schemas.openxmlformats.org/officeDocument/2006/relationships/hyperlink" Target="https://palmettopromise.org/taxing-times-for-south-carolina-renters-investors-vacationers/" TargetMode="External" Id="rId273"/><Relationship Type="http://schemas.openxmlformats.org/officeDocument/2006/relationships/hyperlink" Target="https://palmettopromise.org/south-carolinas-hidden-tax-how-manufacturing-property-taxes-could-threaten-our-states-growth/" TargetMode="External" Id="rId274"/><Relationship Type="http://schemas.openxmlformats.org/officeDocument/2006/relationships/hyperlink" Target="https://palmettopromise.org/report-achieving-prosperity-stability-fairness-essential-south-carolina-tax-reforms/" TargetMode="External" Id="rId275"/><Relationship Type="http://schemas.openxmlformats.org/officeDocument/2006/relationships/hyperlink" Target="https://palmettopromise.org/what-tax-to-cut-property-or-income/" TargetMode="External" Id="rId276"/><Relationship Type="http://schemas.openxmlformats.org/officeDocument/2006/relationships/hyperlink" Target="https://palmettopromise.org/the-legislative-session-is-mostly-over-what-got-done/" TargetMode="External" Id="rId277"/><Relationship Type="http://schemas.openxmlformats.org/officeDocument/2006/relationships/hyperlink" Target="https://archive.commonsenseinstituteus.org/iowa/research/taxes-and-fees/iowa-leads-the-nation-in-property-tax-relief-ranking-state-reforms-of-the-past-decade" TargetMode="External" Id="rId278"/><Relationship Type="http://schemas.openxmlformats.org/officeDocument/2006/relationships/hyperlink" Target="https://americansforprosperity.org/press-release/afp-sd-issues-fresh-call-for-tax-transparency-legislation-on-filing-day/" TargetMode="External" Id="rId279"/><Relationship Type="http://schemas.openxmlformats.org/officeDocument/2006/relationships/hyperlink" Target="https://americansforprosperity.org/press-release/afp-south-dakota-criticizes-house-defeat-of-senate-bill-85/" TargetMode="External" Id="rId280"/><Relationship Type="http://schemas.openxmlformats.org/officeDocument/2006/relationships/hyperlink" Target="https://taxfoundation.org/blog/excise-taxes-cannot-replace-property-taxes/" TargetMode="External" Id="rId281"/><Relationship Type="http://schemas.openxmlformats.org/officeDocument/2006/relationships/hyperlink" Target="https://taxfoundation.org/location/south-dakota/" TargetMode="External" Id="rId282"/><Relationship Type="http://schemas.openxmlformats.org/officeDocument/2006/relationships/hyperlink" Target="https://mylrc.sdlegislature.gov/api/Documents/PressRelease/287260.pdf" TargetMode="External" Id="rId283"/><Relationship Type="http://schemas.openxmlformats.org/officeDocument/2006/relationships/hyperlink" Target="https://americansforprosperity.org/press-release/icymi-afp-sd-continues-grassroots-engagement-in-back-to-back-property-tax-town-halls-with-gov-rhoden/" TargetMode="External" Id="rId284"/><Relationship Type="http://schemas.openxmlformats.org/officeDocument/2006/relationships/hyperlink" Target="https://www.beacontn.org/taxing-9-to-5-what-does-the-research-say-about-property-tax-caps/" TargetMode="External" Id="rId285"/><Relationship Type="http://schemas.openxmlformats.org/officeDocument/2006/relationships/hyperlink" Target="https://tnhousegop.org/press-releases/2026/10/rep-tandy-darby-amendment-2-to-keep-tennessee-free-from-a-state-property-tax/" TargetMode="External" Id="rId286"/><Relationship Type="http://schemas.openxmlformats.org/officeDocument/2006/relationships/hyperlink" Target="https://www.beacontn.org/tennessee-leads-the-nation-in-property-tax-hikes" TargetMode="External" Id="rId287"/><Relationship Type="http://schemas.openxmlformats.org/officeDocument/2006/relationships/hyperlink" Target="https://www.beacontn.org/why-tennessee-doesnt-need-a-state-property-tax/" TargetMode="External" Id="rId288"/><Relationship Type="http://schemas.openxmlformats.org/officeDocument/2006/relationships/hyperlink" Target="https://tnhousegop.org/press-releases/2026/02/rep-bud-hulsey-proposes-limiting-local-property-tax-hikes/" TargetMode="External" Id="rId289"/><Relationship Type="http://schemas.openxmlformats.org/officeDocument/2006/relationships/hyperlink" Target="https://www.beacontn.org/wp-content/uploads/2025/11/PropertyTaxBrief_BeaconCenter_11.12.25_3.pdf" TargetMode="External" Id="rId290"/><Relationship Type="http://schemas.openxmlformats.org/officeDocument/2006/relationships/hyperlink" Target="https://taxfoundation.org/location/tennessee/" TargetMode="External" Id="rId291"/><Relationship Type="http://schemas.openxmlformats.org/officeDocument/2006/relationships/hyperlink" Target="https://americansforprosperity.org/press-release/afp-tn-and-conservative-coalition-launches-campaign-to-fight-property-tax-increase-in-nashville/" TargetMode="External" Id="rId292"/><Relationship Type="http://schemas.openxmlformats.org/officeDocument/2006/relationships/hyperlink" Target="https://www.texaspolicy.com/these-12-small-mid-sized-cities-and-counties-are-threatening-huge-tax-hikes/" TargetMode="External" Id="rId293"/><Relationship Type="http://schemas.openxmlformats.org/officeDocument/2006/relationships/hyperlink" Target="https://www.texaspolicy.com/just-the-facts-local-government-spending/" TargetMode="External" Id="rId294"/><Relationship Type="http://schemas.openxmlformats.org/officeDocument/2006/relationships/hyperlink" Target="https://archive.commonsenseinstituteus.org/iowa/research/taxes-and-fees/iowa-leads-the-nation-in-property-tax-relief-ranking-state-reforms-of-the-past-decade" TargetMode="External" Id="rId295"/><Relationship Type="http://schemas.openxmlformats.org/officeDocument/2006/relationships/hyperlink" Target="https://www.texaspolicy.com/just-the-facts-property-taxes-in-texas-most-populous-cities-counties-and-school-districts-4th-edition/" TargetMode="External" Id="rId296"/><Relationship Type="http://schemas.openxmlformats.org/officeDocument/2006/relationships/hyperlink" Target="https://americansforprosperity.org/press-release/afp-texas-launches-task-force-of-local-officials-for-property-tax-reform/" TargetMode="External" Id="rId297"/><Relationship Type="http://schemas.openxmlformats.org/officeDocument/2006/relationships/hyperlink" Target="https://taxfoundation.org/research/all/state/2026-state-tax-competitiveness-index/" TargetMode="External" Id="rId298"/><Relationship Type="http://schemas.openxmlformats.org/officeDocument/2006/relationships/hyperlink" Target="https://www.texaspolicy.com/wp-content/uploads/2025/08/2025-08-TPP-Stop-the-Steal-Special-Session-Quintero.pdf" TargetMode="External" Id="rId299"/><Relationship Type="http://schemas.openxmlformats.org/officeDocument/2006/relationships/hyperlink" Target="https://senate.texas.gov/press.php?id=7-20250530a" TargetMode="External" Id="rId300"/><Relationship Type="http://schemas.openxmlformats.org/officeDocument/2006/relationships/hyperlink" Target="https://utahtaxpayers.org/see-who-is-proposing-a-property-tax-increase/" TargetMode="External" Id="rId301"/><Relationship Type="http://schemas.openxmlformats.org/officeDocument/2006/relationships/hyperlink" Target="https://utahtaxpayers.org/wp-content/uploads/2026/03/Legislative-Scorecard-2026-v2.pdf" TargetMode="External" Id="rId302"/><Relationship Type="http://schemas.openxmlformats.org/officeDocument/2006/relationships/hyperlink" Target="https://house.utleg.gov/opinion-its-time-to-make-truth-in-taxation-work-better/" TargetMode="External" Id="rId303"/><Relationship Type="http://schemas.openxmlformats.org/officeDocument/2006/relationships/hyperlink" Target="https://taxfoundation.org/research/all/state/2026-state-tax-competitiveness-index/" TargetMode="External" Id="rId304"/><Relationship Type="http://schemas.openxmlformats.org/officeDocument/2006/relationships/hyperlink" Target="https://www.deseret.com/opinion/2025/08/08/utah-tax-hike-hurts-40-years-policy-success" TargetMode="External" Id="rId305"/><Relationship Type="http://schemas.openxmlformats.org/officeDocument/2006/relationships/hyperlink" Target="https://utahtaxpayers.org/presidents-message-june-2025-keeping-property-taxes-affordable/" TargetMode="External" Id="rId306"/><Relationship Type="http://schemas.openxmlformats.org/officeDocument/2006/relationships/hyperlink" Target="https://libertas.institute/bill/sb-29-more-truth-in-truth-in-taxation/" TargetMode="External" Id="rId307"/><Relationship Type="http://schemas.openxmlformats.org/officeDocument/2006/relationships/hyperlink" Target="https://libertas.institute/op-eds/elderly-people-shouldnt-become-homeless-because-of-property-taxes/" TargetMode="External" Id="rId308"/><Relationship Type="http://schemas.openxmlformats.org/officeDocument/2006/relationships/hyperlink" Target="https://alec.org/article/utahs-truth-in-taxation-for-property-taxes/" TargetMode="External" Id="rId309"/><Relationship Type="http://schemas.openxmlformats.org/officeDocument/2006/relationships/hyperlink" Target="https://fiscalalliancefoundation.org/proposal3/" TargetMode="External" Id="rId310"/><Relationship Type="http://schemas.openxmlformats.org/officeDocument/2006/relationships/hyperlink" Target="https://fiscalalliancefoundation.org/vermont-affordability-poll" TargetMode="External" Id="rId311"/><Relationship Type="http://schemas.openxmlformats.org/officeDocument/2006/relationships/hyperlink" Target="https://americansforprosperity.org/press-release/afp-responds-to-governor-phil-scotts-state-of-the-state-address/" TargetMode="External" Id="rId312"/><Relationship Type="http://schemas.openxmlformats.org/officeDocument/2006/relationships/hyperlink" Target="https://fiscalalliancefoundation.org/vermont.html" TargetMode="External" Id="rId313"/><Relationship Type="http://schemas.openxmlformats.org/officeDocument/2006/relationships/hyperlink" Target="https://vermontbiz.com/node/240664" TargetMode="External" Id="rId314"/><Relationship Type="http://schemas.openxmlformats.org/officeDocument/2006/relationships/hyperlink" Target="https://taxfoundation.org/research/all/state/2026-state-tax-competitiveness-index/" TargetMode="External" Id="rId315"/><Relationship Type="http://schemas.openxmlformats.org/officeDocument/2006/relationships/hyperlink" Target="https://www.ethanallen.org/a_modest_proposal_from_46_states_property_tax_limitations" TargetMode="External" Id="rId316"/><Relationship Type="http://schemas.openxmlformats.org/officeDocument/2006/relationships/hyperlink" Target="https://www.jeffersonforum.org/data-center-misinformation-is-killing-the-golden-goose/" TargetMode="External" Id="rId317"/><Relationship Type="http://schemas.openxmlformats.org/officeDocument/2006/relationships/hyperlink" Target="https://www.jeffersonforum.org/first-they-came-for-the-data-centers-but-will-it-stop-there/" TargetMode="External" Id="rId318"/><Relationship Type="http://schemas.openxmlformats.org/officeDocument/2006/relationships/hyperlink" Target="https://virginiahouse.gop/2026/01/19/house-republicans-roll-out-affordability-done-right-agenda-to-lower-costs-for-virginians/" TargetMode="External" Id="rId319"/><Relationship Type="http://schemas.openxmlformats.org/officeDocument/2006/relationships/hyperlink" Target="https://www.thomasjeffersoninst.org/standard-deductions-opportunity-scholarships-and-car-taxes-gov-youngkin-proposes-three-of-tjis-key-policy-priorities/" TargetMode="External" Id="rId320"/><Relationship Type="http://schemas.openxmlformats.org/officeDocument/2006/relationships/hyperlink" Target="https://www.thomasjeffersoninst.org/its-car-tax-day-lets-move-forward-on-governor-gilmores-no-car-tax-pledge/" TargetMode="External" Id="rId321"/><Relationship Type="http://schemas.openxmlformats.org/officeDocument/2006/relationships/hyperlink" Target="https://houserepublicans.wa.gov/how-democrats-are-taxing-you/" TargetMode="External" Id="rId322"/><Relationship Type="http://schemas.openxmlformats.org/officeDocument/2006/relationships/hyperlink" Target="https://houserepublicans.wa.gov/tax-increases/" TargetMode="External" Id="rId323"/><Relationship Type="http://schemas.openxmlformats.org/officeDocument/2006/relationships/hyperlink" Target="https://src.wastateleg.org/?p=23212" TargetMode="External" Id="rId324"/><Relationship Type="http://schemas.openxmlformats.org/officeDocument/2006/relationships/hyperlink" Target="https://citizenactiondefense.org/back-back-in-the-northwest-groove/" TargetMode="External" Id="rId325"/><Relationship Type="http://schemas.openxmlformats.org/officeDocument/2006/relationships/hyperlink" Target="https://washingtonpolicy.org/publications/detail/senate-bill-5798-is-a-massive-tax-increase-on-the-homeowners-of-washington" TargetMode="External" Id="rId326"/><Relationship Type="http://schemas.openxmlformats.org/officeDocument/2006/relationships/hyperlink" Target="https://www.mountainstatespolicy.org/post/washington-lawmakers-propose-billions-in-new-tax-increases" TargetMode="External" Id="rId327"/><Relationship Type="http://schemas.openxmlformats.org/officeDocument/2006/relationships/hyperlink" Target="https://www.washingtonpolicy.org/publications/detail/house-bill-1334-would-allow-municipalities-to-increase-property-taxes-significantly" TargetMode="External" Id="rId328"/><Relationship Type="http://schemas.openxmlformats.org/officeDocument/2006/relationships/hyperlink" Target="https://cardinalinstitute.com/research/how-k-12-funding-works-in-west-virginia/" TargetMode="External" Id="rId329"/><Relationship Type="http://schemas.openxmlformats.org/officeDocument/2006/relationships/hyperlink" Target="https://taxfoundation.org/blog/west-virginia-tax-cuts/" TargetMode="External" Id="rId330"/><Relationship Type="http://schemas.openxmlformats.org/officeDocument/2006/relationships/hyperlink" Target="https://taxfoundation.org/blog/west-virginia-tax-relief/" TargetMode="External" Id="rId331"/><Relationship Type="http://schemas.openxmlformats.org/officeDocument/2006/relationships/hyperlink" Target="https://cardinalinstitute.com/tax-debates-and-tax-rebates/" TargetMode="External" Id="rId332"/><Relationship Type="http://schemas.openxmlformats.org/officeDocument/2006/relationships/hyperlink" Target="https://americansforprosperity.org/press-release/wtas-historic-tax-reform-for-west-virginians/" TargetMode="External" Id="rId333"/><Relationship Type="http://schemas.openxmlformats.org/officeDocument/2006/relationships/hyperlink" Target="https://home.wvlegislature.gov/senate-releases-comprehensive-plan-to-provide-tax-relief-to-west-virginians/" TargetMode="External" Id="rId334"/><Relationship Type="http://schemas.openxmlformats.org/officeDocument/2006/relationships/hyperlink" Target="https://taxfoundation.org/blog/west-virginia-amendment-2/" TargetMode="External" Id="rId335"/><Relationship Type="http://schemas.openxmlformats.org/officeDocument/2006/relationships/hyperlink" Target="https://cardinalinstitute.com/amendment-2-what-you-need-to-know/" TargetMode="External" Id="rId336"/><Relationship Type="http://schemas.openxmlformats.org/officeDocument/2006/relationships/hyperlink" Target="https://americansforprosperity.org/press-release/americans-for-prosperity-west-virginia-steps-up-ballot-measure-and-candidate-engagement/" TargetMode="External" Id="rId337"/><Relationship Type="http://schemas.openxmlformats.org/officeDocument/2006/relationships/hyperlink" Target="https://will-law.org/analysis-property-taxes-in-wisconsin-are-heating-up/" TargetMode="External" Id="rId338"/><Relationship Type="http://schemas.openxmlformats.org/officeDocument/2006/relationships/hyperlink" Target="https://americansforprosperity.org/press-release/afp-wi-crowleys-affordability-ad-omits-the-12-million-property-tax-increase-in-his-own-budget/" TargetMode="External" Id="rId339"/><Relationship Type="http://schemas.openxmlformats.org/officeDocument/2006/relationships/hyperlink" Target="https://www.badgerinstitute.org/how-a-development-tool-can-increase-property-taxes/" TargetMode="External" Id="rId340"/><Relationship Type="http://schemas.openxmlformats.org/officeDocument/2006/relationships/hyperlink" Target="https://www.badgerinstitute.org/school-levy-tax-credits-reward-big-spenders-at-the-expense-of-frugal-districts/" TargetMode="External" Id="rId341"/><Relationship Type="http://schemas.openxmlformats.org/officeDocument/2006/relationships/hyperlink" Target="https://reforminggovernment.org/decoupling-vote-has-irg-talking-about-property-taxes-again/" TargetMode="External" Id="rId342"/><Relationship Type="http://schemas.openxmlformats.org/officeDocument/2006/relationships/hyperlink" Target="https://www.badgerinstitute.org/governor-evers-property-tax-relief-plan-fails-to-constrain-property-tax-growth/" TargetMode="External" Id="rId343"/><Relationship Type="http://schemas.openxmlformats.org/officeDocument/2006/relationships/hyperlink" Target="https://legis.wisconsin.gov/senate/12/Felzkowski/media/i3hjvqyr/20250418-400-year-veto-upheld.pdf" TargetMode="External" Id="rId344"/><Relationship Type="http://schemas.openxmlformats.org/officeDocument/2006/relationships/hyperlink" Target="https://reforminggovernment.org/court-watch-property-taxes-could-skyrocket-if-supreme-court-overturns-act-10/" TargetMode="External" Id="rId345"/><Relationship Type="http://schemas.openxmlformats.org/officeDocument/2006/relationships/hyperlink" Target="https://www.maciverinstitute.com/research/on-the-ballot-city-and-village-referendums" TargetMode="External" Id="rId346"/><Relationship Type="http://schemas.openxmlformats.org/officeDocument/2006/relationships/hyperlink" Target="https://will-law.org/wisconsins-referendum-process-results-in-misleading-tax-increases-leave-voters-in-the-dark/" TargetMode="External" Id="rId347"/><Relationship Type="http://schemas.openxmlformats.org/officeDocument/2006/relationships/hyperlink" Target="https://www.badgerinstitute.org/badger-institute-urges-no-vote-on-mps-referendum/" TargetMode="External" Id="rId348"/><Relationship Type="http://schemas.openxmlformats.org/officeDocument/2006/relationships/hyperlink" Target="https://www.badgerinstitute.org/failure-of-tax-and-schools-deal-offers-chance-to-do-better/" TargetMode="External" Id="rId349"/><Relationship Type="http://schemas.openxmlformats.org/officeDocument/2006/relationships/hyperlink" Target="https://www.mountainstatespolicy.org/post/ballot-guide-2026-wyoming-s-initiative-1" TargetMode="External" Id="rId350"/><Relationship Type="http://schemas.openxmlformats.org/officeDocument/2006/relationships/hyperlink" Target="https://wyotax.org/reform-dont-break-wyoming-taxpayers-association-opposes-prop-1/" TargetMode="External" Id="rId351"/><Relationship Type="http://schemas.openxmlformats.org/officeDocument/2006/relationships/hyperlink" Target="https://www.wyomingnews.com/news/elections/wyoming-republican-party-backs-property-tax-cut-ballot-initiative/article_a8dff312-4616-467c-a20b-7c7dd3c1ea22.html" TargetMode="External" Id="rId352"/><Relationship Type="http://schemas.openxmlformats.org/officeDocument/2006/relationships/hyperlink" Target="https://archive.commonsenseinstituteus.org/iowa/research/taxes-and-fees/iowa-leads-the-nation-in-property-tax-relief-ranking-state-reforms-of-the-past-decade" TargetMode="External" Id="rId353"/><Relationship Type="http://schemas.openxmlformats.org/officeDocument/2006/relationships/hyperlink" Target="https://wyliberty.org/blog/political-perspectives/wy-2026-sf-39-long-term-homeowner-tax-exemption-sunset-repeal" TargetMode="External" Id="rId354"/><Relationship Type="http://schemas.openxmlformats.org/officeDocument/2006/relationships/hyperlink" Target="https://wyliberty.org/blog/political-perspectives/wy-2026-hj-4-residential-property-tax-value-constitutional-amendment" TargetMode="External" Id="rId355"/><Relationship Type="http://schemas.openxmlformats.org/officeDocument/2006/relationships/hyperlink" Target="https://newslj.com/wyoming-freedom-caucus-calls-more-tax-cuts" TargetMode="External" Id="rId356"/><Relationship Type="http://schemas.openxmlformats.org/officeDocument/2006/relationships/hyperlink" Target="https://www.mountainstatespolicy.org/post/wyoming-property-tax-relief-law-won-t-stop-bills-from-rising" TargetMode="External" Id="rId357"/><Relationship Type="http://schemas.openxmlformats.org/officeDocument/2006/relationships/hyperlink" Target="https://taxfoundation.org/blog/wyoming-property-tax-ballot-measure/" TargetMode="External" Id="rId358"/><Relationship Type="http://schemas.openxmlformats.org/officeDocument/2006/relationships/table" Target="/xl/tables/table2.xml" Id="rId359"/></Relationships>
</file>

<file path=xl/worksheets/_rels/sheet3.xml.rels><Relationships xmlns="http://schemas.openxmlformats.org/package/2006/relationships"><Relationship Type="http://schemas.openxmlformats.org/officeDocument/2006/relationships/hyperlink" Target="https://www.revenue.alabama.gov/wp-content/uploads/2025/03/HB73.pdf" TargetMode="External" Id="rId1"/><Relationship Type="http://schemas.openxmlformats.org/officeDocument/2006/relationships/hyperlink" Target="https://www.revenue.alabama.gov/property-tax/homestead-exemptions/" TargetMode="External" Id="rId2"/><Relationship Type="http://schemas.openxmlformats.org/officeDocument/2006/relationships/hyperlink" Target="https://law.justia.com/constitution/alabama/CA-888542.html" TargetMode="External" Id="rId3"/><Relationship Type="http://schemas.openxmlformats.org/officeDocument/2006/relationships/hyperlink" Target="https://www.lincolninst.edu/app/uploads/legacy-files/gwipp/upload/sources/Alabama/2021/al_ad_valorem_tax_guide.pdf" TargetMode="External" Id="rId4"/><Relationship Type="http://schemas.openxmlformats.org/officeDocument/2006/relationships/hyperlink" Target="https://1819news.com/news/item/alabamas-7-property-tax-reappraisal-cap-expires-in-2027-will-lawmakers-extend-it" TargetMode="External" Id="rId5"/><Relationship Type="http://schemas.openxmlformats.org/officeDocument/2006/relationships/hyperlink" Target="https://legiscan.com/AL/text/HB310/2026" TargetMode="External" Id="rId6"/><Relationship Type="http://schemas.openxmlformats.org/officeDocument/2006/relationships/hyperlink" Target="https://apps.lincolninst.edu/uploads/summary-tables/rate-limits-summary-tables/rate-limits-2022-4.xlsx" TargetMode="External" Id="rId7"/><Relationship Type="http://schemas.openxmlformats.org/officeDocument/2006/relationships/hyperlink" Target="https://www2.census.gov/programs-surveys/gov-finances/tables/2022/22slsstab1.xlsx" TargetMode="External" Id="rId8"/><Relationship Type="http://schemas.openxmlformats.org/officeDocument/2006/relationships/hyperlink" Target="https://taxfoundation.org/data/all/state/sales-tax-rates/" TargetMode="External" Id="rId9"/><Relationship Type="http://schemas.openxmlformats.org/officeDocument/2006/relationships/hyperlink" Target="https://www.revenue.alabama.gov/property-tax/7-cap-information-hb73-act-2024-344/" TargetMode="External" Id="rId10"/><Relationship Type="http://schemas.openxmlformats.org/officeDocument/2006/relationships/hyperlink" Target="https://alison.legislature.state.al.us/files/pdf/SearchableInstruments/2026RS/HB167-int.pdf" TargetMode="External" Id="rId11"/><Relationship Type="http://schemas.openxmlformats.org/officeDocument/2006/relationships/hyperlink" Target="https://www.alabar.org/assets/2026/03/Tax-3.20.26.pdf" TargetMode="External" Id="rId12"/><Relationship Type="http://schemas.openxmlformats.org/officeDocument/2006/relationships/hyperlink" Target="https://www.fox10tv.com/2026/09/14/decision-2026-alabama-sample-ballots-now-available-nov-3-election/" TargetMode="External" Id="rId13"/><Relationship Type="http://schemas.openxmlformats.org/officeDocument/2006/relationships/hyperlink" Target="https://www.alreporter.com/2024/09/25/tuscaloosa-residents-reject-property-tax-increase-for-schools/" TargetMode="External" Id="rId14"/><Relationship Type="http://schemas.openxmlformats.org/officeDocument/2006/relationships/hyperlink" Target="https://alabamapolicy.org/2024/02/05/api-top-10-things-the-al-legislature-should-accomplish-in-2024/" TargetMode="External" Id="rId15"/><Relationship Type="http://schemas.openxmlformats.org/officeDocument/2006/relationships/hyperlink" Target="https://www.tuscco.com/wp-content/uploads/2026/05/Insert-for-2026-Valuation-Notices-CAP-Doc-3-1.pdf" TargetMode="External" Id="rId16"/><Relationship Type="http://schemas.openxmlformats.org/officeDocument/2006/relationships/hyperlink" Target="https://www.commerce.alaska.gov/dcra/admin/Taxable/ViewFile/2de31798-e2aa-42c9-8a50-43e1c7c6ddb8" TargetMode="External" Id="rId17"/><Relationship Type="http://schemas.openxmlformats.org/officeDocument/2006/relationships/hyperlink" Target="https://www.akleg.gov/basis/statutes.asp#29.45.090" TargetMode="External" Id="rId18"/><Relationship Type="http://schemas.openxmlformats.org/officeDocument/2006/relationships/hyperlink" Target="https://www.akleg.gov/basis/statutes.asp#43.56" TargetMode="External" Id="rId19"/><Relationship Type="http://schemas.openxmlformats.org/officeDocument/2006/relationships/hyperlink" Target="https://www.muni.org/Departments/Assembly/SiteAssets/Pages/FOCUS-Budget-and-Taxes/2026%20Property%20Taxes%20Fact%20Sheet.pdf" TargetMode="External" Id="rId20"/><Relationship Type="http://schemas.openxmlformats.org/officeDocument/2006/relationships/hyperlink" Target="https://muni.org/Departments/Assembly/Documents/AIM%208-2025.pdf" TargetMode="External" Id="rId21"/><Relationship Type="http://schemas.openxmlformats.org/officeDocument/2006/relationships/hyperlink" Target="https://www.adn.com/article/20160405/anchorage-voters-support-tax-cap-initiative-and-marijuana-taxes" TargetMode="External" Id="rId22"/><Relationship Type="http://schemas.openxmlformats.org/officeDocument/2006/relationships/hyperlink" Target="https://matsugov.us/news/whistle-stop-mat-su-on-the-new-tax-cap" TargetMode="External" Id="rId23"/><Relationship Type="http://schemas.openxmlformats.org/officeDocument/2006/relationships/hyperlink" Target="https://www.adn.com/politics/alaska-legislature/2026/08/25/3rd-special-session-on-alaska-lng-ending-after-lawmakers-decline-to-take-up-dunleavys-bill/" TargetMode="External" Id="rId24"/><Relationship Type="http://schemas.openxmlformats.org/officeDocument/2006/relationships/hyperlink" Target="https://www.alaskasnewssource.com/2025/03/19/anchorage-sales-tax-proposal-go-before-voters-tuesday-night" TargetMode="External" Id="rId25"/><Relationship Type="http://schemas.openxmlformats.org/officeDocument/2006/relationships/hyperlink" Target="https://www.lincolninst.edu/app/uploads/2025/01/levy_limits_2022.xlsx" TargetMode="External" Id="rId26"/><Relationship Type="http://schemas.openxmlformats.org/officeDocument/2006/relationships/hyperlink" Target="https://law.justia.com/codes/alaska/title-29/chapter-45/article-1/section-29-45-090/" TargetMode="External" Id="rId27"/><Relationship Type="http://schemas.openxmlformats.org/officeDocument/2006/relationships/hyperlink" Target="https://www.adn.com/alaska-news/anchorage/2026/01/14/lafrance-says-anchorage-sales-tax-conversations-will-continue-despite-tabling/" TargetMode="External" Id="rId28"/><Relationship Type="http://schemas.openxmlformats.org/officeDocument/2006/relationships/hyperlink" Target="https://www.adn.com/alaska-news/anchorage/2026/05/12/tax-concerns-and-school-district-distrust-shaped-anchorages-mixed-municipal-election-results/" TargetMode="External" Id="rId29"/><Relationship Type="http://schemas.openxmlformats.org/officeDocument/2006/relationships/hyperlink" Target="https://www.alaskasnewssource.com/2026/01/10/we-do-math-sales-tax-vs-property-taxes-which-saves-you-more-money/" TargetMode="External" Id="rId30"/><Relationship Type="http://schemas.openxmlformats.org/officeDocument/2006/relationships/hyperlink" Target="https://www.akleg.gov/basis/Bill/Detail/34?Root=HB%20169" TargetMode="External" Id="rId31"/><Relationship Type="http://schemas.openxmlformats.org/officeDocument/2006/relationships/hyperlink" Target="https://www.akleg.gov/pdf/34/Bills/HB0169A.pdf" TargetMode="External" Id="rId32"/><Relationship Type="http://schemas.openxmlformats.org/officeDocument/2006/relationships/hyperlink" Target="https://www.akleg.gov/basis/Bill/Detail/34?Root=SB%20259" TargetMode="External" Id="rId33"/><Relationship Type="http://schemas.openxmlformats.org/officeDocument/2006/relationships/hyperlink" Target="https://thealaskacurrent.com/2024/05/13/property-tax-cut/" TargetMode="External" Id="rId34"/><Relationship Type="http://schemas.openxmlformats.org/officeDocument/2006/relationships/hyperlink" Target="https://muni.org/Departments/Assembly/Documents/DRAFT%20AR%20re%20Property%20Tax%20Excalation%20Limitations.pdf" TargetMode="External" Id="rId35"/><Relationship Type="http://schemas.openxmlformats.org/officeDocument/2006/relationships/hyperlink" Target="https://www.alaskasnewssource.com/2026/06/13/city-fairbanks-establishes-tax-rate-current-year/" TargetMode="External" Id="rId36"/><Relationship Type="http://schemas.openxmlformats.org/officeDocument/2006/relationships/hyperlink" Target="https://www.alaskasnewssource.com/2026/05/31/fairbanks-borough-assembly-passes-fy27-budget-with-no-increase-mill-rate/" TargetMode="External" Id="rId37"/><Relationship Type="http://schemas.openxmlformats.org/officeDocument/2006/relationships/hyperlink" Target="https://alaskapolicyforum.org/2023/06/testimony-tax-blighted-property/" TargetMode="External" Id="rId38"/><Relationship Type="http://schemas.openxmlformats.org/officeDocument/2006/relationships/hyperlink" Target="https://theballotbrief.com/measures/alaska" TargetMode="External" Id="rId39"/><Relationship Type="http://schemas.openxmlformats.org/officeDocument/2006/relationships/hyperlink" Target="https://www.azleg.gov/const/9/18.htm" TargetMode="External" Id="rId40"/><Relationship Type="http://schemas.openxmlformats.org/officeDocument/2006/relationships/hyperlink" Target="https://www.azleg.gov/const/9/19.htm" TargetMode="External" Id="rId41"/><Relationship Type="http://schemas.openxmlformats.org/officeDocument/2006/relationships/hyperlink" Target="https://www.azleg.gov/const/9/20.htm" TargetMode="External" Id="rId42"/><Relationship Type="http://schemas.openxmlformats.org/officeDocument/2006/relationships/hyperlink" Target="https://www.azleg.gov/const/9/21.htm" TargetMode="External" Id="rId43"/><Relationship Type="http://schemas.openxmlformats.org/officeDocument/2006/relationships/hyperlink" Target="https://www.azleg.gov/ars/42/17107.htm" TargetMode="External" Id="rId44"/><Relationship Type="http://schemas.openxmlformats.org/officeDocument/2006/relationships/hyperlink" Target="https://www.azleg.gov/ars/16/00204.htm" TargetMode="External" Id="rId45"/><Relationship Type="http://schemas.openxmlformats.org/officeDocument/2006/relationships/hyperlink" Target="https://www.azleg.gov/ars/15/00972.htm" TargetMode="External" Id="rId46"/><Relationship Type="http://schemas.openxmlformats.org/officeDocument/2006/relationships/hyperlink" Target="https://www.azleg.gov/ars/41/01276.htm" TargetMode="External" Id="rId47"/><Relationship Type="http://schemas.openxmlformats.org/officeDocument/2006/relationships/hyperlink" Target="https://www.azleg.gov/ars/48/00807.htm" TargetMode="External" Id="rId48"/><Relationship Type="http://schemas.openxmlformats.org/officeDocument/2006/relationships/hyperlink" Target="https://www.azjlbc.gov/26AR/ade.pdf" TargetMode="External" Id="rId49"/><Relationship Type="http://schemas.openxmlformats.org/officeDocument/2006/relationships/hyperlink" Target="https://www.azjlbc.gov/units/tntletter080122.pdf" TargetMode="External" Id="rId50"/><Relationship Type="http://schemas.openxmlformats.org/officeDocument/2006/relationships/hyperlink" Target="https://www.azleg.gov/legtext/57leg/1R/summary/H.SCR1041_063025_TRANSMITTED.DOCX.htm" TargetMode="External" Id="rId51"/><Relationship Type="http://schemas.openxmlformats.org/officeDocument/2006/relationships/hyperlink" Target="https://azleg.gov/legtext/55leg/2R/summary/H.HCR2039_021522_TRANSMITTED.DOCX.htm" TargetMode="External" Id="rId52"/><Relationship Type="http://schemas.openxmlformats.org/officeDocument/2006/relationships/hyperlink" Target="https://www.azauditor.gov/resources/cities-and-towns/faqs" TargetMode="External" Id="rId53"/><Relationship Type="http://schemas.openxmlformats.org/officeDocument/2006/relationships/hyperlink" Target="https://mohave.gov/departments/assessor/program-enrollment/exemptions" TargetMode="External" Id="rId54"/><Relationship Type="http://schemas.openxmlformats.org/officeDocument/2006/relationships/hyperlink" Target="https://ballotpedia.org/Arizona_Property_Tax_Refund_for_Non-Enforcement_of_Public_Nuisance_Laws_Measure_(2024)" TargetMode="External" Id="rId55"/><Relationship Type="http://schemas.openxmlformats.org/officeDocument/2006/relationships/hyperlink" Target="https://taxfoundation.org/research/state-tax/2026-state-tax-ballot-measures/" TargetMode="External" Id="rId56"/><Relationship Type="http://schemas.openxmlformats.org/officeDocument/2006/relationships/hyperlink" Target="https://apps.azsos.gov/election/2012/info/PubPamphlet/english/prop117.htm" TargetMode="External" Id="rId57"/><Relationship Type="http://schemas.openxmlformats.org/officeDocument/2006/relationships/hyperlink" Target="https://www.azleg.gov/ars/42/13302.htm" TargetMode="External" Id="rId58"/><Relationship Type="http://schemas.openxmlformats.org/officeDocument/2006/relationships/hyperlink" Target="https://www.kjzz.org/text/politics/2026-02-26/arizona-gov-katie-hobbs-vetoed-these-bills-in-2026" TargetMode="External" Id="rId59"/><Relationship Type="http://schemas.openxmlformats.org/officeDocument/2006/relationships/hyperlink" Target="https://www.kjzz.org/politics/2026-02-13/bill-to-expand-property-tax-exemptions-for-disabled-veterans-passes-arizona-legislature" TargetMode="External" Id="rId60"/><Relationship Type="http://schemas.openxmlformats.org/officeDocument/2006/relationships/hyperlink" Target="https://www.goldwaterinstitute.org/yuma-county-hospital-district-treasurer-refunding-illegal-property-tax-after-goldwater-legal-challenge/" TargetMode="External" Id="rId61"/><Relationship Type="http://schemas.openxmlformats.org/officeDocument/2006/relationships/hyperlink" Target="https://www.arizonatax.org/sites/default/files/publications/newsletters/file/ATRA%20Sept%20Oct%202026%20Newsletter.pdf" TargetMode="External" Id="rId62"/><Relationship Type="http://schemas.openxmlformats.org/officeDocument/2006/relationships/hyperlink" Target="https://azfree.org/blog/2025/12/04/arizonas-local-tax-trap-how-cities-are-destroying-affordability/" TargetMode="External" Id="rId63"/><Relationship Type="http://schemas.openxmlformats.org/officeDocument/2006/relationships/hyperlink" Target="https://azfree.org/blog/2026/07/07/another-month-another-onslaught-of-municipal-tax-and-fee-increases/" TargetMode="External" Id="rId64"/><Relationship Type="http://schemas.openxmlformats.org/officeDocument/2006/relationships/hyperlink" Target="https://www.cavanaghlaw.com/post/arizona-salt-newsletter-vol-15-summary-of-2025-arizona-tax-legislation" TargetMode="External" Id="rId65"/><Relationship Type="http://schemas.openxmlformats.org/officeDocument/2006/relationships/hyperlink" Target="https://www.azmed.org/eight-statewide-ballot-measures-set-for-arizonas-november-election" TargetMode="External" Id="rId66"/><Relationship Type="http://schemas.openxmlformats.org/officeDocument/2006/relationships/hyperlink" Target="https://www.uaex.uada.edu/publications/PDF/fsppc114.pdf" TargetMode="External" Id="rId67"/><Relationship Type="http://schemas.openxmlformats.org/officeDocument/2006/relationships/hyperlink" Target="https://www.dfa.arkansas.gov/office/arkansas-assessment-coordination-division/real-property/property-tax-relief" TargetMode="External" Id="rId68"/><Relationship Type="http://schemas.openxmlformats.org/officeDocument/2006/relationships/hyperlink" Target="https://encyclopediaofarkansas.net/entries/amendment-59-9041/" TargetMode="External" Id="rId69"/><Relationship Type="http://schemas.openxmlformats.org/officeDocument/2006/relationships/hyperlink" Target="https://www.lincolninst.edu/sites/default/files/gwipp/upload/sources/Arkansas/2006/amendment79_assessors-guide.pdf" TargetMode="External" Id="rId70"/><Relationship Type="http://schemas.openxmlformats.org/officeDocument/2006/relationships/hyperlink" Target="https://regfollower.com/us-arkansas-increases-property-tax-credit-raises-homestead-property-tax-credit-by-usd-100/" TargetMode="External" Id="rId71"/><Relationship Type="http://schemas.openxmlformats.org/officeDocument/2006/relationships/hyperlink" Target="https://www.myarklamiss.com/www-myarklamiss-com-news-south-arkansas/legislation-increasing-homestead-property-tax-credit-passed-by-legislature-heads-to-arkansas-gov-sarah-huckabee-sanders-desk/amp/" TargetMode="External" Id="rId72"/><Relationship Type="http://schemas.openxmlformats.org/officeDocument/2006/relationships/hyperlink" Target="https://arcounties.org/media/articles/homestead-tax-credit-has-always-been-priority" TargetMode="External" Id="rId73"/><Relationship Type="http://schemas.openxmlformats.org/officeDocument/2006/relationships/hyperlink" Target="https://ezel.ai/ag-opinions/ar/2026-006-question-1-under-current-arkansas-law-when-can-the-annual-sc" TargetMode="External" Id="rId74"/><Relationship Type="http://schemas.openxmlformats.org/officeDocument/2006/relationships/hyperlink" Target="https://www.lincolninst.edu/app/uploads/2025/01/levy_limits_2022.xlsx" TargetMode="External" Id="rId75"/><Relationship Type="http://schemas.openxmlformats.org/officeDocument/2006/relationships/hyperlink" Target="https://www2.census.gov/programs-surveys/gov-finances/tables/2022/22slsstab1.xlsx" TargetMode="External" Id="rId76"/><Relationship Type="http://schemas.openxmlformats.org/officeDocument/2006/relationships/hyperlink" Target="https://arkleg.state.ar.us/Bills/Detail?id=HB1103&amp;ddBienniumSession=2025%2F2026F" TargetMode="External" Id="rId77"/><Relationship Type="http://schemas.openxmlformats.org/officeDocument/2006/relationships/hyperlink" Target="https://www.dfa.arkansas.gov/wp-content/uploads/AACD_AnnualReport_2025.pdf" TargetMode="External" Id="rId78"/><Relationship Type="http://schemas.openxmlformats.org/officeDocument/2006/relationships/hyperlink" Target="https://uaex.uada.edu/business-communities/voter-education/issue3.aspx" TargetMode="External" Id="rId79"/><Relationship Type="http://schemas.openxmlformats.org/officeDocument/2006/relationships/hyperlink" Target="https://www.uaex.uada.edu/media-resources/news/2026/october/10-07-2026-ark-ballot-guide-26.aspx" TargetMode="External" Id="rId80"/><Relationship Type="http://schemas.openxmlformats.org/officeDocument/2006/relationships/hyperlink" Target="https://www.uaex.uada.edu/business-communities/ced-blog/posts/2026/january/arkansas-voters-have-local-ballot-issues-to-decide-march-2026-election.aspx" TargetMode="External" Id="rId81"/><Relationship Type="http://schemas.openxmlformats.org/officeDocument/2006/relationships/hyperlink" Target="https://www.arkansashouse.org/?p=33676" TargetMode="External" Id="rId82"/><Relationship Type="http://schemas.openxmlformats.org/officeDocument/2006/relationships/hyperlink" Target="https://policyrisk.com/state-bill/AR-SJR16-2025" TargetMode="External" Id="rId83"/><Relationship Type="http://schemas.openxmlformats.org/officeDocument/2006/relationships/hyperlink" Target="https://lao.ca.gov/reports/2012/tax/property-tax-primer-112912.pdf" TargetMode="External" Id="rId84"/><Relationship Type="http://schemas.openxmlformats.org/officeDocument/2006/relationships/hyperlink" Target="https://lao.ca.gov/BallotAnalysis/Proposition?number=43&amp;year=2026" TargetMode="External" Id="rId85"/><Relationship Type="http://schemas.openxmlformats.org/officeDocument/2006/relationships/hyperlink" Target="https://lao.ca.gov/BallotAnalysis/Propositions" TargetMode="External" Id="rId86"/><Relationship Type="http://schemas.openxmlformats.org/officeDocument/2006/relationships/hyperlink" Target="https://www.boe.ca.gov/proptaxes/dv_exemption.htm" TargetMode="External" Id="rId87"/><Relationship Type="http://schemas.openxmlformats.org/officeDocument/2006/relationships/hyperlink" Target="https://ebudget.ca.gov/2016-17/Enacted/StateAgencyBudgets/8000/9100/program_description_7500.html" TargetMode="External" Id="rId88"/><Relationship Type="http://schemas.openxmlformats.org/officeDocument/2006/relationships/hyperlink" Target="https://leginfo.legislature.ca.gov/faces/codes_displayText.xhtml?lawCode=CONS&amp;article=XIII%20A" TargetMode="External" Id="rId89"/><Relationship Type="http://schemas.openxmlformats.org/officeDocument/2006/relationships/hyperlink" Target="https://leginfo.legislature.ca.gov/faces/codes_displayText.xhtml?lawCode=CONS&amp;article=XIII%20B" TargetMode="External" Id="rId90"/><Relationship Type="http://schemas.openxmlformats.org/officeDocument/2006/relationships/hyperlink" Target="https://leginfo.legislature.ca.gov/faces/codes_displayText.xhtml?lawCode=CONS&amp;article=XIII%20C" TargetMode="External" Id="rId91"/><Relationship Type="http://schemas.openxmlformats.org/officeDocument/2006/relationships/hyperlink" Target="https://www.lincolninst.edu/app/uploads/2024/12/assessment_limits_2022-3.xlsx" TargetMode="External" Id="rId92"/><Relationship Type="http://schemas.openxmlformats.org/officeDocument/2006/relationships/hyperlink" Target="https://taxfoundation.org/research/all/state/property-tax-limitation-regimes-primer/" TargetMode="External" Id="rId93"/><Relationship Type="http://schemas.openxmlformats.org/officeDocument/2006/relationships/hyperlink" Target="https://taxfoundation.org/research/state-tax/2026-state-tax-ballot-measures/" TargetMode="External" Id="rId94"/><Relationship Type="http://schemas.openxmlformats.org/officeDocument/2006/relationships/hyperlink" Target="https://leginfo.legislature.ca.gov/faces/codes_displayText.xhtml?lawCode=CONS&amp;division=&amp;title=&amp;part=&amp;chapter=&amp;article=13A" TargetMode="External" Id="rId95"/><Relationship Type="http://schemas.openxmlformats.org/officeDocument/2006/relationships/hyperlink" Target="https://caltax.org/2025/04/25/california-property-tax-revenue-increased-8-9-billion-in-2024-boe-reports/" TargetMode="External" Id="rId96"/><Relationship Type="http://schemas.openxmlformats.org/officeDocument/2006/relationships/hyperlink" Target="https://www.hjta.org/press-releases/new-initiative-to-save-proposition-13/" TargetMode="External" Id="rId97"/><Relationship Type="http://schemas.openxmlformats.org/officeDocument/2006/relationships/hyperlink" Target="https://calmatters.org/politics/2026/10/california-prop-43-election-2026/" TargetMode="External" Id="rId98"/><Relationship Type="http://schemas.openxmlformats.org/officeDocument/2006/relationships/hyperlink" Target="https://www.boe.ca.gov/proptaxes/pdf/lta25014.pdf" TargetMode="External" Id="rId99"/><Relationship Type="http://schemas.openxmlformats.org/officeDocument/2006/relationships/hyperlink" Target="https://commercialobserver.com/2026/01/measure-ula-revenue-billion/" TargetMode="External" Id="rId100"/><Relationship Type="http://schemas.openxmlformats.org/officeDocument/2006/relationships/hyperlink" Target="https://www.pacificresearch.org/california-cities-turn-to-tax-hikes-to-deal-with-overspending/" TargetMode="External" Id="rId101"/><Relationship Type="http://schemas.openxmlformats.org/officeDocument/2006/relationships/hyperlink" Target="https://californiapolicycenter.org/cpcs-2026-voter-information-guide/" TargetMode="External" Id="rId102"/><Relationship Type="http://schemas.openxmlformats.org/officeDocument/2006/relationships/hyperlink" Target="https://www.hjta.org/news-events/taxing-times/taxing-times-online-fall-2026-vol-52-issue-3/under-the-dome-the-inside-story-on-the-deal-to-save-prop-13/" TargetMode="External" Id="rId103"/><Relationship Type="http://schemas.openxmlformats.org/officeDocument/2006/relationships/hyperlink" Target="https://leg.colorado.gov/sites/default/files/documents/2024B/bills/fn/2024b_hb24b-1001_f1.pdf" TargetMode="External" Id="rId104"/><Relationship Type="http://schemas.openxmlformats.org/officeDocument/2006/relationships/hyperlink" Target="https://leg.colorado.gov/sites/default/files/documents/2024B/bills/2024b_1001_rer.pdf" TargetMode="External" Id="rId105"/><Relationship Type="http://schemas.openxmlformats.org/officeDocument/2006/relationships/hyperlink" Target="https://leg.colorado.gov/sites/default/files/documents/2025A/bills/fn/2025a_hcr1001_00.pdf" TargetMode="External" Id="rId106"/><Relationship Type="http://schemas.openxmlformats.org/officeDocument/2006/relationships/hyperlink" Target="https://leg.colorado.gov/bills/HCR25-1001" TargetMode="External" Id="rId107"/><Relationship Type="http://schemas.openxmlformats.org/officeDocument/2006/relationships/hyperlink" Target="https://www.coloradopolitics.com/2024/11/06/arapahoe-jefferson-county-officials-cheer-de-brucing-wins" TargetMode="External" Id="rId108"/><Relationship Type="http://schemas.openxmlformats.org/officeDocument/2006/relationships/hyperlink" Target="https://yellowscene.com/2023/05/18/colorado-homeowners-are-fed-up-with-metro-districts-but-reforms-are-hard-to-come-by/" TargetMode="External" Id="rId109"/><Relationship Type="http://schemas.openxmlformats.org/officeDocument/2006/relationships/hyperlink" Target="https://www.lincolninst.edu/app/uploads/2024/10/revenue_and_expenditure_limits_2022.xlsx" TargetMode="External" Id="rId110"/><Relationship Type="http://schemas.openxmlformats.org/officeDocument/2006/relationships/hyperlink" Target="https://taxfoundation.org/research/state-tax/2026-state-tax-ballot-measures/" TargetMode="External" Id="rId111"/><Relationship Type="http://schemas.openxmlformats.org/officeDocument/2006/relationships/hyperlink" Target="https://www.leg.colorado.gov/bills/sb24-233" TargetMode="External" Id="rId112"/><Relationship Type="http://schemas.openxmlformats.org/officeDocument/2006/relationships/hyperlink" Target="https://leg.colorado.gov/bills/HB26-1209" TargetMode="External" Id="rId113"/><Relationship Type="http://schemas.openxmlformats.org/officeDocument/2006/relationships/hyperlink" Target="https://content.leg.colorado.gov/publications/report-2026-property-tax-balancing-percentage" TargetMode="External" Id="rId114"/><Relationship Type="http://schemas.openxmlformats.org/officeDocument/2006/relationships/hyperlink" Target="https://kiowacountypress.net/content/14-measures-will-appear-colorados-statewide-ballot-2026" TargetMode="External" Id="rId115"/><Relationship Type="http://schemas.openxmlformats.org/officeDocument/2006/relationships/hyperlink" Target="https://www.denvergazette.com/2024/09/04/colorado-property-tax-ballot-initiatives-withdrawn-as-part-of-deal-with-governor-lawmakers/" TargetMode="External" Id="rId116"/><Relationship Type="http://schemas.openxmlformats.org/officeDocument/2006/relationships/hyperlink" Target="https://gazette.com/?p=1097373" TargetMode="External" Id="rId117"/><Relationship Type="http://schemas.openxmlformats.org/officeDocument/2006/relationships/hyperlink" Target="https://leg.colorado.gov/sites/default/files/documents/2024A/bills/2024a_233_rev.pdf" TargetMode="External" Id="rId118"/><Relationship Type="http://schemas.openxmlformats.org/officeDocument/2006/relationships/hyperlink" Target="https://portal.ct.gov/-/media/opm/igpp/munfinsr/ucoa/ceo-cfo-spending-cap-letter-fy24.pdf" TargetMode="External" Id="rId119"/><Relationship Type="http://schemas.openxmlformats.org/officeDocument/2006/relationships/hyperlink" Target="https://prdext3.cga.ct.gov/2025/FN/PDF/2025SB-01553-R00-FN.PDF" TargetMode="External" Id="rId120"/><Relationship Type="http://schemas.openxmlformats.org/officeDocument/2006/relationships/hyperlink" Target="https://prdext3.cga.ct.gov/2022/rpt/pdf/2022-R-0217.pdf" TargetMode="External" Id="rId121"/><Relationship Type="http://schemas.openxmlformats.org/officeDocument/2006/relationships/hyperlink" Target="https://www.pullcom.com/for-what-it-may-be-worth/connecticuts-2026-legislative-session-yields-property-tax-changes" TargetMode="External" Id="rId122"/><Relationship Type="http://schemas.openxmlformats.org/officeDocument/2006/relationships/hyperlink" Target="https://www.pullcom.com/for-what-it-may-be-worth/homestead-property-tax-exemption-bill-advances-in-connecticut" TargetMode="External" Id="rId123"/><Relationship Type="http://schemas.openxmlformats.org/officeDocument/2006/relationships/hyperlink" Target="https://my.aarpfoundation.org/property-taxes/taxpayer-states/connecticut/" TargetMode="External" Id="rId124"/><Relationship Type="http://schemas.openxmlformats.org/officeDocument/2006/relationships/hyperlink" Target="https://www.cga.ct.gov/current/pub/chap_203.htm" TargetMode="External" Id="rId125"/><Relationship Type="http://schemas.openxmlformats.org/officeDocument/2006/relationships/hyperlink" Target="https://www.lincolninst.edu/app/uploads/2024/12/assessment_limits_2022-3.xlsx" TargetMode="External" Id="rId126"/><Relationship Type="http://schemas.openxmlformats.org/officeDocument/2006/relationships/hyperlink" Target="https://www.wshu.org/connecticut-news/2026-04-29/ct-budget-aid-increase-cities-towns" TargetMode="External" Id="rId127"/><Relationship Type="http://schemas.openxmlformats.org/officeDocument/2006/relationships/hyperlink" Target="https://prdext3.cga.ct.gov/2025/sum/pdf/2025SUM00003-R01SB-01553-SUM.pdf" TargetMode="External" Id="rId128"/><Relationship Type="http://schemas.openxmlformats.org/officeDocument/2006/relationships/hyperlink" Target="https://prdext3.cga.ct.gov/2026/FN/PDF/2026SB-00001-R01-FN.PDF" TargetMode="External" Id="rId129"/><Relationship Type="http://schemas.openxmlformats.org/officeDocument/2006/relationships/hyperlink" Target="https://www.wtnh.com/news/connecticut/lamont-signs-fy-2027-state-budget-adjustment-bill-into-law/amp/" TargetMode="External" Id="rId130"/><Relationship Type="http://schemas.openxmlformats.org/officeDocument/2006/relationships/hyperlink" Target="https://portal.ct.gov/governor/news/press-releases/2026/05-2026/governor-lamont-announces-town-by-town-increase-in-state-funding" TargetMode="External" Id="rId131"/><Relationship Type="http://schemas.openxmlformats.org/officeDocument/2006/relationships/hyperlink" Target="https://www.bridgeportct.gov/news/mayor-ganim-announces-lowest-mill-rate-decades-city-council-approves-historic-40-mill-rate-reduction" TargetMode="External" Id="rId132"/><Relationship Type="http://schemas.openxmlformats.org/officeDocument/2006/relationships/hyperlink" Target="https://www.cbia.com/?p=174685" TargetMode="External" Id="rId133"/><Relationship Type="http://schemas.openxmlformats.org/officeDocument/2006/relationships/hyperlink" Target="https://www.newarkpostonline.com/news/bill-bans-school-property-tax-increases-from-reassessments/article_d90d5490-8380-5fb8-b6fd-71fbb67a9008.html" TargetMode="External" Id="rId134"/><Relationship Type="http://schemas.openxmlformats.org/officeDocument/2006/relationships/hyperlink" Target="https://www.delawarepublic.org/politics-government/2025-08-08/what-changes-are-on-the-table-for-tax-relief-following-reassessment-turmoil" TargetMode="External" Id="rId135"/><Relationship Type="http://schemas.openxmlformats.org/officeDocument/2006/relationships/hyperlink" Target="https://www.nfib.com/news/news/delaware-2025-special-session-what-you-need-to-know/" TargetMode="External" Id="rId136"/><Relationship Type="http://schemas.openxmlformats.org/officeDocument/2006/relationships/hyperlink" Target="https://housedems.delaware.gov/2026/06/19/house-addresses-issues-in-statewide-property-reassessment-process/" TargetMode="External" Id="rId137"/><Relationship Type="http://schemas.openxmlformats.org/officeDocument/2006/relationships/hyperlink" Target="https://delcode.delaware.gov/title14/c019/index.html" TargetMode="External" Id="rId138"/><Relationship Type="http://schemas.openxmlformats.org/officeDocument/2006/relationships/hyperlink" Target="https://www.lincolninst.edu/app/uploads/2024/10/truth_in_taxation_2024.xlsx" TargetMode="External" Id="rId139"/><Relationship Type="http://schemas.openxmlformats.org/officeDocument/2006/relationships/hyperlink" Target="https://www.lincolninst.edu/app/uploads/2025/01/levy_limits_2022.xlsx" TargetMode="External" Id="rId140"/><Relationship Type="http://schemas.openxmlformats.org/officeDocument/2006/relationships/hyperlink" Target="https://housegop.delaware.gov/2026/08/07/delaware-two-tier-school-tax-bill/" TargetMode="External" Id="rId141"/><Relationship Type="http://schemas.openxmlformats.org/officeDocument/2006/relationships/hyperlink" Target="https://delawarelive.com/delaware-lawmakers-advance-new-castle-county-property-tax-reassessment-reforms-as-debate-shifts-to-long-term-tax-policy/" TargetMode="External" Id="rId142"/><Relationship Type="http://schemas.openxmlformats.org/officeDocument/2006/relationships/hyperlink" Target="https://housegop.delaware.gov/2026/02/27/delaware-property-reassessment-equity/" TargetMode="External" Id="rId143"/><Relationship Type="http://schemas.openxmlformats.org/officeDocument/2006/relationships/hyperlink" Target="https://www.delawarepublic.org/politics-government/2026-06-30/final-day-of-delawares-153rd-legislative-session" TargetMode="External" Id="rId144"/><Relationship Type="http://schemas.openxmlformats.org/officeDocument/2006/relationships/hyperlink" Target="https://www.wilmingtoncitycouncil.com/wp-content/uploads/2026/04/0224-A-Resolution-Urging-the-New-Castle-County-Council-to-Oppose-the-Proposed-17.2-Tax-Increase-for-FY2027-cj.pdf" TargetMode="External" Id="rId145"/><Relationship Type="http://schemas.openxmlformats.org/officeDocument/2006/relationships/hyperlink" Target="https://townsquaredelaware.com/tag/new-castle-county-budget/" TargetMode="External" Id="rId146"/><Relationship Type="http://schemas.openxmlformats.org/officeDocument/2006/relationships/hyperlink" Target="http://www.leg.state.fl.us/statutes/index.cfm?App_mode=Display_Statute&amp;URL=0200-0299/0200/Sections/0200.065.html" TargetMode="External" Id="rId147"/><Relationship Type="http://schemas.openxmlformats.org/officeDocument/2006/relationships/hyperlink" Target="http://www.leg.state.fl.us/statutes/index.cfm?App_mode=Display_Statute&amp;URL=1000-1099/1011/Sections/1011.71.html" TargetMode="External" Id="rId148"/><Relationship Type="http://schemas.openxmlformats.org/officeDocument/2006/relationships/hyperlink" Target="https://floridarevenue.com/property/Documents/comp25.pdf" TargetMode="External" Id="rId149"/><Relationship Type="http://schemas.openxmlformats.org/officeDocument/2006/relationships/hyperlink" Target="https://www.floridapolicy.org/posts/florida-property-tax-amendment-ballot-language-summary" TargetMode="External" Id="rId150"/><Relationship Type="http://schemas.openxmlformats.org/officeDocument/2006/relationships/hyperlink" Target="https://taxfoundation.org/research/state-tax/2026-state-tax-ballot-measures/" TargetMode="External" Id="rId151"/><Relationship Type="http://schemas.openxmlformats.org/officeDocument/2006/relationships/hyperlink" Target="https://www.lincolninst.edu/app/uploads/2024/12/assessment_limits_2022-3.xlsx" TargetMode="External" Id="rId152"/><Relationship Type="http://schemas.openxmlformats.org/officeDocument/2006/relationships/hyperlink" Target="https://apps.lincolninst.edu/uploads/summary-tables/rate-limits-summary-tables/rate-limits-2022-4.xlsx" TargetMode="External" Id="rId153"/><Relationship Type="http://schemas.openxmlformats.org/officeDocument/2006/relationships/hyperlink" Target="https://floridataxwatch.org/Research/Full-Library/truth-in-property-taxation-can-be-hard-to-come-by-3" TargetMode="External" Id="rId154"/><Relationship Type="http://schemas.openxmlformats.org/officeDocument/2006/relationships/hyperlink" Target="https://www.flsenate.gov/Laws/Statutes/2025/1011.73" TargetMode="External" Id="rId155"/><Relationship Type="http://schemas.openxmlformats.org/officeDocument/2006/relationships/hyperlink" Target="https://www.flsenate.gov/Laws/Statutes/2025/200.091" TargetMode="External" Id="rId156"/><Relationship Type="http://schemas.openxmlformats.org/officeDocument/2006/relationships/hyperlink" Target="https://www.flsenate.gov/Laws/Statutes/2025/212.055" TargetMode="External" Id="rId157"/><Relationship Type="http://schemas.openxmlformats.org/officeDocument/2006/relationships/hyperlink" Target="https://www.flsenate.gov/Laws/Statutes/2025/97.021" TargetMode="External" Id="rId158"/><Relationship Type="http://schemas.openxmlformats.org/officeDocument/2006/relationships/hyperlink" Target="https://www.flsenate.gov/Laws/Statutes/2025/193.155" TargetMode="External" Id="rId159"/><Relationship Type="http://schemas.openxmlformats.org/officeDocument/2006/relationships/hyperlink" Target="https://www.flsenate.gov/Laws/Statutes/2025/200.065" TargetMode="External" Id="rId160"/><Relationship Type="http://schemas.openxmlformats.org/officeDocument/2006/relationships/hyperlink" Target="https://floridataxwatch.org/?p=7093" TargetMode="External" Id="rId161"/><Relationship Type="http://schemas.openxmlformats.org/officeDocument/2006/relationships/hyperlink" Target="https://jamesmadison.org/2026-florida-amendment-guide/" TargetMode="External" Id="rId162"/><Relationship Type="http://schemas.openxmlformats.org/officeDocument/2006/relationships/hyperlink" Target="https://www.flcities.com/wp-content/uploads/2026/06/Property-Tax-Legislative-Bill-Summaries-6.4.26.pdf" TargetMode="External" Id="rId163"/><Relationship Type="http://schemas.openxmlformats.org/officeDocument/2006/relationships/hyperlink" Target="https://www.wusf.org/2026-06-24/desantis-signs-bills-tamp-down-local-taxes-what-to-know" TargetMode="External" Id="rId164"/><Relationship Type="http://schemas.openxmlformats.org/officeDocument/2006/relationships/hyperlink" Target="https://www.clickorlando.com/news/local/2026/07/08/heres-what-to-know-about-floridas-new-property-tax-law/" TargetMode="External" Id="rId165"/><Relationship Type="http://schemas.openxmlformats.org/officeDocument/2006/relationships/hyperlink" Target="https://www.caribbeannationalweekly.com/posts/broward-commissioners-approve-92-billion-budget-with-modest-millage-reduction" TargetMode="External" Id="rId166"/><Relationship Type="http://schemas.openxmlformats.org/officeDocument/2006/relationships/hyperlink" Target="https://www.wflx.com/2026/02/10/we-have-slogan-we-dont-have-policy-former-florida-lawmaker-criticizes-property-tax-relief-plan/" TargetMode="External" Id="rId167"/><Relationship Type="http://schemas.openxmlformats.org/officeDocument/2006/relationships/hyperlink" Target="https://taxfoundation.org/blog/georgia-property-tax-reform/" TargetMode="External" Id="rId168"/><Relationship Type="http://schemas.openxmlformats.org/officeDocument/2006/relationships/hyperlink" Target="https://billtracker.gacities.com/legislation/69550" TargetMode="External" Id="rId169"/><Relationship Type="http://schemas.openxmlformats.org/officeDocument/2006/relationships/hyperlink" Target="https://www.gacities.com/articles/the-2026-session-in-review-what-passed-what-didnt-and-what-it-means" TargetMode="External" Id="rId170"/><Relationship Type="http://schemas.openxmlformats.org/officeDocument/2006/relationships/hyperlink" Target="https://capitol-beat.org/2026/05/kemp-signs-legislation-to-cut-income-taxes-and-reduce-homeowner-property-tax-increases/" TargetMode="External" Id="rId171"/><Relationship Type="http://schemas.openxmlformats.org/officeDocument/2006/relationships/hyperlink" Target="https://capitol-beat.org/2026/04/georgia-republicans-push-through-last-minute-income-and-property-tax-cuts/" TargetMode="External" Id="rId172"/><Relationship Type="http://schemas.openxmlformats.org/officeDocument/2006/relationships/hyperlink" Target="https://georgiarecorder.com/2026/05/11/kemp-approves-property-tax-relief-for-georgia-homeowners-amid-concerns-over-local-revenues-process/" TargetMode="External" Id="rId173"/><Relationship Type="http://schemas.openxmlformats.org/officeDocument/2006/relationships/hyperlink" Target="https://appealally.com/blog/article/georgia-property-tax-cap-sb-33" TargetMode="External" Id="rId174"/><Relationship Type="http://schemas.openxmlformats.org/officeDocument/2006/relationships/hyperlink" Target="https://dor.georgia.gov/media/35186/download" TargetMode="External" Id="rId175"/><Relationship Type="http://schemas.openxmlformats.org/officeDocument/2006/relationships/hyperlink" Target="https://atlantarealtors.com/resources/news/detail/georgia-property-owners-receive-tax-break" TargetMode="External" Id="rId176"/><Relationship Type="http://schemas.openxmlformats.org/officeDocument/2006/relationships/hyperlink" Target="https://www.lincolninst.edu/app/uploads/2024/10/truth_in_taxation_2024.xlsx" TargetMode="External" Id="rId177"/><Relationship Type="http://schemas.openxmlformats.org/officeDocument/2006/relationships/hyperlink" Target="https://law.justia.com/codes/georgia/title-48/chapter-5/article-2/part-1/section-48-5-44-2/" TargetMode="External" Id="rId178"/><Relationship Type="http://schemas.openxmlformats.org/officeDocument/2006/relationships/hyperlink" Target="https://www.legis.ga.gov/api/document/docs/default-source/house-budget-and-research-office-document-library/newsandhighlights/2024/2024_policy_brief_hb_581_property_tax_reform.pdf" TargetMode="External" Id="rId179"/><Relationship Type="http://schemas.openxmlformats.org/officeDocument/2006/relationships/hyperlink" Target="https://www.gacities.com/articles/general-assembly-concludes-special-session" TargetMode="External" Id="rId180"/><Relationship Type="http://schemas.openxmlformats.org/officeDocument/2006/relationships/hyperlink" Target="https://www.georgiapolicy.org/news/what-the-2025-legislative-session-means-for-georgia-taxpayers/" TargetMode="External" Id="rId181"/><Relationship Type="http://schemas.openxmlformats.org/officeDocument/2006/relationships/hyperlink" Target="https://www.georgiapolicy.org/news/guide-to-the-issues-2026-thirty-years-after-the-first-edition/" TargetMode="External" Id="rId182"/><Relationship Type="http://schemas.openxmlformats.org/officeDocument/2006/relationships/hyperlink" Target="https://www.news4jax.com/voters-guide/2026/10/08/2026-voters-guide-georgia-constitutional-amendments/" TargetMode="External" Id="rId183"/><Relationship Type="http://schemas.openxmlformats.org/officeDocument/2006/relationships/hyperlink" Target="https://civicatlanta.org/blog/2025-10-19-atlanta-weighs-tad-extension" TargetMode="External" Id="rId184"/><Relationship Type="http://schemas.openxmlformats.org/officeDocument/2006/relationships/hyperlink" Target="https://www.ajc.com/news/2026/07/fulton-commissioners-opt-out-of-atlanta-mayors-tax-extension-plan/" TargetMode="External" Id="rId185"/><Relationship Type="http://schemas.openxmlformats.org/officeDocument/2006/relationships/hyperlink" Target="https://www.gacities.com/articles/sb-33-the-homeownership-opportunity-and-market-equalization-act-of-2026" TargetMode="External" Id="rId186"/><Relationship Type="http://schemas.openxmlformats.org/officeDocument/2006/relationships/hyperlink" Target="https://my.aarpfoundation.org/property-taxes/taxpayer-states/hawaii/" TargetMode="External" Id="rId187"/><Relationship Type="http://schemas.openxmlformats.org/officeDocument/2006/relationships/hyperlink" Target="https://files.hawaii.gov/dbedt/economic/databook/2024-individual/21/211524.pdf" TargetMode="External" Id="rId188"/><Relationship Type="http://schemas.openxmlformats.org/officeDocument/2006/relationships/hyperlink" Target="https://www.realpropertyhonolulu.com/state-reports/2025" TargetMode="External" Id="rId189"/><Relationship Type="http://schemas.openxmlformats.org/officeDocument/2006/relationships/hyperlink" Target="https://www.realpropertyhonolulu.com/media/ugxijaid/residential-a-information-rev-june-2025.pdf" TargetMode="External" Id="rId190"/><Relationship Type="http://schemas.openxmlformats.org/officeDocument/2006/relationships/hyperlink" Target="https://www.khon2.com/maui-county-news/bill-9-officially-passes-maui-county-council-phasing-out-thousands-of-short-term-rentals/amp/" TargetMode="External" Id="rId191"/><Relationship Type="http://schemas.openxmlformats.org/officeDocument/2006/relationships/hyperlink" Target="https://www.grassrootinstitute.org/2026/09/comparing-county-property-taxes-across-hawaii-who-pays-the-most/" TargetMode="External" Id="rId192"/><Relationship Type="http://schemas.openxmlformats.org/officeDocument/2006/relationships/hyperlink" Target="https://realproperty.honolulu.gov/media/b3pcwo2o/state-report-fy27-final_tax-rates.pdf" TargetMode="External" Id="rId193"/><Relationship Type="http://schemas.openxmlformats.org/officeDocument/2006/relationships/hyperlink" Target="https://mauirealestate.com/maui-county-2026-2027-property-tax-rates/" TargetMode="External" Id="rId194"/><Relationship Type="http://schemas.openxmlformats.org/officeDocument/2006/relationships/hyperlink" Target="https://files.amlegal.com/pdffiles/Honolulu/ORD25-042.pdf" TargetMode="External" Id="rId195"/><Relationship Type="http://schemas.openxmlformats.org/officeDocument/2006/relationships/hyperlink" Target="https://www.hawaiipublicradio.org/local-news/2026-10-09/ballot-question-could-help-hawaiis-housing-shortage-supporters-say" TargetMode="External" Id="rId196"/><Relationship Type="http://schemas.openxmlformats.org/officeDocument/2006/relationships/hyperlink" Target="https://data.capitol.hawaii.gov/sessions/session2026/bills/SB3219_HD2_.pdf" TargetMode="External" Id="rId197"/><Relationship Type="http://schemas.openxmlformats.org/officeDocument/2006/relationships/hyperlink" Target="https://theballotbrief.com/measures/hawaii" TargetMode="External" Id="rId198"/><Relationship Type="http://schemas.openxmlformats.org/officeDocument/2006/relationships/hyperlink" Target="https://legislature.idaho.gov/statutesrules/idstat/Title63/T63CH8/SECT63-802/" TargetMode="External" Id="rId199"/><Relationship Type="http://schemas.openxmlformats.org/officeDocument/2006/relationships/hyperlink" Target="https://tax.idaho.gov/taxes/property/homeowners/exemption/" TargetMode="External" Id="rId200"/><Relationship Type="http://schemas.openxmlformats.org/officeDocument/2006/relationships/hyperlink" Target="https://tax.idaho.gov/taxes/property/homeowners/reduction/" TargetMode="External" Id="rId201"/><Relationship Type="http://schemas.openxmlformats.org/officeDocument/2006/relationships/hyperlink" Target="https://adacounty.id.gov/wp-content/uploads/2023/04/HB292-Synopsis-for-home-page-04-18.pdf" TargetMode="External" Id="rId202"/><Relationship Type="http://schemas.openxmlformats.org/officeDocument/2006/relationships/hyperlink" Target="https://legislature.idaho.gov/wp-content/uploads/sessioninfo/2025/legislation/H0074SOP.pdf" TargetMode="External" Id="rId203"/><Relationship Type="http://schemas.openxmlformats.org/officeDocument/2006/relationships/hyperlink" Target="https://cdapress.com/news/2023/nov/22/idaho-homeowners-to-receive-192m-in-property-tax-reductions/" TargetMode="External" Id="rId204"/><Relationship Type="http://schemas.openxmlformats.org/officeDocument/2006/relationships/hyperlink" Target="https://legislature.idaho.gov/sessioninfo/2006extra1/legislation/H0001" TargetMode="External" Id="rId205"/><Relationship Type="http://schemas.openxmlformats.org/officeDocument/2006/relationships/hyperlink" Target="https://apps.lincolninst.edu/uploads/summary-tables/rate-limits-summary-tables/rate-limits-2022-4.xlsx" TargetMode="External" Id="rId206"/><Relationship Type="http://schemas.openxmlformats.org/officeDocument/2006/relationships/hyperlink" Target="https://legislature.idaho.gov/sessioninfo/2026/legislation/H0959/" TargetMode="External" Id="rId207"/><Relationship Type="http://schemas.openxmlformats.org/officeDocument/2006/relationships/hyperlink" Target="https://legislature.idaho.gov/sessioninfo/2025/legislation/H0329/" TargetMode="External" Id="rId208"/><Relationship Type="http://schemas.openxmlformats.org/officeDocument/2006/relationships/hyperlink" Target="https://legislature.idaho.gov/sessioninfo/2026/legislation/H0842/" TargetMode="External" Id="rId209"/><Relationship Type="http://schemas.openxmlformats.org/officeDocument/2006/relationships/hyperlink" Target="https://legislature.idaho.gov/sessioninfo/2026/legislation/H0670/" TargetMode="External" Id="rId210"/><Relationship Type="http://schemas.openxmlformats.org/officeDocument/2006/relationships/hyperlink" Target="https://tax.idaho.gov/wp-content/uploads/pubs/EPR00112/EPR00112_05-05-2026.pdf" TargetMode="External" Id="rId211"/><Relationship Type="http://schemas.openxmlformats.org/officeDocument/2006/relationships/hyperlink" Target="https://www.kivitv.com/news/local-news/in-your-neighborhood/ada-county/this-year-is-not-the-same-what-ada-countys-budget-crunch-could-mean-for-your-property-taxes" TargetMode="External" Id="rId212"/><Relationship Type="http://schemas.openxmlformats.org/officeDocument/2006/relationships/hyperlink" Target="https://idahonews.com/news/local/ada-county-highway-district-approves-261-million-fiscal-2027-budget-in-5-0-vote" TargetMode="External" Id="rId213"/><Relationship Type="http://schemas.openxmlformats.org/officeDocument/2006/relationships/hyperlink" Target="https://legislature.idaho.gov/sessioninfo/2026/legislation/H0843/" TargetMode="External" Id="rId214"/><Relationship Type="http://schemas.openxmlformats.org/officeDocument/2006/relationships/hyperlink" Target="https://legislature.idaho.gov/sessioninfo/2025/legislation/H0369/" TargetMode="External" Id="rId215"/><Relationship Type="http://schemas.openxmlformats.org/officeDocument/2006/relationships/hyperlink" Target="https://legislature.idaho.gov/proposed-amendment-to-the-idaho-constitution/" TargetMode="External" Id="rId216"/><Relationship Type="http://schemas.openxmlformats.org/officeDocument/2006/relationships/hyperlink" Target="https://www.mountainstatespolicy.org/post/new-study-what-it-would-take-to-eliminate-idaho-s-local-property-taxes" TargetMode="External" Id="rId217"/><Relationship Type="http://schemas.openxmlformats.org/officeDocument/2006/relationships/hyperlink" Target="https://www.mountainstatespolicy.org/post/truth-in-taxation-proposed-in-idaho-to-increase-property-tax-transparency" TargetMode="External" Id="rId218"/><Relationship Type="http://schemas.openxmlformats.org/officeDocument/2006/relationships/hyperlink" Target="https://tax.illinois.gov/localgovernments/property/ptell.html" TargetMode="External" Id="rId219"/><Relationship Type="http://schemas.openxmlformats.org/officeDocument/2006/relationships/hyperlink" Target="https://tax.illinois.gov/content/dam/soi/en/web/tax/localgovernments/property/documents/ptellcounties.pdf" TargetMode="External" Id="rId220"/><Relationship Type="http://schemas.openxmlformats.org/officeDocument/2006/relationships/hyperlink" Target="https://www.ilga.gov/legislation/ilcs/fulltext.asp?DocName=003502000K18-185" TargetMode="External" Id="rId221"/><Relationship Type="http://schemas.openxmlformats.org/officeDocument/2006/relationships/hyperlink" Target="https://www.boonecountyil.gov/government/departments/assessment_office/tax_relief_exemptions.php" TargetMode="External" Id="rId222"/><Relationship Type="http://schemas.openxmlformats.org/officeDocument/2006/relationships/hyperlink" Target="https://civicfed.org/blog/cook-county-tif-revenue-continues-record-growth" TargetMode="External" Id="rId223"/><Relationship Type="http://schemas.openxmlformats.org/officeDocument/2006/relationships/hyperlink" Target="https://www.wglt.org/illinois/2024-11-06/illinois-voters-approve-an-advisory-referendum-calling-for-higher-taxes-on-income-over-1-million" TargetMode="External" Id="rId224"/><Relationship Type="http://schemas.openxmlformats.org/officeDocument/2006/relationships/hyperlink" Target="https://www.lincolninst.edu/app/uploads/2025/01/levy_limits_2022.xlsx" TargetMode="External" Id="rId225"/><Relationship Type="http://schemas.openxmlformats.org/officeDocument/2006/relationships/hyperlink" Target="https://www.lincolninst.edu/app/uploads/2024/10/truth_in_taxation_2024.xlsx" TargetMode="External" Id="rId226"/><Relationship Type="http://schemas.openxmlformats.org/officeDocument/2006/relationships/hyperlink" Target="https://www.illinoispolicy.org/illinois-property-taxes-up-27-under-pritzker/" TargetMode="External" Id="rId227"/><Relationship Type="http://schemas.openxmlformats.org/officeDocument/2006/relationships/hyperlink" Target="https://www.illinoispolicy.org/chicago-property-taxes-jump-but-unevenly/" TargetMode="External" Id="rId228"/><Relationship Type="http://schemas.openxmlformats.org/officeDocument/2006/relationships/hyperlink" Target="https://www.illinoispolicy.org/illinois-lawmakers-finally-pass-bill-to-end-home-equity-theft/" TargetMode="External" Id="rId229"/><Relationship Type="http://schemas.openxmlformats.org/officeDocument/2006/relationships/hyperlink" Target="https://edgarcountyillinois.com/low-income-senior-citizen-assessment-freeze-homestead-exemption-scafhe/" TargetMode="External" Id="rId230"/><Relationship Type="http://schemas.openxmlformats.org/officeDocument/2006/relationships/hyperlink" Target="https://ilhousedems.com/2025/12/18/state-rep-larry-walsh-jr-celebrates-expansion-of-senior-property-tax-relief/" TargetMode="External" Id="rId231"/><Relationship Type="http://schemas.openxmlformats.org/officeDocument/2006/relationships/hyperlink" Target="https://www.cbsnews.com/chicago/news/chicago-board-of-education-public-schools-property-tax-increase" TargetMode="External" Id="rId232"/><Relationship Type="http://schemas.openxmlformats.org/officeDocument/2006/relationships/hyperlink" Target="https://www.nprillinois.org/illinois/2026-04-23/illinois-house-approves-megaprojects-bill-but-the-bears-want-changes" TargetMode="External" Id="rId233"/><Relationship Type="http://schemas.openxmlformats.org/officeDocument/2006/relationships/hyperlink" Target="https://news.wttw.com/2026/05/26/megaprojects-bill-would-mean-39m-annual-property-tax-break-bears-cook-county-treasurer-s" TargetMode="External" Id="rId234"/><Relationship Type="http://schemas.openxmlformats.org/officeDocument/2006/relationships/hyperlink" Target="https://www.fox32chicago.com/news/bears-mega-projects-bill-senate-pritzker" TargetMode="External" Id="rId235"/><Relationship Type="http://schemas.openxmlformats.org/officeDocument/2006/relationships/hyperlink" Target="https://www.nbcchicago.com/illinois-election-2026/suburban-chicago-referendums-on-term-limits-school-bonds-on-election-ballot/3992419/" TargetMode="External" Id="rId236"/><Relationship Type="http://schemas.openxmlformats.org/officeDocument/2006/relationships/hyperlink" Target="https://repugaste.com/2026/04/09/house-republicans-launch-property-tax-relief-conference-issue-open-letter-on-stadium-proposal/" TargetMode="External" Id="rId237"/><Relationship Type="http://schemas.openxmlformats.org/officeDocument/2006/relationships/hyperlink" Target="https://www.truthinaccounting.org/news/detail/chicagos-combined-state-and-local-taxpayer-debt-burden-worst-in-the-nation" TargetMode="External" Id="rId238"/><Relationship Type="http://schemas.openxmlformats.org/officeDocument/2006/relationships/hyperlink" Target="https://heartland.org/opinion/press-release-florida-gov-ron-desantis-speech-in-chicago-pushed-for-historic-property-tax-rollback/" TargetMode="External" Id="rId239"/><Relationship Type="http://schemas.openxmlformats.org/officeDocument/2006/relationships/hyperlink" Target="https://www.in.gov/dlgf/files/2025-memos/250702-State-Budget-Agency-Memo-Maximum-Levy-Growth-Quotient.pdf" TargetMode="External" Id="rId240"/><Relationship Type="http://schemas.openxmlformats.org/officeDocument/2006/relationships/hyperlink" Target="https://www.in.gov/dlgf/files/2026-memos/260701-State-Budget-Agency-Memo-Maximum-Levy-Growth-Quotient.pdf" TargetMode="External" Id="rId241"/><Relationship Type="http://schemas.openxmlformats.org/officeDocument/2006/relationships/hyperlink" Target="https://www.in.gov/dlgf/files/2025-memos/250610-Cockerill-Memo-Legislative-Changes-to-Property-Tax-Referenda-and-Controlled-Projects.pdf" TargetMode="External" Id="rId242"/><Relationship Type="http://schemas.openxmlformats.org/officeDocument/2006/relationships/hyperlink" Target="https://www.in.gov/dlgf/files/2026-memos/Legislation-Affecting-Local-Budgeting-Matters.pdf" TargetMode="External" Id="rId243"/><Relationship Type="http://schemas.openxmlformats.org/officeDocument/2006/relationships/hyperlink" Target="https://www.in.gov/dlgf/files/2026-memos/260527-Cockerill-Memo-Legislation-Affecting-Deductions,-Credits,-and-Exemptions.pdf" TargetMode="External" Id="rId244"/><Relationship Type="http://schemas.openxmlformats.org/officeDocument/2006/relationships/hyperlink" Target="https://indianacapitalchronicle.com/wp-content/uploads/2025/11/The-Indiana-Property-Tax-Reform-of-2025-Deboer-November-2025.pdf" TargetMode="External" Id="rId245"/><Relationship Type="http://schemas.openxmlformats.org/officeDocument/2006/relationships/hyperlink" Target="https://iga.in.gov/pdf-documents/124/2025/senate/bills/SB0001/SB0001.05.ENRH.pdf" TargetMode="External" Id="rId246"/><Relationship Type="http://schemas.openxmlformats.org/officeDocument/2006/relationships/hyperlink" Target="https://iga.in.gov/pdf-documents/124/2025/senate/bills/SB0001/fiscal-notes/SB0001.05.ENRH.FN001.pdf" TargetMode="External" Id="rId247"/><Relationship Type="http://schemas.openxmlformats.org/officeDocument/2006/relationships/hyperlink" Target="https://www.in.gov/dlgf/files/2026-memos/Legislation-Affecting-Local-Income-Taxes.pdf" TargetMode="External" Id="rId248"/><Relationship Type="http://schemas.openxmlformats.org/officeDocument/2006/relationships/hyperlink" Target="https://www.in.gov/dlgf/referendum-information/" TargetMode="External" Id="rId249"/><Relationship Type="http://schemas.openxmlformats.org/officeDocument/2006/relationships/hyperlink" Target="https://aimindiana.org/wp-content/uploads/2025/07/Mini-Quick-Guide-SEA-1-Debt-Service-and-Controlled-Projects.pdf" TargetMode="External" Id="rId250"/><Relationship Type="http://schemas.openxmlformats.org/officeDocument/2006/relationships/hyperlink" Target="https://fbtgibbons.com/updates-to-indianas-property-tax-process-now-in-effect/" TargetMode="External" Id="rId251"/><Relationship Type="http://schemas.openxmlformats.org/officeDocument/2006/relationships/hyperlink" Target="https://iga.in.gov/legislative/2025/bills/senate/1" TargetMode="External" Id="rId252"/><Relationship Type="http://schemas.openxmlformats.org/officeDocument/2006/relationships/hyperlink" Target="https://www.in.gov/dlgf/files/2025-memos/250728-Cockerill-Memo-County-Option-Circuit-Breaker-Tax-Credit.pdf" TargetMode="External" Id="rId253"/><Relationship Type="http://schemas.openxmlformats.org/officeDocument/2006/relationships/hyperlink" Target="https://taxfoundation.org/blog/indiana-property-tax-reform-local-income-taxes/" TargetMode="External" Id="rId254"/><Relationship Type="http://schemas.openxmlformats.org/officeDocument/2006/relationships/hyperlink" Target="https://indianacapitalchronicle.com/2026/08/04/36-indiana-school-districts-to-seek-referendums-this-fall/" TargetMode="External" Id="rId255"/><Relationship Type="http://schemas.openxmlformats.org/officeDocument/2006/relationships/hyperlink" Target="https://www.chalkbeat.org/indiana/2026/06/22/ipec-approves-referendum-for-fall-ballot/" TargetMode="External" Id="rId256"/><Relationship Type="http://schemas.openxmlformats.org/officeDocument/2006/relationships/hyperlink" Target="https://www.journalgazette.net/local/local-government/fort-wayne-officials-present-proposed-2026-budget-amid-tax-revenue-concerns/article_713632f7-e807-42bf-8209-df80c7c086e2.html" TargetMode="External" Id="rId257"/><Relationship Type="http://schemas.openxmlformats.org/officeDocument/2006/relationships/hyperlink" Target="https://americansforprosperity.org/press-release/afp-in-launches-campaign-urging-hoosiers-to-vote-no-on-school-property-tax-referendums/" TargetMode="External" Id="rId258"/><Relationship Type="http://schemas.openxmlformats.org/officeDocument/2006/relationships/hyperlink" Target="https://www.infarmbureau.org/news/news-article/2025/03/26/tax-facts-when-it-comes-to-property-taxes-nothing-is-simple" TargetMode="External" Id="rId259"/><Relationship Type="http://schemas.openxmlformats.org/officeDocument/2006/relationships/hyperlink" Target="https://www.legis.iowa.gov/legislation/BillBook?ga=91&amp;ba=SF2472" TargetMode="External" Id="rId260"/><Relationship Type="http://schemas.openxmlformats.org/officeDocument/2006/relationships/hyperlink" Target="https://www.legis.iowa.gov/docs/publications/LGE/91/SF2472.pdf" TargetMode="External" Id="rId261"/><Relationship Type="http://schemas.openxmlformats.org/officeDocument/2006/relationships/hyperlink" Target="https://www.thegazette.com/news/state/what-s-in-iowa-s-property-tax-legislation/article_bccdd01a-d59f-48d6-a0eb-dddecf8fc473.html" TargetMode="External" Id="rId262"/><Relationship Type="http://schemas.openxmlformats.org/officeDocument/2006/relationships/hyperlink" Target="https://www.kmaland.com/news/governor-signs-iowa-property-tax-limitation-into-law/article_6dd323c4-87fe-4a0e-9754-ba8efdb8b750.html" TargetMode="External" Id="rId263"/><Relationship Type="http://schemas.openxmlformats.org/officeDocument/2006/relationships/hyperlink" Target="https://iowacapitaldispatch.com/2026/05/18/gov-kim-reynolds-signs-property-tax-law-projected-to-save-4-2-billion-over-6-years/" TargetMode="External" Id="rId264"/><Relationship Type="http://schemas.openxmlformats.org/officeDocument/2006/relationships/hyperlink" Target="https://iowaleague.org/resource/hf-718/" TargetMode="External" Id="rId265"/><Relationship Type="http://schemas.openxmlformats.org/officeDocument/2006/relationships/hyperlink" Target="https://www.legis.iowa.gov/docs/code/2026/24.2A.pdf" TargetMode="External" Id="rId266"/><Relationship Type="http://schemas.openxmlformats.org/officeDocument/2006/relationships/hyperlink" Target="https://www.legis.iowa.gov/docs/code/2026/384.15A.pdf" TargetMode="External" Id="rId267"/><Relationship Type="http://schemas.openxmlformats.org/officeDocument/2006/relationships/hyperlink" Target="https://www.legis.iowa.gov/docs/code/2026/75.1.pdf" TargetMode="External" Id="rId268"/><Relationship Type="http://schemas.openxmlformats.org/officeDocument/2006/relationships/hyperlink" Target="https://www.legis.iowa.gov/docs/code/2026/39.2.pdf" TargetMode="External" Id="rId269"/><Relationship Type="http://schemas.openxmlformats.org/officeDocument/2006/relationships/hyperlink" Target="https://www.legis.iowa.gov/docs/code/2026/364.2.pdf" TargetMode="External" Id="rId270"/><Relationship Type="http://schemas.openxmlformats.org/officeDocument/2006/relationships/hyperlink" Target="https://www.legis.iowa.gov/docs/code/2024/441.html" TargetMode="External" Id="rId271"/><Relationship Type="http://schemas.openxmlformats.org/officeDocument/2006/relationships/hyperlink" Target="https://apps.lincolninst.edu/uploads/summary-tables/rate-limits-summary-tables/rate-limits-2022-4.xlsx" TargetMode="External" Id="rId272"/><Relationship Type="http://schemas.openxmlformats.org/officeDocument/2006/relationships/hyperlink" Target="https://www.lincolninst.edu/app/uploads/2024/10/truth_in_taxation_2024.xlsx" TargetMode="External" Id="rId273"/><Relationship Type="http://schemas.openxmlformats.org/officeDocument/2006/relationships/hyperlink" Target="https://www2.census.gov/programs-surveys/gov-finances/tables/2022/22slsstab1.xlsx" TargetMode="External" Id="rId274"/><Relationship Type="http://schemas.openxmlformats.org/officeDocument/2006/relationships/hyperlink" Target="https://www.legis.iowa.gov/docs/code/2026/441.21.pdf" TargetMode="External" Id="rId275"/><Relationship Type="http://schemas.openxmlformats.org/officeDocument/2006/relationships/hyperlink" Target="https://councildocs.dsm.city/resolutions/20260323/3.pdf" TargetMode="External" Id="rId276"/><Relationship Type="http://schemas.openxmlformats.org/officeDocument/2006/relationships/hyperlink" Target="https://www.cbs2iowa.com/news/local/cedar-rapids-releases-928-million-budget-for-2027-fiscal-year-city-manager" TargetMode="External" Id="rId277"/><Relationship Type="http://schemas.openxmlformats.org/officeDocument/2006/relationships/hyperlink" Target="https://itrfoundation.org/school-districts-blame-save-changes-for-tax-hikes-already-in-the-works/" TargetMode="External" Id="rId278"/><Relationship Type="http://schemas.openxmlformats.org/officeDocument/2006/relationships/hyperlink" Target="https://itrfoundation.org/taxpayers-come-first-as-iowa-wraps-up-2026-legislative-session/" TargetMode="External" Id="rId279"/><Relationship Type="http://schemas.openxmlformats.org/officeDocument/2006/relationships/hyperlink" Target="https://www.ksrevisor.gov/statutes/chapters/ch79/079_029_0088.html" TargetMode="External" Id="rId280"/><Relationship Type="http://schemas.openxmlformats.org/officeDocument/2006/relationships/hyperlink" Target="https://www.ksrevisor.gov/statutes/chapters/ch72/072_051_0042.html" TargetMode="External" Id="rId281"/><Relationship Type="http://schemas.openxmlformats.org/officeDocument/2006/relationships/hyperlink" Target="https://www.ksrevisor.gov/statutes/chapters/ch79/079_002_0001x.html" TargetMode="External" Id="rId282"/><Relationship Type="http://schemas.openxmlformats.org/officeDocument/2006/relationships/hyperlink" Target="https://www.ksrevisor.gov/statutes/chapters/ch76/076_006b_0001.html" TargetMode="External" Id="rId283"/><Relationship Type="http://schemas.openxmlformats.org/officeDocument/2006/relationships/hyperlink" Target="https://www.ksrevisor.gov/statutes/chapters/ch76/076_006b_0004.html" TargetMode="External" Id="rId284"/><Relationship Type="http://schemas.openxmlformats.org/officeDocument/2006/relationships/hyperlink" Target="https://www.ksrevenue.gov/perstaxtypeshs.html" TargetMode="External" Id="rId285"/><Relationship Type="http://schemas.openxmlformats.org/officeDocument/2006/relationships/hyperlink" Target="https://kslegislature.gov/li/b2025_26/committees/ctte_s_assess_tax_1/documents/testimony/20250317_28.pdf" TargetMode="External" Id="rId286"/><Relationship Type="http://schemas.openxmlformats.org/officeDocument/2006/relationships/hyperlink" Target="https://kansasreflector.com/2026/04/28/kansas-governor-rejects-legislatures-property-tax-bill-as-a-false-promise/" TargetMode="External" Id="rId287"/><Relationship Type="http://schemas.openxmlformats.org/officeDocument/2006/relationships/hyperlink" Target="https://www.hppr.org/hppr-news/2026-04-30/gov-laura-kelly-vetoes-kansas-property-tax-relief-plan-as-lawmakers-efforts-falter-again" TargetMode="External" Id="rId288"/><Relationship Type="http://schemas.openxmlformats.org/officeDocument/2006/relationships/hyperlink" Target="https://kansasreflector.com/2025/03/26/kansas-senate-falls-one-vote-short-of-approving-constitutional-amendment-on-property-taxes/" TargetMode="External" Id="rId289"/><Relationship Type="http://schemas.openxmlformats.org/officeDocument/2006/relationships/hyperlink" Target="https://www.kwch.com/2026/03/13/kansas-house-fails-advance-property-tax-cap-amendment/" TargetMode="External" Id="rId290"/><Relationship Type="http://schemas.openxmlformats.org/officeDocument/2006/relationships/hyperlink" Target="https://johnsoncountypost.com/2023/08/25/johnson-county-property-tax-rate-210731/" TargetMode="External" Id="rId291"/><Relationship Type="http://schemas.openxmlformats.org/officeDocument/2006/relationships/hyperlink" Target="https://apps.lincolninst.edu/uploads/summary-tables/rate-limits-summary-tables/rate-limits-2022-4.xlsx" TargetMode="External" Id="rId292"/><Relationship Type="http://schemas.openxmlformats.org/officeDocument/2006/relationships/hyperlink" Target="https://www2.census.gov/programs-surveys/gov-finances/tables/2022/22slsstab1.xlsx" TargetMode="External" Id="rId293"/><Relationship Type="http://schemas.openxmlformats.org/officeDocument/2006/relationships/hyperlink" Target="https://taxfoundation.org/data/all/state/sales-tax-rates/" TargetMode="External" Id="rId294"/><Relationship Type="http://schemas.openxmlformats.org/officeDocument/2006/relationships/hyperlink" Target="https://www.kctv5.com/2026/04/10/kansas-governor-vetoes-property-tax-bill-backs-alternative-plan" TargetMode="External" Id="rId295"/><Relationship Type="http://schemas.openxmlformats.org/officeDocument/2006/relationships/hyperlink" Target="https://kansaspolicy.org/examining-issues-options-property-tax-relief/" TargetMode="External" Id="rId296"/><Relationship Type="http://schemas.openxmlformats.org/officeDocument/2006/relationships/hyperlink" Target="https://kansaspolicy.org/alec-praises-revenue-neutral-says-more-is-needed/" TargetMode="External" Id="rId297"/><Relationship Type="http://schemas.openxmlformats.org/officeDocument/2006/relationships/hyperlink" Target="https://johnsoncountypost.com/2026/09/04/johnson-county-2027-budget-295606/" TargetMode="External" Id="rId298"/><Relationship Type="http://schemas.openxmlformats.org/officeDocument/2006/relationships/hyperlink" Target="https://www.kwch.com/2026/08/26/sedgwick-countys-budget-approval-includes-lowered-mill-levy-additional-ems-resources/" TargetMode="External" Id="rId299"/><Relationship Type="http://schemas.openxmlformats.org/officeDocument/2006/relationships/hyperlink" Target="https://digital-release.ksn.com/news/local/no-property-tax-relief-for-most-with-new-wichita-budget" TargetMode="External" Id="rId300"/><Relationship Type="http://schemas.openxmlformats.org/officeDocument/2006/relationships/hyperlink" Target="https://hoodline.com/2026/07/kck-pols-crack-open-door-to-11-million-property-tax-hit/" TargetMode="External" Id="rId301"/><Relationship Type="http://schemas.openxmlformats.org/officeDocument/2006/relationships/hyperlink" Target="https://www.kctv5.com/2026/08/25/wyandotte-county-kansas-city-kansas-approve-possibility-property-tax-rate-hike-2027/" TargetMode="External" Id="rId302"/><Relationship Type="http://schemas.openxmlformats.org/officeDocument/2006/relationships/hyperlink" Target="https://www.ksnt.com/capitol-bureau/could-kansas-lawmakers-call-a-special-session-to-reverse-property-tax-relief-failures/amp/" TargetMode="External" Id="rId303"/><Relationship Type="http://schemas.openxmlformats.org/officeDocument/2006/relationships/hyperlink" Target="https://www.kla.org/news-center/news-releases/news/details/47721/kansas-legislature-wraps-up-2026-session" TargetMode="External" Id="rId304"/><Relationship Type="http://schemas.openxmlformats.org/officeDocument/2006/relationships/hyperlink" Target="https://lawrencekstimes.com/2026/04/29/kelly-vetoes-property-tax-bill/" TargetMode="External" Id="rId305"/><Relationship Type="http://schemas.openxmlformats.org/officeDocument/2006/relationships/hyperlink" Target="https://www.wibw.com/2026/04/27/gov-kelly-vetoes-property-tax-protest-bill-kansas-house-speaker-responds/" TargetMode="External" Id="rId306"/><Relationship Type="http://schemas.openxmlformats.org/officeDocument/2006/relationships/hyperlink" Target="https://americansforprosperity.org/press-release/americans-for-prosperity-kansas-issues-statement-on-school-bond-property-tax-vote/" TargetMode="External" Id="rId307"/><Relationship Type="http://schemas.openxmlformats.org/officeDocument/2006/relationships/hyperlink" Target="https://apps.legislature.ky.gov/law/Statutes/statute.aspx?id=57653" TargetMode="External" Id="rId308"/><Relationship Type="http://schemas.openxmlformats.org/officeDocument/2006/relationships/hyperlink" Target="https://law.justia.com/codes/kentucky/chapter-132/section-132-017/" TargetMode="External" Id="rId309"/><Relationship Type="http://schemas.openxmlformats.org/officeDocument/2006/relationships/hyperlink" Target="https://revenue.ky.gov/Property/Pages/2025-State-Real-Property-Tax-Rate-Drops-to-10.6-cents.aspx" TargetMode="External" Id="rId310"/><Relationship Type="http://schemas.openxmlformats.org/officeDocument/2006/relationships/hyperlink" Target="https://www.wbko.com/2026/07/16/state-real-property-tax-rate-drops-6th-consecutive-year/" TargetMode="External" Id="rId311"/><Relationship Type="http://schemas.openxmlformats.org/officeDocument/2006/relationships/hyperlink" Target="https://revenue.ky.gov/News/Pages/DOR-Sets-2025-2026-Homestead-Exemption.aspx" TargetMode="External" Id="rId312"/><Relationship Type="http://schemas.openxmlformats.org/officeDocument/2006/relationships/hyperlink" Target="https://apps.legislature.ky.gov/record/26rs/sb41.html" TargetMode="External" Id="rId313"/><Relationship Type="http://schemas.openxmlformats.org/officeDocument/2006/relationships/hyperlink" Target="https://apps.legislature.ky.gov/recorddocuments/note/26RS/sb41/LM.pdf" TargetMode="External" Id="rId314"/><Relationship Type="http://schemas.openxmlformats.org/officeDocument/2006/relationships/hyperlink" Target="https://apps.legislature.ky.gov/recorddocuments/note/26RS/sb51/FN.pdf" TargetMode="External" Id="rId315"/><Relationship Type="http://schemas.openxmlformats.org/officeDocument/2006/relationships/hyperlink" Target="https://apps.lincolninst.edu/uploads/summary-tables/rate-limits-summary-tables/rate-limits-2022-4.xlsx" TargetMode="External" Id="rId316"/><Relationship Type="http://schemas.openxmlformats.org/officeDocument/2006/relationships/hyperlink" Target="https://www.lincolninst.edu/app/uploads/2024/10/truth_in_taxation_2024.xlsx" TargetMode="External" Id="rId317"/><Relationship Type="http://schemas.openxmlformats.org/officeDocument/2006/relationships/hyperlink" Target="https://www2.census.gov/programs-surveys/gov-finances/tables/2022/22slsstab1.xlsx" TargetMode="External" Id="rId318"/><Relationship Type="http://schemas.openxmlformats.org/officeDocument/2006/relationships/hyperlink" Target="https://www.bluegrassinstitute.org/kys-flawed-property-tax-system-allows-silent-increases/" TargetMode="External" Id="rId319"/><Relationship Type="http://schemas.openxmlformats.org/officeDocument/2006/relationships/hyperlink" Target="https://www.wkyt.com/2026/08/14/fayette-county-board-education-consider-tax-rate-drop-that-still-boosts-total-revenue/" TargetMode="External" Id="rId320"/><Relationship Type="http://schemas.openxmlformats.org/officeDocument/2006/relationships/hyperlink" Target="https://www.wave3.com/2025/08/20/jcps-board-approves-lower-property-tax-rate" TargetMode="External" Id="rId321"/><Relationship Type="http://schemas.openxmlformats.org/officeDocument/2006/relationships/hyperlink" Target="https://kysenaterepublicans.com/press-releases/2026/4/8/boswell-bill-strengthening-taxpayer-protections-passes-senate" TargetMode="External" Id="rId322"/><Relationship Type="http://schemas.openxmlformats.org/officeDocument/2006/relationships/hyperlink" Target="https://apps.legislature.ky.gov/record/26rs/hb233.html" TargetMode="External" Id="rId323"/><Relationship Type="http://schemas.openxmlformats.org/officeDocument/2006/relationships/hyperlink" Target="https://www.fox19.com/2026/10/07/election-2026-explaining-kentucky-indianas-ballot-measures/" TargetMode="External" Id="rId324"/><Relationship Type="http://schemas.openxmlformats.org/officeDocument/2006/relationships/hyperlink" Target="https://house.louisiana.gov/slg/PDF/Chapter%203%20Part%20D%20-%20Local%20Government%20Finance.pdf" TargetMode="External" Id="rId325"/><Relationship Type="http://schemas.openxmlformats.org/officeDocument/2006/relationships/hyperlink" Target="https://legis.la.gov/legis/LawPrint.aspx?d=101336" TargetMode="External" Id="rId326"/><Relationship Type="http://schemas.openxmlformats.org/officeDocument/2006/relationships/hyperlink" Target="https://legis.la.gov/Legis/LawPrint.aspx?d=102361" TargetMode="External" Id="rId327"/><Relationship Type="http://schemas.openxmlformats.org/officeDocument/2006/relationships/hyperlink" Target="https://webiis08.mondaq.com/unitedstates/tax-authorities/1770732/ldr-issues-guidance-on-changes-to-the-inventory-tax-credit" TargetMode="External" Id="rId328"/><Relationship Type="http://schemas.openxmlformats.org/officeDocument/2006/relationships/hyperlink" Target="https://710keel.com/whats-on-your-louisiana-ballot-2018-amendment-6/" TargetMode="External" Id="rId329"/><Relationship Type="http://schemas.openxmlformats.org/officeDocument/2006/relationships/hyperlink" Target="https://lailluminator.com/2024/11/11/louisiana-wont-touch-generous-industrial-property-tax-break-amid-landrys-overhaul/" TargetMode="External" Id="rId330"/><Relationship Type="http://schemas.openxmlformats.org/officeDocument/2006/relationships/hyperlink" Target="https://taxfoundation.org/research/state-tax/2026-state-tax-ballot-measures/" TargetMode="External" Id="rId331"/><Relationship Type="http://schemas.openxmlformats.org/officeDocument/2006/relationships/hyperlink" Target="https://apps.lincolninst.edu/uploads/summary-tables/rate-limits-summary-tables/rate-limits-2022-4.xlsx" TargetMode="External" Id="rId332"/><Relationship Type="http://schemas.openxmlformats.org/officeDocument/2006/relationships/hyperlink" Target="https://www.lincolninst.edu/app/uploads/2024/12/assessment_limits_2022-3.xlsx" TargetMode="External" Id="rId333"/><Relationship Type="http://schemas.openxmlformats.org/officeDocument/2006/relationships/hyperlink" Target="https://www2.census.gov/programs-surveys/gov-finances/tables/2022/22slsstab1.xlsx" TargetMode="External" Id="rId334"/><Relationship Type="http://schemas.openxmlformats.org/officeDocument/2006/relationships/hyperlink" Target="https://taxfoundation.org/data/all/state/sales-tax-rates/" TargetMode="External" Id="rId335"/><Relationship Type="http://schemas.openxmlformats.org/officeDocument/2006/relationships/hyperlink" Target="https://www.wwno.org/politics/2026-05-16/may-16-election-results-louisiana-voters-reject-all-5-amendments-see-full-results" TargetMode="External" Id="rId336"/><Relationship Type="http://schemas.openxmlformats.org/officeDocument/2006/relationships/hyperlink" Target="https://pelicanpolicy.org/local-government/amendment4/" TargetMode="External" Id="rId337"/><Relationship Type="http://schemas.openxmlformats.org/officeDocument/2006/relationships/hyperlink" Target="https://websterparishjournal.com/2026/09/04/explaining-the-constitutional-amendments/" TargetMode="External" Id="rId338"/><Relationship Type="http://schemas.openxmlformats.org/officeDocument/2006/relationships/hyperlink" Target="https://news.ballotpedia.org/2026/06/03/louisiana-voters-will-decide-on-10-legislatively-referred-ballot-measures-in-nov-2026/" TargetMode="External" Id="rId339"/><Relationship Type="http://schemas.openxmlformats.org/officeDocument/2006/relationships/hyperlink" Target="https://www.liskow.com/insights/proposed-constitutional-amendment-would-expand-homestead-exemption-for-senior-pro-102mx4y/" TargetMode="External" Id="rId340"/><Relationship Type="http://schemas.openxmlformats.org/officeDocument/2006/relationships/hyperlink" Target="https://www.wwno.org/2026-06-27/east-baton-rouge-voters-overwhelmingly-approve-funding-renewals-for-library-other-agencies" TargetMode="External" Id="rId341"/><Relationship Type="http://schemas.openxmlformats.org/officeDocument/2006/relationships/hyperlink" Target="https://thelensnola.org/?p=473158" TargetMode="External" Id="rId342"/><Relationship Type="http://schemas.openxmlformats.org/officeDocument/2006/relationships/hyperlink" Target="https://www.wwno.org/politics/2025-04-29/may-3-election-whats-on-the-ballot" TargetMode="External" Id="rId343"/><Relationship Type="http://schemas.openxmlformats.org/officeDocument/2006/relationships/hyperlink" Target="https://lldc.mainelegislature.org/Open/Rpts/kf6784_z99m254_2014.pdf" TargetMode="External" Id="rId344"/><Relationship Type="http://schemas.openxmlformats.org/officeDocument/2006/relationships/hyperlink" Target="https://legislature.maine.gov/statutes/36/title36sec685.html" TargetMode="External" Id="rId345"/><Relationship Type="http://schemas.openxmlformats.org/officeDocument/2006/relationships/hyperlink" Target="https://legislature.maine.gov/statutes/36/title36sec683.html" TargetMode="External" Id="rId346"/><Relationship Type="http://schemas.openxmlformats.org/officeDocument/2006/relationships/hyperlink" Target="https://mainemorningstar.com/2024/02/13/legislature-trying-to-reimburse-municipalities-after-repeal-of-failed-senior-tax-relief-program/" TargetMode="External" Id="rId347"/><Relationship Type="http://schemas.openxmlformats.org/officeDocument/2006/relationships/hyperlink" Target="https://kennebunkmaine.us/470/Exemptions-and-Tax-Credits" TargetMode="External" Id="rId348"/><Relationship Type="http://schemas.openxmlformats.org/officeDocument/2006/relationships/hyperlink" Target="https://www.lincolninst.edu/app/uploads/2024/12/levy_limits_2022.xlsx" TargetMode="External" Id="rId349"/><Relationship Type="http://schemas.openxmlformats.org/officeDocument/2006/relationships/hyperlink" Target="https://www2.census.gov/programs-surveys/gov-finances/tables/2022/22slsstab1.xlsx" TargetMode="External" Id="rId350"/><Relationship Type="http://schemas.openxmlformats.org/officeDocument/2006/relationships/hyperlink" Target="https://lldc.mainelegislature.org/Open/Meta/LegHist/131/lh131-LD-2102.pdf" TargetMode="External" Id="rId351"/><Relationship Type="http://schemas.openxmlformats.org/officeDocument/2006/relationships/hyperlink" Target="https://legislature.maine.gov/LawMakerWeb/summary.asp?LD=542&amp;SessionID=16" TargetMode="External" Id="rId352"/><Relationship Type="http://schemas.openxmlformats.org/officeDocument/2006/relationships/hyperlink" Target="https://www.maine.gov/revenue/sites/maine.gov.revenue/files/inline-files/2024%20Municipal%20Valuation%20Return%20Statistical%20Summary%20Report.pdf" TargetMode="External" Id="rId353"/><Relationship Type="http://schemas.openxmlformats.org/officeDocument/2006/relationships/hyperlink" Target="https://www.maine.gov/revenue/sites/maine.gov.revenue/files/inline-files/2019mvrstats.pdf" TargetMode="External" Id="rId354"/><Relationship Type="http://schemas.openxmlformats.org/officeDocument/2006/relationships/hyperlink" Target="https://spectrumlocalnews.com/me/maine/politics/2025/09/12/new-maine-task-force-looks-to-find-ways-lower-property-taxes" TargetMode="External" Id="rId355"/><Relationship Type="http://schemas.openxmlformats.org/officeDocument/2006/relationships/hyperlink" Target="https://spectrumlocalnews.com/me/maine/news/2026/06/02/portland-taxpayers-to-bear-5-7--increase-after-council-approves-municipal-budget" TargetMode="External" Id="rId356"/><Relationship Type="http://schemas.openxmlformats.org/officeDocument/2006/relationships/hyperlink" Target="https://spectrumlocalnews.com/me/maine/news/2026/04/16/lewiston-considers-layoffs--hiring-freezes-to-lower-budget" TargetMode="External" Id="rId357"/><Relationship Type="http://schemas.openxmlformats.org/officeDocument/2006/relationships/hyperlink" Target="https://mainehousegop.org/newsroom/ld-2102-will-raise-property-taxes/" TargetMode="External" Id="rId358"/><Relationship Type="http://schemas.openxmlformats.org/officeDocument/2006/relationships/hyperlink" Target="https://mesenategop.com/2024/09/02/property-taxes-are-becoming-an-existential-threat-to-maines-homeowners/" TargetMode="External" Id="rId359"/><Relationship Type="http://schemas.openxmlformats.org/officeDocument/2006/relationships/hyperlink" Target="https://legislature.maine.gov/LawMakerWeb/summary.asp?LD=140&amp;SessionID=16" TargetMode="External" Id="rId360"/><Relationship Type="http://schemas.openxmlformats.org/officeDocument/2006/relationships/hyperlink" Target="https://legislature.maine.gov/legis/bills/bills_132nd/fiscalnotes/FN014002.htm" TargetMode="External" Id="rId361"/><Relationship Type="http://schemas.openxmlformats.org/officeDocument/2006/relationships/hyperlink" Target="https://dat.maryland.gov/SiteAssets/Pages/Tax-Rates/Tax%20Rates%202026-2027%20-%20Tax%20Table%20%26%20Homestead%20Credit%20Caps_July%202026_0926-A.pdf" TargetMode="External" Id="rId362"/><Relationship Type="http://schemas.openxmlformats.org/officeDocument/2006/relationships/hyperlink" Target="https://mgaleg.maryland.gov/2012rs/fnotes/bil_0000/sb0740.pdf" TargetMode="External" Id="rId363"/><Relationship Type="http://schemas.openxmlformats.org/officeDocument/2006/relationships/hyperlink" Target="https://mgaleg.maryland.gov/2012rs/fnotes/bil_0008/sb0848.pdf" TargetMode="External" Id="rId364"/><Relationship Type="http://schemas.openxmlformats.org/officeDocument/2006/relationships/hyperlink" Target="https://conduitstreet.mdcounties.org/2020/11/04/montgomery-residents-vote-to-remodel-property-tax-structure-expand-council-membership/" TargetMode="External" Id="rId365"/><Relationship Type="http://schemas.openxmlformats.org/officeDocument/2006/relationships/hyperlink" Target="https://marylandmatters.org/2020/09/29/montgomery-county-ballot-questions-&#8213;-on-property-taxes-council-makeup-explained/" TargetMode="External" Id="rId366"/><Relationship Type="http://schemas.openxmlformats.org/officeDocument/2006/relationships/hyperlink" Target="https://dls.maryland.gov/pubs/prod/NoPblTabPDF/2026HomesteadPropertyTaxCredit.pdf" TargetMode="External" Id="rId367"/><Relationship Type="http://schemas.openxmlformats.org/officeDocument/2006/relationships/hyperlink" Target="https://www.lincolninst.edu/app/uploads/2024/12/assessment_limits_2022-3.xlsx" TargetMode="External" Id="rId368"/><Relationship Type="http://schemas.openxmlformats.org/officeDocument/2006/relationships/hyperlink" Target="https://www2.census.gov/programs-surveys/gov-finances/tables/2022/22slsstab1.xlsx" TargetMode="External" Id="rId369"/><Relationship Type="http://schemas.openxmlformats.org/officeDocument/2006/relationships/hyperlink" Target="https://mgaleg.maryland.gov/mgawebsite/Laws/StatuteText?article=gtp&amp;section=6-308&amp;enactments=false" TargetMode="External" Id="rId370"/><Relationship Type="http://schemas.openxmlformats.org/officeDocument/2006/relationships/hyperlink" Target="https://mgaleg.maryland.gov/mgawebsite/Laws/StatuteText?article=gtp&amp;section=2-205&amp;enactments=false" TargetMode="External" Id="rId371"/><Relationship Type="http://schemas.openxmlformats.org/officeDocument/2006/relationships/hyperlink" Target="https://mgaleg.maryland.gov/2023RS/fnotes/bil_0004/sb0114.pdf" TargetMode="External" Id="rId372"/><Relationship Type="http://schemas.openxmlformats.org/officeDocument/2006/relationships/hyperlink" Target="https://mgaleg.maryland.gov/2025RS/fnotes/bil_0003/hb0133.pdf" TargetMode="External" Id="rId373"/><Relationship Type="http://schemas.openxmlformats.org/officeDocument/2006/relationships/hyperlink" Target="https://dat.maryland.gov/realproperty/Pages/Constant-Yield-Tax-Rates.aspx" TargetMode="External" Id="rId374"/><Relationship Type="http://schemas.openxmlformats.org/officeDocument/2006/relationships/hyperlink" Target="https://storage.pardot.com/153411/1721770738w2cOfbLK/Um_WP24YU1.pdf" TargetMode="External" Id="rId375"/><Relationship Type="http://schemas.openxmlformats.org/officeDocument/2006/relationships/hyperlink" Target="https://www.lincolninst.edu/app/uploads/2024/10/truth_in_taxation_2024.xlsx" TargetMode="External" Id="rId376"/><Relationship Type="http://schemas.openxmlformats.org/officeDocument/2006/relationships/hyperlink" Target="https://dat.maryland.gov/Documents/Accessible%20Documents/Real%20Property%20Reports/Tax%20Rates%20and%20Homestead%20Cap%20Percentages/County%20%26%20Municipal%20property%20tax%20rates%20%26%20Homestead%20Credit%20Caps%20in%20effect%20for%20July%201%2c%202025%20tax%20bills_0426-A%20%281%29.pdf" TargetMode="External" Id="rId377"/><Relationship Type="http://schemas.openxmlformats.org/officeDocument/2006/relationships/hyperlink" Target="https://dat.maryland.gov/Documents/Accessible%20Documents/Real%20Property%20Reports/Tax%20Rates%20and%20Homestead%20Cap%20Percentages/County%20%26%20Municipal%20property%20tax%20rates%20in%20effect%20for%20July%201%2c%202023%20tax%20bills_0426-A.pdf" TargetMode="External" Id="rId378"/><Relationship Type="http://schemas.openxmlformats.org/officeDocument/2006/relationships/hyperlink" Target="https://dls.maryland.gov/pubs/prod/RecurRpt/23rs_90_Day_Report.pdf" TargetMode="External" Id="rId379"/><Relationship Type="http://schemas.openxmlformats.org/officeDocument/2006/relationships/hyperlink" Target="https://dls.maryland.gov/pubs/prod/RecurRpt/24rs_90_Day_Report.pdf" TargetMode="External" Id="rId380"/><Relationship Type="http://schemas.openxmlformats.org/officeDocument/2006/relationships/hyperlink" Target="https://dls.maryland.gov/pubs/prod/RecurRpt/25rs_90_Day_Report.pdf" TargetMode="External" Id="rId381"/><Relationship Type="http://schemas.openxmlformats.org/officeDocument/2006/relationships/hyperlink" Target="https://dls.maryland.gov/pubs/prod/RecurRpt/26rs_90_Day_Report.pdf" TargetMode="External" Id="rId382"/><Relationship Type="http://schemas.openxmlformats.org/officeDocument/2006/relationships/hyperlink" Target="https://www.mymcmedia.org/councilmembers-support-4-7-cent-property-tax-increase/" TargetMode="External" Id="rId383"/><Relationship Type="http://schemas.openxmlformats.org/officeDocument/2006/relationships/hyperlink" Target="https://montgomeryperspective.com/2024/07/18/should-we-make-property-tax-hikes-easier-part-two/" TargetMode="External" Id="rId384"/><Relationship Type="http://schemas.openxmlformats.org/officeDocument/2006/relationships/hyperlink" Target="https://montgomeryperspective.com/2024/07/24/how-the-council-voted-on-making-property-tax-hikes-easier/" TargetMode="External" Id="rId385"/><Relationship Type="http://schemas.openxmlformats.org/officeDocument/2006/relationships/hyperlink" Target="https://montgomeryperspective.com/2026/05/13/the-challenge-of-getting-to-eight/" TargetMode="External" Id="rId386"/><Relationship Type="http://schemas.openxmlformats.org/officeDocument/2006/relationships/hyperlink" Target="https://montgomeryperspective.com/2026/07/02/mocos-shocking-homeowner-tax-hike/" TargetMode="External" Id="rId387"/><Relationship Type="http://schemas.openxmlformats.org/officeDocument/2006/relationships/hyperlink" Target="https://montgomeryperspective.com/2026/08/03/another-tax-hike/" TargetMode="External" Id="rId388"/><Relationship Type="http://schemas.openxmlformats.org/officeDocument/2006/relationships/hyperlink" Target="https://montgomeryperspective.com/2026/07/22/will-stop-the-spend-get-on-the-ballot/" TargetMode="External" Id="rId389"/><Relationship Type="http://schemas.openxmlformats.org/officeDocument/2006/relationships/hyperlink" Target="https://montgomeryperspective.com/2026/08/17/stop-the-spend-charter-amendment-fails/" TargetMode="External" Id="rId390"/><Relationship Type="http://schemas.openxmlformats.org/officeDocument/2006/relationships/hyperlink" Target="https://montgomeryperspective.com/2026/09/04/more-outrage-over-taxes-top-stories-august-2026/" TargetMode="External" Id="rId391"/><Relationship Type="http://schemas.openxmlformats.org/officeDocument/2006/relationships/hyperlink" Target="https://www.elections.maryland.gov/elections/2026/general_ballots/Cecil.pdf" TargetMode="External" Id="rId392"/><Relationship Type="http://schemas.openxmlformats.org/officeDocument/2006/relationships/hyperlink" Target="https://taxfoundation.org/blog/virginia-income-tax-proposals-2026/" TargetMode="External" Id="rId393"/><Relationship Type="http://schemas.openxmlformats.org/officeDocument/2006/relationships/hyperlink" Target="https://malegislature.gov/Laws/GeneralLaws/PartI/TitleIX/Chapter59/Section21C" TargetMode="External" Id="rId394"/><Relationship Type="http://schemas.openxmlformats.org/officeDocument/2006/relationships/hyperlink" Target="https://www.mass.gov/info-details/reporting-proposition-2-12-election-results-and-related-fy2026-analysis" TargetMode="External" Id="rId395"/><Relationship Type="http://schemas.openxmlformats.org/officeDocument/2006/relationships/hyperlink" Target="https://www.lincolninst.edu/app/uploads/2024/12/levy_limits_2022.xlsx" TargetMode="External" Id="rId396"/><Relationship Type="http://schemas.openxmlformats.org/officeDocument/2006/relationships/hyperlink" Target="https://apps.lincolninst.edu/uploads/summary-tables/rate-limits-summary-tables/rate-limits-2022-4.xlsx" TargetMode="External" Id="rId397"/><Relationship Type="http://schemas.openxmlformats.org/officeDocument/2006/relationships/hyperlink" Target="https://commonwealthbeacon.org/economy/the-geography-of-proposition-2frac12-overrides/" TargetMode="External" Id="rId398"/><Relationship Type="http://schemas.openxmlformats.org/officeDocument/2006/relationships/hyperlink" Target="https://www2.census.gov/programs-surveys/gov-finances/tables/2022/22slsstab1.xlsx" TargetMode="External" Id="rId399"/><Relationship Type="http://schemas.openxmlformats.org/officeDocument/2006/relationships/hyperlink" Target="https://www.mass.gov/info-details/reporting-prop-2-12-election-results-and-related-fy2025-analysis" TargetMode="External" Id="rId400"/><Relationship Type="http://schemas.openxmlformats.org/officeDocument/2006/relationships/hyperlink" Target="https://www.mass.gov/info-details/analyzing-fy2026-new-growth" TargetMode="External" Id="rId401"/><Relationship Type="http://schemas.openxmlformats.org/officeDocument/2006/relationships/hyperlink" Target="https://www.mass.gov/info-details/examining-fy26-excess-levy-capacity-and-levy-limits" TargetMode="External" Id="rId402"/><Relationship Type="http://schemas.openxmlformats.org/officeDocument/2006/relationships/hyperlink" Target="https://www.mass.gov/info-details/fy2026-tax-levies-assessed-values-and-tax-rates" TargetMode="External" Id="rId403"/><Relationship Type="http://schemas.openxmlformats.org/officeDocument/2006/relationships/hyperlink" Target="https://mass.gov/technical-information-release/tir-25-7-annual-update-of-real-estate-tax-credit-for-certain-persons-age-65-and-older" TargetMode="External" Id="rId404"/><Relationship Type="http://schemas.openxmlformats.org/officeDocument/2006/relationships/hyperlink" Target="https://malegislature.gov/Laws/GeneralLaws/PartI/TitleIX/Chapter59/Section5C" TargetMode="External" Id="rId405"/><Relationship Type="http://schemas.openxmlformats.org/officeDocument/2006/relationships/hyperlink" Target="https://malegislature.gov/Laws/GeneralLaws/PartI/TitleVII/Chapter40/Section56" TargetMode="External" Id="rId406"/><Relationship Type="http://schemas.openxmlformats.org/officeDocument/2006/relationships/hyperlink" Target="https://malegislature.gov/Laws/GeneralLaws/PartI/TitleIX/Chapter58/Section1A" TargetMode="External" Id="rId407"/><Relationship Type="http://schemas.openxmlformats.org/officeDocument/2006/relationships/hyperlink" Target="https://malegislature.gov/Laws/GeneralLaws/PartI/TitleVII/Chapter44B/Section3" TargetMode="External" Id="rId408"/><Relationship Type="http://schemas.openxmlformats.org/officeDocument/2006/relationships/hyperlink" Target="https://malegislature.gov/PressRoom/Detail?pressReleaseId=309" TargetMode="External" Id="rId409"/><Relationship Type="http://schemas.openxmlformats.org/officeDocument/2006/relationships/hyperlink" Target="https://malegislature.gov/Bills/194/S2902" TargetMode="External" Id="rId410"/><Relationship Type="http://schemas.openxmlformats.org/officeDocument/2006/relationships/hyperlink" Target="https://malegislature.gov/Bills/194/S2917" TargetMode="External" Id="rId411"/><Relationship Type="http://schemas.openxmlformats.org/officeDocument/2006/relationships/hyperlink" Target="https://www.wbur.org/news/2025/12/10/boston-city-council-property-tax-increase" TargetMode="External" Id="rId412"/><Relationship Type="http://schemas.openxmlformats.org/officeDocument/2006/relationships/hyperlink" Target="https://www.wbur.org/news/2025/12/10/boston-tax-shift-home-rule-senate-plan-brownsberger-collins" TargetMode="External" Id="rId413"/><Relationship Type="http://schemas.openxmlformats.org/officeDocument/2006/relationships/hyperlink" Target="https://www.wbur.org/news/2025/12/03/mayor-wu-boston-property-taxes-residential-increase-home-rule" TargetMode="External" Id="rId414"/><Relationship Type="http://schemas.openxmlformats.org/officeDocument/2006/relationships/hyperlink" Target="https://www.wbur.org/news/2026/01/15/massachusetts-senate-boston-wu-tax-shift" TargetMode="External" Id="rId415"/><Relationship Type="http://schemas.openxmlformats.org/officeDocument/2006/relationships/hyperlink" Target="https://boston.gov/departments/budget/fy27-property-taxes" TargetMode="External" Id="rId416"/><Relationship Type="http://schemas.openxmlformats.org/officeDocument/2006/relationships/hyperlink" Target="https://www.cambridgeday.com/2026/09/29/council-apptax-increase-difficult-budget/" TargetMode="External" Id="rId417"/><Relationship Type="http://schemas.openxmlformats.org/officeDocument/2006/relationships/hyperlink" Target="https://www.marbleheadindependent.com/news-analysis-marbleheads-17-3-million-override-night-ranks-second-in-state-history/" TargetMode="External" Id="rId418"/><Relationship Type="http://schemas.openxmlformats.org/officeDocument/2006/relationships/hyperlink" Target="https://yourarlington.com/2026/04/town-election-override03282026/" TargetMode="External" Id="rId419"/><Relationship Type="http://schemas.openxmlformats.org/officeDocument/2006/relationships/hyperlink" Target="https://www.boston.com/news/local-news/2026/05/11/brookline-voters-overwhelmingly-approve-tax-override-to-avoid-school-public-safety-cuts/" TargetMode="External" Id="rId420"/><Relationship Type="http://schemas.openxmlformats.org/officeDocument/2006/relationships/hyperlink" Target="https://www.bostonglobe.com/2026/03/24/metro/massachusetts-overrides-roundup/" TargetMode="External" Id="rId421"/><Relationship Type="http://schemas.openxmlformats.org/officeDocument/2006/relationships/hyperlink" Target="https://www.westernmassnews.com/2026/06/08/prop-2-12-override-explained-why-54-massachusetts-towns-want-higher-taxes/" TargetMode="External" Id="rId422"/><Relationship Type="http://schemas.openxmlformats.org/officeDocument/2006/relationships/hyperlink" Target="https://www.mma.org/key-sections-of-municipal-empowerment-act-move-in-house/" TargetMode="External" Id="rId423"/><Relationship Type="http://schemas.openxmlformats.org/officeDocument/2006/relationships/hyperlink" Target="https://www.mma.org/municipal-empowerment-act-awaits-action-in-house/" TargetMode="External" Id="rId424"/><Relationship Type="http://schemas.openxmlformats.org/officeDocument/2006/relationships/hyperlink" Target="https://www.mma.org/gov-healey-signs-fy27-state-budget-with-40m-ugga-increase/" TargetMode="External" Id="rId425"/><Relationship Type="http://schemas.openxmlformats.org/officeDocument/2006/relationships/hyperlink" Target="https://www.mma.org/3-ballot-questions-raise-concerns-for-local-leaders/" TargetMode="External" Id="rId426"/><Relationship Type="http://schemas.openxmlformats.org/officeDocument/2006/relationships/hyperlink" Target="https://www.sec.state.ma.us/divisions/elections/download/information-for-voters/archive/IFV_2026%20English.pdf" TargetMode="External" Id="rId427"/><Relationship Type="http://schemas.openxmlformats.org/officeDocument/2006/relationships/hyperlink" Target="https://www.wgbh.org/news/local/2026-06-18/income-tax-cut-ballot-question-tossed-by-states-highest-court" TargetMode="External" Id="rId428"/><Relationship Type="http://schemas.openxmlformats.org/officeDocument/2006/relationships/hyperlink" Target="https://taxfoundation.org/research/all/state/massachusetts-property-tax-proposition-2-12/" TargetMode="External" Id="rId429"/><Relationship Type="http://schemas.openxmlformats.org/officeDocument/2006/relationships/hyperlink" Target="https://pioneerinstitute.org/pioneer-calls-on-ma-leaders-to-probe-department-of-revenues-inaction/" TargetMode="External" Id="rId430"/><Relationship Type="http://schemas.openxmlformats.org/officeDocument/2006/relationships/hyperlink" Target="https://pioneerinstitute.org/pioneer-new-england-legal-foundation-urges-dor-to-reopen-tax-assessments-probe-after-boston-makes-initial-disclosure-of-150-properties-affected-by-retaliatory-assessment-increases/" TargetMode="External" Id="rId431"/><Relationship Type="http://schemas.openxmlformats.org/officeDocument/2006/relationships/hyperlink" Target="https://www.newburyportnews.com/news/report-prop-2-keeping-local-taxes-down/article_f96e818f-7dc4-5342-b9f9-94c644cebeb4.html" TargetMode="External" Id="rId432"/><Relationship Type="http://schemas.openxmlformats.org/officeDocument/2006/relationships/hyperlink" Target="https://www.communitypreservation.org/" TargetMode="External" Id="rId433"/><Relationship Type="http://schemas.openxmlformats.org/officeDocument/2006/relationships/hyperlink" Target="https://cltg.org/" TargetMode="External" Id="rId434"/><Relationship Type="http://schemas.openxmlformats.org/officeDocument/2006/relationships/hyperlink" Target="https://www.legislature.mi.gov/Laws/MCL?objectName=mcl-211-34d" TargetMode="External" Id="rId435"/><Relationship Type="http://schemas.openxmlformats.org/officeDocument/2006/relationships/hyperlink" Target="https://www.legislature.mi.gov/Laws/MCL?objectName=mcl-211-24e" TargetMode="External" Id="rId436"/><Relationship Type="http://schemas.openxmlformats.org/officeDocument/2006/relationships/hyperlink" Target="https://www.michigan.gov/taxes/iit/tax-guidance/tax-year-info/tax-year-2025-guidance" TargetMode="External" Id="rId437"/><Relationship Type="http://schemas.openxmlformats.org/officeDocument/2006/relationships/hyperlink" Target="https://bridgemi.com/michigan-government/property-tax-elimination-proposal-fails-to-make-michigan-ballot-again/" TargetMode="External" Id="rId438"/><Relationship Type="http://schemas.openxmlformats.org/officeDocument/2006/relationships/hyperlink" Target="https://www.lincolninst.edu/app/uploads/2024/12/levy_limits_2022.xlsx" TargetMode="External" Id="rId439"/><Relationship Type="http://schemas.openxmlformats.org/officeDocument/2006/relationships/hyperlink" Target="https://www.lincolninst.edu/app/uploads/2024/12/assessment_limits_2022-3.xlsx" TargetMode="External" Id="rId440"/><Relationship Type="http://schemas.openxmlformats.org/officeDocument/2006/relationships/hyperlink" Target="https://apps.lincolninst.edu/uploads/summary-tables/rate-limits-summary-tables/rate-limits-2022-4.xlsx" TargetMode="External" Id="rId441"/><Relationship Type="http://schemas.openxmlformats.org/officeDocument/2006/relationships/hyperlink" Target="https://www.lincolninst.edu/app/uploads/2024/10/truth_in_taxation_2024.xlsx" TargetMode="External" Id="rId442"/><Relationship Type="http://schemas.openxmlformats.org/officeDocument/2006/relationships/hyperlink" Target="https://www2.census.gov/programs-surveys/gov-finances/tables/2022/22slsstab1.xlsx" TargetMode="External" Id="rId443"/><Relationship Type="http://schemas.openxmlformats.org/officeDocument/2006/relationships/hyperlink" Target="https://www.legislature.mi.gov/Laws/MCL?objectName=mcl-Article-IX-31" TargetMode="External" Id="rId444"/><Relationship Type="http://schemas.openxmlformats.org/officeDocument/2006/relationships/hyperlink" Target="https://www.legislature.mi.gov/Laws/MCL?objectName=mcl-211-27a" TargetMode="External" Id="rId445"/><Relationship Type="http://schemas.openxmlformats.org/officeDocument/2006/relationships/hyperlink" Target="https://www.legislature.mi.gov/Laws/MCL?objectName=mcl-141-412" TargetMode="External" Id="rId446"/><Relationship Type="http://schemas.openxmlformats.org/officeDocument/2006/relationships/hyperlink" Target="https://www.legislature.mi.gov/Laws/MCL?objectName=mcl-141-436" TargetMode="External" Id="rId447"/><Relationship Type="http://schemas.openxmlformats.org/officeDocument/2006/relationships/hyperlink" Target="https://www.legislature.mi.gov/Laws/MCL?objectName=mcl-206-520" TargetMode="External" Id="rId448"/><Relationship Type="http://schemas.openxmlformats.org/officeDocument/2006/relationships/hyperlink" Target="https://www.legislature.mi.gov/Laws/MCL?objectName=mcl-206-522" TargetMode="External" Id="rId449"/><Relationship Type="http://schemas.openxmlformats.org/officeDocument/2006/relationships/hyperlink" Target="https://www.legislature.mi.gov/Laws/MCL?objectName=mcl-211-7b" TargetMode="External" Id="rId450"/><Relationship Type="http://schemas.openxmlformats.org/officeDocument/2006/relationships/hyperlink" Target="https://www.legislature.mi.gov/documents/2015-2016/publicact/pdf/2015-PA-0179.pdf" TargetMode="External" Id="rId451"/><Relationship Type="http://schemas.openxmlformats.org/officeDocument/2006/relationships/hyperlink" Target="https://www.legislature.mi.gov/documents/1995-1996/billanalysis/House/pdf/1995-HLA-4518-B.pdf" TargetMode="External" Id="rId452"/><Relationship Type="http://schemas.openxmlformats.org/officeDocument/2006/relationships/hyperlink" Target="https://www.michigan.gov/taxes/rep-legal/rab/rabhtml/2021/revenue-administrative-bulletin-2021-25" TargetMode="External" Id="rId453"/><Relationship Type="http://schemas.openxmlformats.org/officeDocument/2006/relationships/hyperlink" Target="https://www.michigan.gov/treasury/news/2026/03/06/michigan-taxpayers-encouraged-to-check-eligibility-for-homestead-property-tax-credit" TargetMode="External" Id="rId454"/><Relationship Type="http://schemas.openxmlformats.org/officeDocument/2006/relationships/hyperlink" Target="https://www.michigan.gov/taxes/property/ppt/reimburse/lcss-revenue-available" TargetMode="External" Id="rId455"/><Relationship Type="http://schemas.openxmlformats.org/officeDocument/2006/relationships/hyperlink" Target="https://mml.org/wp-content/uploads/2025/12/x-FS-Headlee-Plus-2026.pdf" TargetMode="External" Id="rId456"/><Relationship Type="http://schemas.openxmlformats.org/officeDocument/2006/relationships/hyperlink" Target="https://presqueisletwp.org/wp-content/uploads/2026/01/Proposal-A-26.pdf" TargetMode="External" Id="rId457"/><Relationship Type="http://schemas.openxmlformats.org/officeDocument/2006/relationships/hyperlink" Target="https://www.lincolninst.edu/app/uploads/2025/01/levy_limits_2022.xlsx" TargetMode="External" Id="rId458"/><Relationship Type="http://schemas.openxmlformats.org/officeDocument/2006/relationships/hyperlink" Target="https://www.michigan.gov/sos/-/media/Project/Websites/sos/BSC-Announcements/Statewide-Petition-Status.pdf" TargetMode="External" Id="rId459"/><Relationship Type="http://schemas.openxmlformats.org/officeDocument/2006/relationships/hyperlink" Target="https://www.michiganpublic.org/politics-government/2026-09-04/michigans-november-2026-ballot-is-official-includes-two-questions-for-all-voters" TargetMode="External" Id="rId460"/><Relationship Type="http://schemas.openxmlformats.org/officeDocument/2006/relationships/hyperlink" Target="https://www.michiganpublic.org/politics-government/2026-05-21/house-passes-property-tax-cut-bills-holds-off-on-tax-increases-to-fill-budget-hole" TargetMode="External" Id="rId461"/><Relationship Type="http://schemas.openxmlformats.org/officeDocument/2006/relationships/hyperlink" Target="https://mml.org/inside208/2026/05/21/house-rushes-through-property-tax-cut-bills-without-replacement-revenue/" TargetMode="External" Id="rId462"/><Relationship Type="http://schemas.openxmlformats.org/officeDocument/2006/relationships/hyperlink" Target="https://www.legislature.mi.gov/Bills/Bill?ObjectName=2026-HB-5872" TargetMode="External" Id="rId463"/><Relationship Type="http://schemas.openxmlformats.org/officeDocument/2006/relationships/hyperlink" Target="https://www.legislature.mi.gov/Bills/Bill?ObjectName=2026-HB-5873" TargetMode="External" Id="rId464"/><Relationship Type="http://schemas.openxmlformats.org/officeDocument/2006/relationships/hyperlink" Target="https://www.legislature.mi.gov/Bills/Bill?ObjectName=2026-HB-5878" TargetMode="External" Id="rId465"/><Relationship Type="http://schemas.openxmlformats.org/officeDocument/2006/relationships/hyperlink" Target="https://www.legislature.mi.gov/Bills/Bill?ObjectName=2026-HB-5880" TargetMode="External" Id="rId466"/><Relationship Type="http://schemas.openxmlformats.org/officeDocument/2006/relationships/hyperlink" Target="https://www.legislature.mi.gov/Bills/Bill?ObjectName=2026-SB-1039" TargetMode="External" Id="rId467"/><Relationship Type="http://schemas.openxmlformats.org/officeDocument/2006/relationships/hyperlink" Target="https://michigan.gov/whitmer/news/press-releases/2026/07/27/whitmer-signs-bills-to-extend-property-tax-relief-support-the-detroit-wayne-county-port-authority" TargetMode="External" Id="rId468"/><Relationship Type="http://schemas.openxmlformats.org/officeDocument/2006/relationships/hyperlink" Target="https://www.mackinac.org/blog/2026/a-look-at-michigans-property-tax" TargetMode="External" Id="rId469"/><Relationship Type="http://schemas.openxmlformats.org/officeDocument/2006/relationships/hyperlink" Target="https://www.mackinac.org/blog/2026/some-detroiters-pay-high-property-taxes-others-dont" TargetMode="External" Id="rId470"/><Relationship Type="http://schemas.openxmlformats.org/officeDocument/2006/relationships/hyperlink" Target="https://www.mackinac.org/blog/2026/senior-discount-wont-solve-michigans-property-tax-problem" TargetMode="External" Id="rId471"/><Relationship Type="http://schemas.openxmlformats.org/officeDocument/2006/relationships/hyperlink" Target="https://www.mackinac.org/blog/2026/voters-can-lower-their-own-property-taxes-under-michigan-rules" TargetMode="External" Id="rId472"/><Relationship Type="http://schemas.openxmlformats.org/officeDocument/2006/relationships/hyperlink" Target="https://www.revisor.mn.gov/statutes/cite/275.70" TargetMode="External" Id="rId473"/><Relationship Type="http://schemas.openxmlformats.org/officeDocument/2006/relationships/hyperlink" Target="https://www.revisor.mn.gov/statutes/cite/275.065" TargetMode="External" Id="rId474"/><Relationship Type="http://schemas.openxmlformats.org/officeDocument/2006/relationships/hyperlink" Target="https://www.revisor.mn.gov/statutes/cite/275.025" TargetMode="External" Id="rId475"/><Relationship Type="http://schemas.openxmlformats.org/officeDocument/2006/relationships/hyperlink" Target="https://www.revisor.mn.gov/statutes/cite/126C.17" TargetMode="External" Id="rId476"/><Relationship Type="http://schemas.openxmlformats.org/officeDocument/2006/relationships/hyperlink" Target="https://www.revisor.mn.gov/statutes/cite/290A.04" TargetMode="External" Id="rId477"/><Relationship Type="http://schemas.openxmlformats.org/officeDocument/2006/relationships/hyperlink" Target="https://www.lincolninst.edu/app/uploads/2024/12/levy_limits_2022.xlsx" TargetMode="External" Id="rId478"/><Relationship Type="http://schemas.openxmlformats.org/officeDocument/2006/relationships/hyperlink" Target="https://www.lincolninst.edu/app/uploads/2024/10/truth_in_taxation_2024.xlsx" TargetMode="External" Id="rId479"/><Relationship Type="http://schemas.openxmlformats.org/officeDocument/2006/relationships/hyperlink" Target="https://www2.census.gov/programs-surveys/gov-finances/tables/2022/22slsstab1.xlsx" TargetMode="External" Id="rId480"/><Relationship Type="http://schemas.openxmlformats.org/officeDocument/2006/relationships/hyperlink" Target="https://www.house.mn.gov/hrd/pubs/ss/sslvylmt.pdf" TargetMode="External" Id="rId481"/><Relationship Type="http://schemas.openxmlformats.org/officeDocument/2006/relationships/hyperlink" Target="https://www.revisor.mn.gov/statutes/cite/275.71" TargetMode="External" Id="rId482"/><Relationship Type="http://schemas.openxmlformats.org/officeDocument/2006/relationships/hyperlink" Target="https://www.revisor.mn.gov/bills/94/2026/0/SF/4608" TargetMode="External" Id="rId483"/><Relationship Type="http://schemas.openxmlformats.org/officeDocument/2006/relationships/hyperlink" Target="https://www.revisor.mn.gov/statutes/cite/273.13" TargetMode="External" Id="rId484"/><Relationship Type="http://schemas.openxmlformats.org/officeDocument/2006/relationships/hyperlink" Target="https://www.revisor.mn.gov/statutes/cite/290.0693" TargetMode="External" Id="rId485"/><Relationship Type="http://schemas.openxmlformats.org/officeDocument/2006/relationships/hyperlink" Target="https://www.revisor.mn.gov/statutes/cite/290B.03" TargetMode="External" Id="rId486"/><Relationship Type="http://schemas.openxmlformats.org/officeDocument/2006/relationships/hyperlink" Target="https://www.revisor.mn.gov/statutes/cite/477A.03" TargetMode="External" Id="rId487"/><Relationship Type="http://schemas.openxmlformats.org/officeDocument/2006/relationships/hyperlink" Target="https://www.revenue.state.mn.us/certified-property-tax-levies" TargetMode="External" Id="rId488"/><Relationship Type="http://schemas.openxmlformats.org/officeDocument/2006/relationships/hyperlink" Target="https://www.revenue.state.mn.us/sites/default/files/2026-02/2026-certified-levies-website.xlsx" TargetMode="External" Id="rId489"/><Relationship Type="http://schemas.openxmlformats.org/officeDocument/2006/relationships/hyperlink" Target="https://www.revenue.state.mn.us/sites/default/files/2024-03/2024-certified-levies-website.xlsx" TargetMode="External" Id="rId490"/><Relationship Type="http://schemas.openxmlformats.org/officeDocument/2006/relationships/hyperlink" Target="https://revenue.state.mn.us/press-release/2025-11-13/preliminary-property-tax-levies-2026" TargetMode="External" Id="rId491"/><Relationship Type="http://schemas.openxmlformats.org/officeDocument/2006/relationships/hyperlink" Target="https://www.revenue.state.mn.us/sites/default/files/2026-06/m1pr-inst-25.pdf" TargetMode="External" Id="rId492"/><Relationship Type="http://schemas.openxmlformats.org/officeDocument/2006/relationships/hyperlink" Target="https://www.revenue.state.mn.us/homeowners-homestead-credit-refund" TargetMode="External" Id="rId493"/><Relationship Type="http://schemas.openxmlformats.org/officeDocument/2006/relationships/hyperlink" Target="https://www.revenue.state.mn.us/renters-credit" TargetMode="External" Id="rId494"/><Relationship Type="http://schemas.openxmlformats.org/officeDocument/2006/relationships/hyperlink" Target="https://www.revenue.state.mn.us/press-release/2026-06-05/minnesota-revenue-announces-guidance-one-time-increase-homeowner-refunds" TargetMode="External" Id="rId495"/><Relationship Type="http://schemas.openxmlformats.org/officeDocument/2006/relationships/hyperlink" Target="https://www.revenue.state.mn.us/sites/default/files/2025-07/2025-property-tax-law-summary.pdf" TargetMode="External" Id="rId496"/><Relationship Type="http://schemas.openxmlformats.org/officeDocument/2006/relationships/hyperlink" Target="https://www.revenue.state.mn.us/sites/default/files/2026-07/2026-property-tax-law-summary_0.pdf" TargetMode="External" Id="rId497"/><Relationship Type="http://schemas.openxmlformats.org/officeDocument/2006/relationships/hyperlink" Target="https://www.house.mn.gov/NewLaws/story/2025/5642" TargetMode="External" Id="rId498"/><Relationship Type="http://schemas.openxmlformats.org/officeDocument/2006/relationships/hyperlink" Target="https://www.house.mn.gov/NewLaws/story/2026/5779" TargetMode="External" Id="rId499"/><Relationship Type="http://schemas.openxmlformats.org/officeDocument/2006/relationships/hyperlink" Target="https://www.house.mn.gov/SessionDaily/Story/19199" TargetMode="External" Id="rId500"/><Relationship Type="http://schemas.openxmlformats.org/officeDocument/2006/relationships/hyperlink" Target="https://www.house.mn.gov/SessionDaily/Story/19081" TargetMode="External" Id="rId501"/><Relationship Type="http://schemas.openxmlformats.org/officeDocument/2006/relationships/hyperlink" Target="https://www.americanexperiment.org/how-the-dfl-trifecta-hiked-property-taxes-and-hit-affordability/" TargetMode="External" Id="rId502"/><Relationship Type="http://schemas.openxmlformats.org/officeDocument/2006/relationships/hyperlink" Target="https://www.americanexperiment.org/as-property-taxes-surge-again-hammering-affordability-its-time-for-minnesotans-to-say-taxed-enough-already/" TargetMode="External" Id="rId503"/><Relationship Type="http://schemas.openxmlformats.org/officeDocument/2006/relationships/hyperlink" Target="https://freedomfoundationofminnesota.com/minnesota-legislature-takes-away-taxpayers-right-to-vote/" TargetMode="External" Id="rId504"/><Relationship Type="http://schemas.openxmlformats.org/officeDocument/2006/relationships/hyperlink" Target="https://www.lincolninst.edu/app/uploads/legacy-files/ms_june_2021.pdf" TargetMode="External" Id="rId505"/><Relationship Type="http://schemas.openxmlformats.org/officeDocument/2006/relationships/hyperlink" Target="https://billstatus.ls.state.ms.us/documents/2010/html/HB/1300-1399/HB1370IN.htm" TargetMode="External" Id="rId506"/><Relationship Type="http://schemas.openxmlformats.org/officeDocument/2006/relationships/hyperlink" Target="https://www.lincolninst.edu/app/uploads/2024/12/levy_limits_2022.xlsx" TargetMode="External" Id="rId507"/><Relationship Type="http://schemas.openxmlformats.org/officeDocument/2006/relationships/hyperlink" Target="https://www2.census.gov/programs-surveys/gov-finances/tables/2022/22slsstab1.xlsx" TargetMode="External" Id="rId508"/><Relationship Type="http://schemas.openxmlformats.org/officeDocument/2006/relationships/hyperlink" Target="https://codes.findlaw.com/ms/title-27-taxation-and-finance/ms-code-sect-27-39-321/" TargetMode="External" Id="rId509"/><Relationship Type="http://schemas.openxmlformats.org/officeDocument/2006/relationships/hyperlink" Target="https://billstatus.ls.state.ms.us/documents/2026/html/HB/4000-4099/HB4044SG.htm" TargetMode="External" Id="rId510"/><Relationship Type="http://schemas.openxmlformats.org/officeDocument/2006/relationships/hyperlink" Target="https://billstatus.ls.state.ms.us/2026/pdf/all_measures/allmsrs.xml" TargetMode="External" Id="rId511"/><Relationship Type="http://schemas.openxmlformats.org/officeDocument/2006/relationships/hyperlink" Target="https://billstatus.ls.state.ms.us/2025/pdf/history/HB/HB0001.xml" TargetMode="External" Id="rId512"/><Relationship Type="http://schemas.openxmlformats.org/officeDocument/2006/relationships/hyperlink" Target="https://www.wjtv.com/news/politics/mississippi-politics/mississippi-lawmakers-consider-cutting-property-taxes/amp/" TargetMode="External" Id="rId513"/><Relationship Type="http://schemas.openxmlformats.org/officeDocument/2006/relationships/hyperlink" Target="https://governor.mo.gov/press-releases/archive/governor-kehoe-signs-special-session-legislation-law" TargetMode="External" Id="rId514"/><Relationship Type="http://schemas.openxmlformats.org/officeDocument/2006/relationships/hyperlink" Target="https://www.newstribune.com/news/2025/jun/08/bernskoetter-recognized-for-keeping-cole-county/" TargetMode="External" Id="rId515"/><Relationship Type="http://schemas.openxmlformats.org/officeDocument/2006/relationships/hyperlink" Target="https://missouriindependent.com/2025/06/05/missouri-governor-allows-more-spending-property-tax-cap-as-he-pursues-stadium-deal/" TargetMode="External" Id="rId516"/><Relationship Type="http://schemas.openxmlformats.org/officeDocument/2006/relationships/hyperlink" Target="https://www.kctv5.com/2025/04/17/jackson-county-limit-2025-residential-property-tax-assessment-increases-15" TargetMode="External" Id="rId517"/><Relationship Type="http://schemas.openxmlformats.org/officeDocument/2006/relationships/hyperlink" Target="https://house.mo.gov/PressRelease.aspx?prid=89" TargetMode="External" Id="rId518"/><Relationship Type="http://schemas.openxmlformats.org/officeDocument/2006/relationships/hyperlink" Target="https://revisor.mo.gov/main/OneSection.aspx?section=137.073" TargetMode="External" Id="rId519"/><Relationship Type="http://schemas.openxmlformats.org/officeDocument/2006/relationships/hyperlink" Target="https://www.lincolninst.edu/app/uploads/2024/12/levy_limits_2022.xlsx" TargetMode="External" Id="rId520"/><Relationship Type="http://schemas.openxmlformats.org/officeDocument/2006/relationships/hyperlink" Target="https://apps.lincolninst.edu/uploads/summary-tables/rate-limits-summary-tables/rate-limits-2022-4.xlsx" TargetMode="External" Id="rId521"/><Relationship Type="http://schemas.openxmlformats.org/officeDocument/2006/relationships/hyperlink" Target="https://www.lincolninst.edu/app/uploads/2024/10/truth_in_taxation_2024.xlsx" TargetMode="External" Id="rId522"/><Relationship Type="http://schemas.openxmlformats.org/officeDocument/2006/relationships/hyperlink" Target="https://www2.census.gov/programs-surveys/gov-finances/tables/2022/22slsstab1.xlsx" TargetMode="External" Id="rId523"/><Relationship Type="http://schemas.openxmlformats.org/officeDocument/2006/relationships/hyperlink" Target="https://missouriindependent.com/2026/07/30/judge-promises-quick-decision-on-challenge-to-missouri-property-tax-caps/" TargetMode="External" Id="rId524"/><Relationship Type="http://schemas.openxmlformats.org/officeDocument/2006/relationships/hyperlink" Target="https://revisor.mo.gov/main/OneSection.aspx?section=137.1055" TargetMode="External" Id="rId525"/><Relationship Type="http://schemas.openxmlformats.org/officeDocument/2006/relationships/hyperlink" Target="https://www.governing.com/finance/missouri-voters-approved-property-tax-caps-now-comes-the-hard-part" TargetMode="External" Id="rId526"/><Relationship Type="http://schemas.openxmlformats.org/officeDocument/2006/relationships/hyperlink" Target="https://www.ksmu.org/news/2026-05-11/property-tax-relief-is-a-priority-in-last-week-of-missouri-legislative-session" TargetMode="External" Id="rId527"/><Relationship Type="http://schemas.openxmlformats.org/officeDocument/2006/relationships/hyperlink" Target="https://www.stlpr.org/government-politics-issues/2026-05-15/missouri-legislature-ends-drama-reduced-week-with-key-agenda-items-now-up-to-voters" TargetMode="External" Id="rId528"/><Relationship Type="http://schemas.openxmlformats.org/officeDocument/2006/relationships/hyperlink" Target="https://www.sos.mo.gov/elections/petitions/2026BallotMeasures" TargetMode="External" Id="rId529"/><Relationship Type="http://schemas.openxmlformats.org/officeDocument/2006/relationships/hyperlink" Target="https://www.newstribune.com/news/2026/aug/04/aug-4-primary-results-missouri-constitution-amendments/" TargetMode="External" Id="rId530"/><Relationship Type="http://schemas.openxmlformats.org/officeDocument/2006/relationships/hyperlink" Target="https://taxnews.ey.com/news/2026-0995-voters-renew-the-st-louis-missouri-earnings-tax-for-another-five-years" TargetMode="External" Id="rId531"/><Relationship Type="http://schemas.openxmlformats.org/officeDocument/2006/relationships/hyperlink" Target="https://thebeaconnews.org/stories/2026/04/08/kansas-city-earnings-tax-renewed-results" TargetMode="External" Id="rId532"/><Relationship Type="http://schemas.openxmlformats.org/officeDocument/2006/relationships/hyperlink" Target="https://showmeinstitute.org/wp-content/uploads/2025/06/20250610-Property-Tax-SS.pdf" TargetMode="External" Id="rId533"/><Relationship Type="http://schemas.openxmlformats.org/officeDocument/2006/relationships/hyperlink" Target="https://archive.legmt.gov/bills/mca/title_0150/chapter_0100/part_0040/section_0200/0150-0100-0040-0200.html" TargetMode="External" Id="rId534"/><Relationship Type="http://schemas.openxmlformats.org/officeDocument/2006/relationships/hyperlink" Target="https://archive.legmt.gov/bills/mca/title_0150/chapter_0100/part_0040/section_0250/0150-0100-0040-0250.html" TargetMode="External" Id="rId535"/><Relationship Type="http://schemas.openxmlformats.org/officeDocument/2006/relationships/hyperlink" Target="https://archive.legmt.gov/bills/mca/title_0150/chapter_0060/part_0010/section_0340/0150-0060-0010-0340.html" TargetMode="External" Id="rId536"/><Relationship Type="http://schemas.openxmlformats.org/officeDocument/2006/relationships/hyperlink" Target="https://archive.legmt.gov/bills/mca/title_0150/chapter_0060/part_0030/section_0050/0150-0060-0030-0050.html" TargetMode="External" Id="rId537"/><Relationship Type="http://schemas.openxmlformats.org/officeDocument/2006/relationships/hyperlink" Target="https://archive.legmt.gov/bills/mca/title_0150/chapter_0300/part_0230/section_0380/0150-0300-0230-0380.html" TargetMode="External" Id="rId538"/><Relationship Type="http://schemas.openxmlformats.org/officeDocument/2006/relationships/hyperlink" Target="https://archive.legmt.gov/bills/mca/title_0200/chapter_0090/part_0030/section_0600/0200-0090-0030-0600.html" TargetMode="External" Id="rId539"/><Relationship Type="http://schemas.openxmlformats.org/officeDocument/2006/relationships/hyperlink" Target="https://archive.legmt.gov/bills/mca/title_0200/chapter_0090/part_0040/section_0280/0200-0090-0040-0280.html" TargetMode="External" Id="rId540"/><Relationship Type="http://schemas.openxmlformats.org/officeDocument/2006/relationships/hyperlink" Target="https://parsonsbehle.com/insights/new-montana-state-income-and-property-taxes-for-2025-and-2026" TargetMode="External" Id="rId541"/><Relationship Type="http://schemas.openxmlformats.org/officeDocument/2006/relationships/hyperlink" Target="https://dailymontanan.com/2023/11/28/montana-supreme-court-sides-with-state-orders-counties-levy-full-statewide-school-mills/" TargetMode="External" Id="rId542"/><Relationship Type="http://schemas.openxmlformats.org/officeDocument/2006/relationships/hyperlink" Target="https://sosmt.gov/elections/ballot_issues/proposed-2026-ballot-issues/" TargetMode="External" Id="rId543"/><Relationship Type="http://schemas.openxmlformats.org/officeDocument/2006/relationships/hyperlink" Target="https://montanafreepress.org/2026/03/23/republican-legislator-rolls-out-new-property-tax-cap-initiative/" TargetMode="External" Id="rId544"/><Relationship Type="http://schemas.openxmlformats.org/officeDocument/2006/relationships/hyperlink" Target="https://www.lincolninst.edu/app/uploads/2024/12/levy_limits_2022.xlsx" TargetMode="External" Id="rId545"/><Relationship Type="http://schemas.openxmlformats.org/officeDocument/2006/relationships/hyperlink" Target="https://www2.census.gov/programs-surveys/gov-finances/tables/2022/22slsstab1.xlsx" TargetMode="External" Id="rId546"/><Relationship Type="http://schemas.openxmlformats.org/officeDocument/2006/relationships/hyperlink" Target="https://revenue.mt.gov/property/property-tax-changes/2026-property-tax-information" TargetMode="External" Id="rId547"/><Relationship Type="http://schemas.openxmlformats.org/officeDocument/2006/relationships/hyperlink" Target="https://montanafreepress.org/2026/04/17/montana-gop-asks-court-to-nix-gianforte-backed-property-tax-law/" TargetMode="External" Id="rId548"/><Relationship Type="http://schemas.openxmlformats.org/officeDocument/2006/relationships/hyperlink" Target="https://dailymontanan.com/2026/03/31/montana-supreme-court-denies-governors-request-to-take-up-property-tax-case/" TargetMode="External" Id="rId549"/><Relationship Type="http://schemas.openxmlformats.org/officeDocument/2006/relationships/hyperlink" Target="https://montanafreepress.org/2026/09/21/city-to-put-5-3-levy-before-voters-this-spring/" TargetMode="External" Id="rId550"/><Relationship Type="http://schemas.openxmlformats.org/officeDocument/2006/relationships/hyperlink" Target="https://montanafreepress.org/2026/10/05/yellowstone-county-jail-expansion/" TargetMode="External" Id="rId551"/><Relationship Type="http://schemas.openxmlformats.org/officeDocument/2006/relationships/hyperlink" Target="https://frontierinstitute.org/the-latest-levy-report-card/" TargetMode="External" Id="rId552"/><Relationship Type="http://schemas.openxmlformats.org/officeDocument/2006/relationships/hyperlink" Target="https://frontierinstitute.org/permanent-tax-relief-requires-limiting-government-budget-growth/" TargetMode="External" Id="rId553"/><Relationship Type="http://schemas.openxmlformats.org/officeDocument/2006/relationships/hyperlink" Target="https://frontierinstitute.org/eliminate-montanas-35-million-university-property-tax/" TargetMode="External" Id="rId554"/><Relationship Type="http://schemas.openxmlformats.org/officeDocument/2006/relationships/hyperlink" Target="https://nebraskalegislature.gov/laws/statutes.php?statute=13-3403" TargetMode="External" Id="rId555"/><Relationship Type="http://schemas.openxmlformats.org/officeDocument/2006/relationships/hyperlink" Target="https://nebraskalegislature.gov/laws/statutes.php?statute=13-3404" TargetMode="External" Id="rId556"/><Relationship Type="http://schemas.openxmlformats.org/officeDocument/2006/relationships/hyperlink" Target="https://nebraskalegislature.gov/laws/statutes.php?statute=13-3405" TargetMode="External" Id="rId557"/><Relationship Type="http://schemas.openxmlformats.org/officeDocument/2006/relationships/hyperlink" Target="https://nebraskalegislature.gov/laws/statutes.php?statute=13-3406" TargetMode="External" Id="rId558"/><Relationship Type="http://schemas.openxmlformats.org/officeDocument/2006/relationships/hyperlink" Target="https://nebraskalegislature.gov/laws/statutes.php?statute=79-3402" TargetMode="External" Id="rId559"/><Relationship Type="http://schemas.openxmlformats.org/officeDocument/2006/relationships/hyperlink" Target="https://nebraskalegislature.gov/laws/statutes.php?statute=79-3405" TargetMode="External" Id="rId560"/><Relationship Type="http://schemas.openxmlformats.org/officeDocument/2006/relationships/hyperlink" Target="https://nebraskalegislature.gov/laws/statutes.php?statute=77-3442" TargetMode="External" Id="rId561"/><Relationship Type="http://schemas.openxmlformats.org/officeDocument/2006/relationships/hyperlink" Target="https://nebraskalegislature.gov/laws/statutes.php?statute=77-3444" TargetMode="External" Id="rId562"/><Relationship Type="http://schemas.openxmlformats.org/officeDocument/2006/relationships/hyperlink" Target="https://nebraskalegislature.gov/laws/statutes.php?statute=13-519" TargetMode="External" Id="rId563"/><Relationship Type="http://schemas.openxmlformats.org/officeDocument/2006/relationships/hyperlink" Target="https://nebraskalegislature.gov/laws/statutes.php?statute=79-1023" TargetMode="External" Id="rId564"/><Relationship Type="http://schemas.openxmlformats.org/officeDocument/2006/relationships/hyperlink" Target="https://nebraskalegislature.gov/laws/statutes.php?statute=77-1631" TargetMode="External" Id="rId565"/><Relationship Type="http://schemas.openxmlformats.org/officeDocument/2006/relationships/hyperlink" Target="https://nebraskalegislature.gov/laws/statutes.php?statute=77-1633" TargetMode="External" Id="rId566"/><Relationship Type="http://schemas.openxmlformats.org/officeDocument/2006/relationships/hyperlink" Target="https://nebraskalegislature.gov/laws/statutes.php?statute=77-7305" TargetMode="External" Id="rId567"/><Relationship Type="http://schemas.openxmlformats.org/officeDocument/2006/relationships/hyperlink" Target="https://nebraskalegislature.gov/laws/statutes.php?statute=77-4212" TargetMode="External" Id="rId568"/><Relationship Type="http://schemas.openxmlformats.org/officeDocument/2006/relationships/hyperlink" Target="https://nebraskalegislature.gov/laws/statutes.php?statute=77-201" TargetMode="External" Id="rId569"/><Relationship Type="http://schemas.openxmlformats.org/officeDocument/2006/relationships/hyperlink" Target="https://nebraskalegislature.gov/laws/statutes.php?statute=77-3501.01" TargetMode="External" Id="rId570"/><Relationship Type="http://schemas.openxmlformats.org/officeDocument/2006/relationships/hyperlink" Target="https://nebraskalegislature.gov/laws/articles.php?article=VIII-1A" TargetMode="External" Id="rId571"/><Relationship Type="http://schemas.openxmlformats.org/officeDocument/2006/relationships/hyperlink" Target="https://nebraskalegislature.gov/FloorDocs/109/PDF/Slip/LB803.pdf" TargetMode="External" Id="rId572"/><Relationship Type="http://schemas.openxmlformats.org/officeDocument/2006/relationships/hyperlink" Target="https://www.NebraskaLegislature.gov/FloorDocs/108/PDF/Final/LB243.pdf" TargetMode="External" Id="rId573"/><Relationship Type="http://schemas.openxmlformats.org/officeDocument/2006/relationships/hyperlink" Target="https://update.legislature.ne.gov/?p=34462" TargetMode="External" Id="rId574"/><Relationship Type="http://schemas.openxmlformats.org/officeDocument/2006/relationships/hyperlink" Target="https://update.legislature.ne.gov/?p=34653" TargetMode="External" Id="rId575"/><Relationship Type="http://schemas.openxmlformats.org/officeDocument/2006/relationships/hyperlink" Target="https://revenue.nebraska.gov/about/2026-nebraska-legislative-changes" TargetMode="External" Id="rId576"/><Relationship Type="http://schemas.openxmlformats.org/officeDocument/2006/relationships/hyperlink" Target="https://revenue.nebraska.gov/sites/default/files/doc/pad/research/annual-reports/2025/annrpt2025%20table%203.pdf" TargetMode="External" Id="rId577"/><Relationship Type="http://schemas.openxmlformats.org/officeDocument/2006/relationships/hyperlink" Target="https://revenue.nebraska.gov/sites/default/files/doc/pad/homestead/2026%20Income%20Table.pdf" TargetMode="External" Id="rId578"/><Relationship Type="http://schemas.openxmlformats.org/officeDocument/2006/relationships/hyperlink" Target="https://auditors.nebraska.gov/Budget_Info/B2025-2026/2025_Budget_Updates_Slides.pdf" TargetMode="External" Id="rId579"/><Relationship Type="http://schemas.openxmlformats.org/officeDocument/2006/relationships/hyperlink" Target="https://nebraskaexaminer.com/2024/08/16/absolute-minimum-property-tax-relief-plan-advances-in-nebraska-legislature-with-few-changes/" TargetMode="External" Id="rId580"/><Relationship Type="http://schemas.openxmlformats.org/officeDocument/2006/relationships/hyperlink" Target="https://nebraskaexaminer.com/2026/04/16/pillen-vetoes-bill-defining-snow-ice-removal-flood-management-as-emergency-management-duties/" TargetMode="External" Id="rId581"/><Relationship Type="http://schemas.openxmlformats.org/officeDocument/2006/relationships/hyperlink" Target="https://www.wowt.com/2026/04/17/nebraska-unicameral-fails-override-any-gov-pillens-vetoes/" TargetMode="External" Id="rId582"/><Relationship Type="http://schemas.openxmlformats.org/officeDocument/2006/relationships/hyperlink" Target="https://nebraskaexaminer.com/2025/08/25/petition-effort-seeks-to-halve-nebraska-property-taxes-cap-valuations/" TargetMode="External" Id="rId583"/><Relationship Type="http://schemas.openxmlformats.org/officeDocument/2006/relationships/hyperlink" Target="https://nebraskaexaminer.com/2026/06/10/advocates-end-nebraska-property-tax-winner-take-all-hand-count-ballots-petition-effort/" TargetMode="External" Id="rId584"/><Relationship Type="http://schemas.openxmlformats.org/officeDocument/2006/relationships/hyperlink" Target="https://www.lincolninst.edu/app/uploads/2024/10/truth_in_taxation_2024.xlsx" TargetMode="External" Id="rId585"/><Relationship Type="http://schemas.openxmlformats.org/officeDocument/2006/relationships/hyperlink" Target="https://www2.census.gov/programs-surveys/gov-finances/tables/2022/22slsstab1.xlsx" TargetMode="External" Id="rId586"/><Relationship Type="http://schemas.openxmlformats.org/officeDocument/2006/relationships/hyperlink" Target="https://platteinstitute.org/how-lincoln-raised-property-taxes-without-raising-rates/" TargetMode="External" Id="rId587"/><Relationship Type="http://schemas.openxmlformats.org/officeDocument/2006/relationships/hyperlink" Target="https://platteinstitute.org/nebraskas-property-tax-caps-are-not-the-same-as-iowas/" TargetMode="External" Id="rId588"/><Relationship Type="http://schemas.openxmlformats.org/officeDocument/2006/relationships/hyperlink" Target="https://archive.commonsenseinstituteus.org/iowa/research/taxes-and-fees/iowa-leads-the-nation-in-property-tax-relief-ranking-state-reforms-of-the-past-decade" TargetMode="External" Id="rId589"/><Relationship Type="http://schemas.openxmlformats.org/officeDocument/2006/relationships/hyperlink" Target="https://sos.nebraska.gov/elections" TargetMode="External" Id="rId590"/><Relationship Type="http://schemas.openxmlformats.org/officeDocument/2006/relationships/hyperlink" Target="https://www.nebraskalegislature.gov/bills/search_by_number.php?DocumentNumber=LR19CA&amp;Legislature=109" TargetMode="External" Id="rId591"/><Relationship Type="http://schemas.openxmlformats.org/officeDocument/2006/relationships/hyperlink" Target="https://www.3newsnow.com/central-omaha/we-are-holding-the-line-on-the-levy-mayor-ewing-unveils-proposed-2027-budget-keeps-property-tax-rates-flat" TargetMode="External" Id="rId592"/><Relationship Type="http://schemas.openxmlformats.org/officeDocument/2006/relationships/hyperlink" Target="https://www.3newsnow.com/central-omaha/omaha-city-council-approves-2027-budget-after-debate-over-property-tax-amendment" TargetMode="External" Id="rId593"/><Relationship Type="http://schemas.openxmlformats.org/officeDocument/2006/relationships/hyperlink" Target="https://www.wowt.com/2026/09/22/omaha-public-schools-raises-property-tax-levy-after-506m-budget-error/" TargetMode="External" Id="rId594"/><Relationship Type="http://schemas.openxmlformats.org/officeDocument/2006/relationships/hyperlink" Target="https://www.leg.state.nv.us/NRS/NRS-354.html" TargetMode="External" Id="rId595"/><Relationship Type="http://schemas.openxmlformats.org/officeDocument/2006/relationships/hyperlink" Target="https://www.leg.state.nv.us/NRS/NRS-361.html" TargetMode="External" Id="rId596"/><Relationship Type="http://schemas.openxmlformats.org/officeDocument/2006/relationships/hyperlink" Target="https://www.leg.state.nv.us/NRS/NRS-387.html" TargetMode="External" Id="rId597"/><Relationship Type="http://schemas.openxmlformats.org/officeDocument/2006/relationships/hyperlink" Target="https://www.lincolninst.edu/app/uploads/2024/12/levy_limits_2022.xlsx" TargetMode="External" Id="rId598"/><Relationship Type="http://schemas.openxmlformats.org/officeDocument/2006/relationships/hyperlink" Target="https://apps.lincolninst.edu/uploads/summary-tables/rate-limits-summary-tables/rate-limits-2022-4.xlsx" TargetMode="External" Id="rId599"/><Relationship Type="http://schemas.openxmlformats.org/officeDocument/2006/relationships/hyperlink" Target="https://www.lincolninst.edu/app/uploads/2024/10/truth_in_taxation_2024.xlsx" TargetMode="External" Id="rId600"/><Relationship Type="http://schemas.openxmlformats.org/officeDocument/2006/relationships/hyperlink" Target="https://www2.census.gov/programs-surveys/gov-finances/tables/2022/22slsstab1.xlsx" TargetMode="External" Id="rId601"/><Relationship Type="http://schemas.openxmlformats.org/officeDocument/2006/relationships/hyperlink" Target="https://www.leg.state.nv.us/Session/83rd2025/Bills/SB/SB451_EN.pdf" TargetMode="External" Id="rId602"/><Relationship Type="http://schemas.openxmlformats.org/officeDocument/2006/relationships/hyperlink" Target="https://www.leg.state.nv.us/Session/83rd2025/Bills/AB/AB377_EN.pdf" TargetMode="External" Id="rId603"/><Relationship Type="http://schemas.openxmlformats.org/officeDocument/2006/relationships/hyperlink" Target="https://thenevadaindependent.com/article/is-lombardo-staying-true-to-his-no-taxes-pledge-a-bill-signing-raises-questions" TargetMode="External" Id="rId604"/><Relationship Type="http://schemas.openxmlformats.org/officeDocument/2006/relationships/hyperlink" Target="https://nevadapolicy.org/bill-to-sharply-increase-state-property-tax-fails/" TargetMode="External" Id="rId605"/><Relationship Type="http://schemas.openxmlformats.org/officeDocument/2006/relationships/hyperlink" Target="https://www.fox5vegas.com/2026/09/30/nevada-releases-2026-ballot-question-guide-ahead-general-election/" TargetMode="External" Id="rId606"/><Relationship Type="http://schemas.openxmlformats.org/officeDocument/2006/relationships/hyperlink" Target="https://news3lv.com/news/election/nevadans-will-only-vote-on-two-statewide-ballot-questions-this-year-the-fewest-since-2012-voter-id-identification-abortion-rights" TargetMode="External" Id="rId607"/><Relationship Type="http://schemas.openxmlformats.org/officeDocument/2006/relationships/hyperlink" Target="https://www.nhbr.com/nh-supreme-court-rules-wealthy-municipalities-can-keep-excess-education-property-tax/" TargetMode="External" Id="rId608"/><Relationship Type="http://schemas.openxmlformats.org/officeDocument/2006/relationships/hyperlink" Target="https://www.concordmonitor.com/2025/06/10/new-hampshire-supreme-court-ruling-rand-v-nh-education-funding-61692049/" TargetMode="External" Id="rId609"/><Relationship Type="http://schemas.openxmlformats.org/officeDocument/2006/relationships/hyperlink" Target="https://indepthnh.org/2025/06/14/nh-supreme-court-decision-takes-lawmakers-off-the-hook/" TargetMode="External" Id="rId610"/><Relationship Type="http://schemas.openxmlformats.org/officeDocument/2006/relationships/hyperlink" Target="https://www2.census.gov/programs-surveys/gov-finances/tables/2022/22slsstab1.xlsx" TargetMode="External" Id="rId611"/><Relationship Type="http://schemas.openxmlformats.org/officeDocument/2006/relationships/hyperlink" Target="https://www.nhpr.org/politics/2026-07-15/ayotte-signs-bill-local-school-tax-cap-question-november-ballot" TargetMode="External" Id="rId612"/><Relationship Type="http://schemas.openxmlformats.org/officeDocument/2006/relationships/hyperlink" Target="https://indepthnh.org/2026/07/15/ayotte-signs-20-bills-including-the-controversial-local-school-budget-cap-hb-1300/" TargetMode="External" Id="rId613"/><Relationship Type="http://schemas.openxmlformats.org/officeDocument/2006/relationships/hyperlink" Target="https://news.bloombergtax.com/daily-tax-report-state/new-hampshire-requires-school-district-property-tax-cap-vote" TargetMode="External" Id="rId614"/><Relationship Type="http://schemas.openxmlformats.org/officeDocument/2006/relationships/hyperlink" Target="https://jbartlett.org/2026/09/new-hampshires-first-statewide-chance-to-cap-property-tax-growth-comes-in-november/" TargetMode="External" Id="rId615"/><Relationship Type="http://schemas.openxmlformats.org/officeDocument/2006/relationships/hyperlink" Target="https://jbartlett.org/2026/08/claremonts-missing-word/" TargetMode="External" Id="rId616"/><Relationship Type="http://schemas.openxmlformats.org/officeDocument/2006/relationships/hyperlink" Target="https://indepthnh.org/2025/07/01/nh-supreme-court-sides-with-school-districts-on-adequate-funding/" TargetMode="External" Id="rId617"/><Relationship Type="http://schemas.openxmlformats.org/officeDocument/2006/relationships/hyperlink" Target="https://ballotpedia.org/New_Hampshire_2026_ballot_measures" TargetMode="External" Id="rId618"/><Relationship Type="http://schemas.openxmlformats.org/officeDocument/2006/relationships/hyperlink" Target="https://www.nj.gov/dca/dlgs/" TargetMode="External" Id="rId619"/><Relationship Type="http://schemas.openxmlformats.org/officeDocument/2006/relationships/hyperlink" Target="https://www2.census.gov/programs-surveys/gov-finances/tables/2022/22slsstab1.xlsx" TargetMode="External" Id="rId620"/><Relationship Type="http://schemas.openxmlformats.org/officeDocument/2006/relationships/hyperlink" Target="https://www.nj.gov/governor/news/2026/20260630d.shtml" TargetMode="External" Id="rId621"/><Relationship Type="http://schemas.openxmlformats.org/officeDocument/2006/relationships/hyperlink" Target="https://archive.commonsenseinstituteus.org/iowa/research/taxes-and-fees/iowa-leads-the-nation-in-property-tax-relief-ranking-state-reforms-of-the-past-decade" TargetMode="External" Id="rId622"/><Relationship Type="http://schemas.openxmlformats.org/officeDocument/2006/relationships/hyperlink" Target="https://www.gardenstateinitiative.org/op-ed/new-jersey-needs-a-plan-to-slay-its-property-tax-dragon/" TargetMode="External" Id="rId623"/><Relationship Type="http://schemas.openxmlformats.org/officeDocument/2006/relationships/hyperlink" Target="https://www.gardenstateinitiative.org/op-ed/gsi-opinion-heres-why-your-new-jersey-property-taxes-will-never-go-down-unless-theres-radical-change/" TargetMode="External" Id="rId624"/><Relationship Type="http://schemas.openxmlformats.org/officeDocument/2006/relationships/hyperlink" Target="https://insidernj.com/governor-murphy-signs-legislation-providing-support-to-school-districts-seeing-reductions-in-school-funding-aid" TargetMode="External" Id="rId625"/><Relationship Type="http://schemas.openxmlformats.org/officeDocument/2006/relationships/hyperlink" Target="https://morrisfocus.com/2024/04/18/n-j-assembly-quietly-votes-to-end-2-property-tax-cap-for-schools/" TargetMode="External" Id="rId626"/><Relationship Type="http://schemas.openxmlformats.org/officeDocument/2006/relationships/hyperlink" Target="https://njbiz.com/moodys-jersey-city-tax-abatement-audits-promising-sign-local-schools" TargetMode="External" Id="rId627"/><Relationship Type="http://schemas.openxmlformats.org/officeDocument/2006/relationships/hyperlink" Target="https://www.nj.gov/state/elections/election-information-2026.shtml" TargetMode="External" Id="rId628"/><Relationship Type="http://schemas.openxmlformats.org/officeDocument/2006/relationships/hyperlink" Target="https://pub.njleg.gov/bills/2010/PL10/44_.PDF" TargetMode="External" Id="rId629"/><Relationship Type="http://schemas.openxmlformats.org/officeDocument/2006/relationships/hyperlink" Target="https://pub.njleg.gov/bills/2006/PL07/62_.PDF" TargetMode="External" Id="rId630"/><Relationship Type="http://schemas.openxmlformats.org/officeDocument/2006/relationships/hyperlink" Target="https://pub.njleg.gov/bills/2010/PL11/202_.PDF" TargetMode="External" Id="rId631"/><Relationship Type="http://schemas.openxmlformats.org/officeDocument/2006/relationships/hyperlink" Target="https://pub.njleg.gov/bills/2022/PL23/289_.PDF" TargetMode="External" Id="rId632"/><Relationship Type="http://schemas.openxmlformats.org/officeDocument/2006/relationships/hyperlink" Target="https://pub.njleg.gov/bills/2022/PL23/75_.PDF" TargetMode="External" Id="rId633"/><Relationship Type="http://schemas.openxmlformats.org/officeDocument/2006/relationships/hyperlink" Target="https://pub.njleg.state.nj.us/Bills/2022/A0500/1_E2.HTM" TargetMode="External" Id="rId634"/><Relationship Type="http://schemas.openxmlformats.org/officeDocument/2006/relationships/hyperlink" Target="https://pub.njleg.gov/bills/2018/PL18/55_.HTM" TargetMode="External" Id="rId635"/><Relationship Type="http://schemas.openxmlformats.org/officeDocument/2006/relationships/hyperlink" Target="https://governors.rutgers.edu/wp-content/uploads/2020/07/byrne_speech_1977SoS.pdf" TargetMode="External" Id="rId636"/><Relationship Type="http://schemas.openxmlformats.org/officeDocument/2006/relationships/hyperlink" Target="https://repo.njstatelib.org/handle/10929.1/25986" TargetMode="External" Id="rId637"/><Relationship Type="http://schemas.openxmlformats.org/officeDocument/2006/relationships/hyperlink" Target="https://www.nj.gov/treasury/omb/publications/09bib/BIB.pdf" TargetMode="External" Id="rId638"/><Relationship Type="http://schemas.openxmlformats.org/officeDocument/2006/relationships/hyperlink" Target="https://www.nj.gov/treasury/omb/publications/11bib/BIB.pdf" TargetMode="External" Id="rId639"/><Relationship Type="http://schemas.openxmlformats.org/officeDocument/2006/relationships/hyperlink" Target="https://nj.gov/dca/dlgs/lfns/2025/2025-14.pdf" TargetMode="External" Id="rId640"/><Relationship Type="http://schemas.openxmlformats.org/officeDocument/2006/relationships/hyperlink" Target="https://www.nj.gov/dca/dlgs/programs/mc_budgets.shtml" TargetMode="External" Id="rId641"/><Relationship Type="http://schemas.openxmlformats.org/officeDocument/2006/relationships/hyperlink" Target="https://www.nj.gov/dca/dlgs/resources/Property_Tax_info.shtml" TargetMode="External" Id="rId642"/><Relationship Type="http://schemas.openxmlformats.org/officeDocument/2006/relationships/hyperlink" Target="https://www.nj.gov/treasury/pensions/documents/financial/2027-pfrs-comparison.pdf" TargetMode="External" Id="rId643"/><Relationship Type="http://schemas.openxmlformats.org/officeDocument/2006/relationships/hyperlink" Target="https://www.nj.gov/treasury/pensions/documents/financial/2027-pers-comparison.pdf" TargetMode="External" Id="rId644"/><Relationship Type="http://schemas.openxmlformats.org/officeDocument/2006/relationships/hyperlink" Target="https://www.nj.gov/pfrs/documents/pdf/financial/2025-PFRSNJ-Valuation.pdf" TargetMode="External" Id="rId645"/><Relationship Type="http://schemas.openxmlformats.org/officeDocument/2006/relationships/hyperlink" Target="https://www.nj.gov/treasury/pensions/documents/hb/rate-renewal/py2026-rate-setting-analysis-local.pdf" TargetMode="External" Id="rId646"/><Relationship Type="http://schemas.openxmlformats.org/officeDocument/2006/relationships/hyperlink" Target="https://nj.gov/treasury/news/2026/07012026.shtml" TargetMode="External" Id="rId647"/><Relationship Type="http://schemas.openxmlformats.org/officeDocument/2006/relationships/hyperlink" Target="https://www.nj.gov/treasury/news/2026/02092026.shtml" TargetMode="External" Id="rId648"/><Relationship Type="http://schemas.openxmlformats.org/officeDocument/2006/relationships/hyperlink" Target="https://news.bloombergtax.com/daily-tax-report/week-in-insights-new-jersey-property-tax-tweak-is-positive-step" TargetMode="External" Id="rId649"/><Relationship Type="http://schemas.openxmlformats.org/officeDocument/2006/relationships/hyperlink" Target="https://nmlegis.gov/Sessions/25%20Regular/final/HB0047.pdf" TargetMode="External" Id="rId650"/><Relationship Type="http://schemas.openxmlformats.org/officeDocument/2006/relationships/hyperlink" Target="https://www.nmsba.org/wp-content/uploads/2015/09/HB-98-Local-Election-Act-Briefing-Sheet.pdf" TargetMode="External" Id="rId651"/><Relationship Type="http://schemas.openxmlformats.org/officeDocument/2006/relationships/hyperlink" Target="https://www.rooseveltcounty.com/wp-content/uploads/2026/08/2026-CA-and-GOB-Questions.pdf" TargetMode="External" Id="rId652"/><Relationship Type="http://schemas.openxmlformats.org/officeDocument/2006/relationships/hyperlink" Target="https://sourcenm.com/2026/09/17/new-mexico-election-2026-constitutional-amendments-1-3/" TargetMode="External" Id="rId653"/><Relationship Type="http://schemas.openxmlformats.org/officeDocument/2006/relationships/hyperlink" Target="https://www.lincolninst.edu/app/uploads/2024/12/levy_limits_2022.xlsx" TargetMode="External" Id="rId654"/><Relationship Type="http://schemas.openxmlformats.org/officeDocument/2006/relationships/hyperlink" Target="https://apps.lincolninst.edu/uploads/summary-tables/rate-limits-summary-tables/rate-limits-2022-4.xlsx" TargetMode="External" Id="rId655"/><Relationship Type="http://schemas.openxmlformats.org/officeDocument/2006/relationships/hyperlink" Target="https://www.lincolninst.edu/app/uploads/2024/10/truth_in_taxation_2024.xlsx" TargetMode="External" Id="rId656"/><Relationship Type="http://schemas.openxmlformats.org/officeDocument/2006/relationships/hyperlink" Target="https://www2.census.gov/programs-surveys/gov-finances/tables/2022/22slsstab1.xlsx" TargetMode="External" Id="rId657"/><Relationship Type="http://schemas.openxmlformats.org/officeDocument/2006/relationships/hyperlink" Target="https://www.nmlegis.gov/Legislation/Legislation?chamber=H&amp;legType=B&amp;legNo=103&amp;year=26" TargetMode="External" Id="rId658"/><Relationship Type="http://schemas.openxmlformats.org/officeDocument/2006/relationships/hyperlink" Target="https://www.nmlegis.gov/Sessions/26%20Regular/bills/house/HB0103.HTML" TargetMode="External" Id="rId659"/><Relationship Type="http://schemas.openxmlformats.org/officeDocument/2006/relationships/hyperlink" Target="https://www.nmlegis.gov/Legislation/Legislation?chamber=S&amp;legType=JR&amp;legNo=5&amp;year=26" TargetMode="External" Id="rId660"/><Relationship Type="http://schemas.openxmlformats.org/officeDocument/2006/relationships/hyperlink" Target="https://www.nmlegis.gov/Sessions/13%20Regular/bills/house/HB0377.HTML" TargetMode="External" Id="rId661"/><Relationship Type="http://schemas.openxmlformats.org/officeDocument/2006/relationships/hyperlink" Target="https://www.kanw.org/new-mexico-news/2025-11-05/aps-voters-approve-350m-bond-elect-four-to-board-of-education" TargetMode="External" Id="rId662"/><Relationship Type="http://schemas.openxmlformats.org/officeDocument/2006/relationships/hyperlink" Target="https://www.gaar.com/blog/article/election-update-2025-abq-regular-local-election" TargetMode="External" Id="rId663"/><Relationship Type="http://schemas.openxmlformats.org/officeDocument/2006/relationships/hyperlink" Target="https://hsc.unm.edu/news/2024/11/hsc-newsroom-post-nm-voters-approve-bonds-mill-levy.html" TargetMode="External" Id="rId664"/><Relationship Type="http://schemas.openxmlformats.org/officeDocument/2006/relationships/hyperlink" Target="https://taxfoundation.org/location/new-mexico/" TargetMode="External" Id="rId665"/><Relationship Type="http://schemas.openxmlformats.org/officeDocument/2006/relationships/hyperlink" Target="https://riograndefoundation.org/rgf-opinion-piece-data-centers-are-coming-how-to-handle-them/" TargetMode="External" Id="rId666"/><Relationship Type="http://schemas.openxmlformats.org/officeDocument/2006/relationships/hyperlink" Target="https://riograndefoundation.org/rgf-opinion-piece-voters-should-be-skeptical-of-350-million-bond-for-aps/" TargetMode="External" Id="rId667"/><Relationship Type="http://schemas.openxmlformats.org/officeDocument/2006/relationships/hyperlink" Target="https://www.osc.ny.gov/press/releases/2026/08/dinapoli-growing-number-local-governments-reporting-plans-override-property-tax-cap" TargetMode="External" Id="rId668"/><Relationship Type="http://schemas.openxmlformats.org/officeDocument/2006/relationships/hyperlink" Target="https://www.osc.ny.gov/files/local-government/publications/pdf/planned-tax-cap-overrides.pdf" TargetMode="External" Id="rId669"/><Relationship Type="http://schemas.openxmlformats.org/officeDocument/2006/relationships/hyperlink" Target="https://www.nyssba.org/news/2026/05/20/press-releases/voters-approve-96-of-school-district-budgets/" TargetMode="External" Id="rId670"/><Relationship Type="http://schemas.openxmlformats.org/officeDocument/2006/relationships/hyperlink" Target="https://www.lincolninst.edu/app/uploads/2024/12/levy_limits_2022.xlsx" TargetMode="External" Id="rId671"/><Relationship Type="http://schemas.openxmlformats.org/officeDocument/2006/relationships/hyperlink" Target="https://www.lincolninst.edu/app/uploads/2024/12/assessment_limits_2022-3.xlsx" TargetMode="External" Id="rId672"/><Relationship Type="http://schemas.openxmlformats.org/officeDocument/2006/relationships/hyperlink" Target="https://www.lincolninst.edu/app/uploads/2024/10/truth_in_taxation_2024.xlsx" TargetMode="External" Id="rId673"/><Relationship Type="http://schemas.openxmlformats.org/officeDocument/2006/relationships/hyperlink" Target="https://www2.census.gov/programs-surveys/gov-finances/tables/2022/22slsstab1.xlsx" TargetMode="External" Id="rId674"/><Relationship Type="http://schemas.openxmlformats.org/officeDocument/2006/relationships/hyperlink" Target="https://www.empirecenter.org/publications/new-yorks-school-districts-plan-to-spend-over-37k-per-student/" TargetMode="External" Id="rId675"/><Relationship Type="http://schemas.openxmlformats.org/officeDocument/2006/relationships/hyperlink" Target="https://www.city-journal.org/article/mamdani-closes-12-billion-new-york-city-budget-gap" TargetMode="External" Id="rId676"/><Relationship Type="http://schemas.openxmlformats.org/officeDocument/2006/relationships/hyperlink" Target="https://nysfocus.com/2026/03/02/mamdani-eric-adams-property-tax-plan" TargetMode="External" Id="rId677"/><Relationship Type="http://schemas.openxmlformats.org/officeDocument/2006/relationships/hyperlink" Target="https://www.smithmoses.com/2026/budget/agency/star" TargetMode="External" Id="rId678"/><Relationship Type="http://schemas.openxmlformats.org/officeDocument/2006/relationships/hyperlink" Target="https://www.evesun.com/news/stories/2026-08-31/45426/author-story/" TargetMode="External" Id="rId679"/><Relationship Type="http://schemas.openxmlformats.org/officeDocument/2006/relationships/hyperlink" Target="https://www.ncleg.gov/EnactedLegislation/Statutes/HTML/BySection/Chapter_153A/GS_153A-149.html" TargetMode="External" Id="rId680"/><Relationship Type="http://schemas.openxmlformats.org/officeDocument/2006/relationships/hyperlink" Target="https://www.ncleg.gov/EnactedLegislation/Statutes/HTML/BySection/Chapter_160A/GS_160A-209.html" TargetMode="External" Id="rId681"/><Relationship Type="http://schemas.openxmlformats.org/officeDocument/2006/relationships/hyperlink" Target="https://www.ncleg.gov/EnactedLegislation/Statutes/HTML/BySection/Chapter_153A/GS_153A-301.html" TargetMode="External" Id="rId682"/><Relationship Type="http://schemas.openxmlformats.org/officeDocument/2006/relationships/hyperlink" Target="https://www.ncleg.gov/EnactedLegislation/Statutes/HTML/BySection/Chapter_153A/GS_153A-307.html" TargetMode="External" Id="rId683"/><Relationship Type="http://schemas.openxmlformats.org/officeDocument/2006/relationships/hyperlink" Target="https://www.ncleg.gov/EnactedLegislation/Statutes/HTML/BySection/Chapter_160A/GS_160A-542.html" TargetMode="External" Id="rId684"/><Relationship Type="http://schemas.openxmlformats.org/officeDocument/2006/relationships/hyperlink" Target="https://www.ncleg.gov/EnactedLegislation/Statutes/HTML/BySection/Chapter_69/GS_69-25.4.html" TargetMode="External" Id="rId685"/><Relationship Type="http://schemas.openxmlformats.org/officeDocument/2006/relationships/hyperlink" Target="https://www.ncleg.gov/EnactedLegislation/Statutes/HTML/BySection/Chapter_159/GS_159-11.html" TargetMode="External" Id="rId686"/><Relationship Type="http://schemas.openxmlformats.org/officeDocument/2006/relationships/hyperlink" Target="https://www.ncleg.gov/EnactedLegislation/Statutes/HTML/BySection/Chapter_159/GS_159-12.html" TargetMode="External" Id="rId687"/><Relationship Type="http://schemas.openxmlformats.org/officeDocument/2006/relationships/hyperlink" Target="https://www.ncleg.gov/EnactedLegislation/Statutes/HTML/BySection/Chapter_159/GS_159-17.html" TargetMode="External" Id="rId688"/><Relationship Type="http://schemas.openxmlformats.org/officeDocument/2006/relationships/hyperlink" Target="https://www.ncleg.gov/EnactedLegislation/Statutes/HTML/BySection/Chapter_163/GS_163-287.html" TargetMode="External" Id="rId689"/><Relationship Type="http://schemas.openxmlformats.org/officeDocument/2006/relationships/hyperlink" Target="https://www.ncleg.gov/EnactedLegislation/Statutes/HTML/BySection/Chapter_105/GS_105-286.html" TargetMode="External" Id="rId690"/><Relationship Type="http://schemas.openxmlformats.org/officeDocument/2006/relationships/hyperlink" Target="https://www.ncleg.gov/EnactedLegislation/Statutes/HTML/BySection/Chapter_105/GS_105-287.html" TargetMode="External" Id="rId691"/><Relationship Type="http://schemas.openxmlformats.org/officeDocument/2006/relationships/hyperlink" Target="https://www.ncleg.gov/EnactedLegislation/Statutes/HTML/BySection/Chapter_105/GS_105-277.1.html" TargetMode="External" Id="rId692"/><Relationship Type="http://schemas.openxmlformats.org/officeDocument/2006/relationships/hyperlink" Target="https://www.ncleg.gov/EnactedLegislation/Statutes/HTML/BySection/Chapter_105/GS_105-277.1B.html" TargetMode="External" Id="rId693"/><Relationship Type="http://schemas.openxmlformats.org/officeDocument/2006/relationships/hyperlink" Target="https://www.ncleg.gov/EnactedLegislation/Statutes/HTML/BySection/Chapter_105/GS_105-277.1C.html" TargetMode="External" Id="rId694"/><Relationship Type="http://schemas.openxmlformats.org/officeDocument/2006/relationships/hyperlink" Target="https://www.ncleg.gov/EnactedLegislation/Statutes/HTML/BySection/Chapter_105/GS_105-277.4.html" TargetMode="External" Id="rId695"/><Relationship Type="http://schemas.openxmlformats.org/officeDocument/2006/relationships/hyperlink" Target="https://www.ncleg.gov/EnactedLegislation/Statutes/HTML/BySection/Chapter_115C/GS_115C-429.html" TargetMode="External" Id="rId696"/><Relationship Type="http://schemas.openxmlformats.org/officeDocument/2006/relationships/hyperlink" Target="https://www.ncleg.gov/EnactedLegislation/Statutes/HTML/BySection/Chapter_115C/GS_115C-431.html" TargetMode="External" Id="rId697"/><Relationship Type="http://schemas.openxmlformats.org/officeDocument/2006/relationships/hyperlink" Target="https://www.ncleg.gov/EnactedLegislation/Statutes/HTML/BySection/Chapter_115C/GS_115C-501.html" TargetMode="External" Id="rId698"/><Relationship Type="http://schemas.openxmlformats.org/officeDocument/2006/relationships/hyperlink" Target="https://www.ncleg.gov/EnactedLegislation/Statutes/HTML/BySection/Chapter_115C/GS_115C-511.html" TargetMode="External" Id="rId699"/><Relationship Type="http://schemas.openxmlformats.org/officeDocument/2006/relationships/hyperlink" Target="https://www.ncleg.gov/EnactedLegislation/Statutes/HTML/BySection/Chapter_130A/GS_130A-62.html" TargetMode="External" Id="rId700"/><Relationship Type="http://schemas.openxmlformats.org/officeDocument/2006/relationships/hyperlink" Target="https://www.ncleg.gov/EnactedLegislation/Statutes/HTML/BySection/Chapter_160A/GS_160A-20.html" TargetMode="External" Id="rId701"/><Relationship Type="http://schemas.openxmlformats.org/officeDocument/2006/relationships/hyperlink" Target="https://www.ncleg.gov/Laws/Constitution/Article5" TargetMode="External" Id="rId702"/><Relationship Type="http://schemas.openxmlformats.org/officeDocument/2006/relationships/hyperlink" Target="https://www.ncleg.gov/EnactedLegislation/SessionLaws/HTML/2025-2026/SL2026-5.html" TargetMode="External" Id="rId703"/><Relationship Type="http://schemas.openxmlformats.org/officeDocument/2006/relationships/hyperlink" Target="https://www.ncleg.gov/BillLookUp/2025/H1089" TargetMode="External" Id="rId704"/><Relationship Type="http://schemas.openxmlformats.org/officeDocument/2006/relationships/hyperlink" Target="https://ncleg.gov/Sessions/2025/FiscalNotes/House/PDF/HFN1089v1.pdf" TargetMode="External" Id="rId705"/><Relationship Type="http://schemas.openxmlformats.org/officeDocument/2006/relationships/hyperlink" Target="https://ncleg.gov/EnactedLegislation/SessionLaws/HTML/2025-2026/SL2026-8.html" TargetMode="External" Id="rId706"/><Relationship Type="http://schemas.openxmlformats.org/officeDocument/2006/relationships/hyperlink" Target="https://www.ncleg.gov/Sessions/2025/FiscalNotes/Senate/PDF/SFN889v1.pdf" TargetMode="External" Id="rId707"/><Relationship Type="http://schemas.openxmlformats.org/officeDocument/2006/relationships/hyperlink" Target="https://ncleg.gov/EnactedLegislation/SessionLaws/HTML/2025-2026/SL2026-47.html" TargetMode="External" Id="rId708"/><Relationship Type="http://schemas.openxmlformats.org/officeDocument/2006/relationships/hyperlink" Target="https://ncleg.gov/Legislation/SummariesPublication/Summary/2024/11/S474-SMBA-141(sl)-v-8/" TargetMode="External" Id="rId709"/><Relationship Type="http://schemas.openxmlformats.org/officeDocument/2006/relationships/hyperlink" Target="https://lrs.sog.unc.edu/node/563122" TargetMode="External" Id="rId710"/><Relationship Type="http://schemas.openxmlformats.org/officeDocument/2006/relationships/hyperlink" Target="https://lrs.sog.unc.edu/node/576819" TargetMode="External" Id="rId711"/><Relationship Type="http://schemas.openxmlformats.org/officeDocument/2006/relationships/hyperlink" Target="https://www.yadkincountync.gov/DocumentCenter/View/6548/2026-Homestead-Income-Eligibility-Limits-Memo" TargetMode="External" Id="rId712"/><Relationship Type="http://schemas.openxmlformats.org/officeDocument/2006/relationships/hyperlink" Target="https://www.ncdor.gov/2025-2026-county-tax-rates-finalpdf/open" TargetMode="External" Id="rId713"/><Relationship Type="http://schemas.openxmlformats.org/officeDocument/2006/relationships/hyperlink" Target="https://www.ncdor.gov/2025-2026taxratesxlsx/open" TargetMode="External" Id="rId714"/><Relationship Type="http://schemas.openxmlformats.org/officeDocument/2006/relationships/hyperlink" Target="https://www.dpi.nc.gov/documents/fbs/budget/highlights-2026-finalpdf/download?attachment" TargetMode="External" Id="rId715"/><Relationship Type="http://schemas.openxmlformats.org/officeDocument/2006/relationships/hyperlink" Target="https://www.guilfordcountync.gov/news/press-releases/2026/06/25/board-commissioners-adopts-balanced-fiscal-year-2027-budget" TargetMode="External" Id="rId716"/><Relationship Type="http://schemas.openxmlformats.org/officeDocument/2006/relationships/hyperlink" Target="https://www.guilfordcountync.gov/government/departments-and-agencies/tax-department/property-tax-moratorium-information-hub" TargetMode="External" Id="rId717"/><Relationship Type="http://schemas.openxmlformats.org/officeDocument/2006/relationships/hyperlink" Target="https://www.carolinajournal.com/nc-house-sends-property-tax-reappraisal-delay-to-steins-desk/" TargetMode="External" Id="rId718"/><Relationship Type="http://schemas.openxmlformats.org/officeDocument/2006/relationships/hyperlink" Target="https://www.lincolninst.edu/app/uploads/2024/10/truth_in_taxation_2024.xlsx" TargetMode="External" Id="rId719"/><Relationship Type="http://schemas.openxmlformats.org/officeDocument/2006/relationships/hyperlink" Target="https://www2.census.gov/programs-surveys/gov-finances/tables/2022/22slsstab1.xlsx" TargetMode="External" Id="rId720"/><Relationship Type="http://schemas.openxmlformats.org/officeDocument/2006/relationships/hyperlink" Target="https://www.johnlocke.org/how-much-is-too-much-an-analysis-of-property-tax-revenue-growth-in-the-states-most-populous-counties/" TargetMode="External" Id="rId721"/><Relationship Type="http://schemas.openxmlformats.org/officeDocument/2006/relationships/hyperlink" Target="https://www.johnlocke.org/model-legislation-how-north-carolinas-property-tax-levy-limit-needs-to-be-designed/" TargetMode="External" Id="rId722"/><Relationship Type="http://schemas.openxmlformats.org/officeDocument/2006/relationships/hyperlink" Target="https://www.johnlocke.org/is-a-tax-revolt-brewing/" TargetMode="External" Id="rId723"/><Relationship Type="http://schemas.openxmlformats.org/officeDocument/2006/relationships/hyperlink" Target="https://news.mecknc.gov/board-county-commissioners-adopts-236-billion-operating-budget-fy2024" TargetMode="External" Id="rId724"/><Relationship Type="http://schemas.openxmlformats.org/officeDocument/2006/relationships/hyperlink" Target="https://dconc.gov/Public-Information1/Documents/Publications/FAQ---Understanding-Durham-Countys-Tax-Reappraisal-Process.6.20.26-final.pdf" TargetMode="External" Id="rId725"/><Relationship Type="http://schemas.openxmlformats.org/officeDocument/2006/relationships/hyperlink" Target="https://abc11.com/post/wake-county-adopts-208-billion-budget-heavy-school/14907919/" TargetMode="External" Id="rId726"/><Relationship Type="http://schemas.openxmlformats.org/officeDocument/2006/relationships/hyperlink" Target="https://wake.gov/budget" TargetMode="External" Id="rId727"/><Relationship Type="http://schemas.openxmlformats.org/officeDocument/2006/relationships/hyperlink" Target="https://www.sog.unc.edu/node/374630" TargetMode="External" Id="rId728"/><Relationship Type="http://schemas.openxmlformats.org/officeDocument/2006/relationships/hyperlink" Target="https://www.ncleg.gov/BillLookUp/2025/H1042" TargetMode="External" Id="rId729"/><Relationship Type="http://schemas.openxmlformats.org/officeDocument/2006/relationships/hyperlink" Target="https://www.maynardnexsen.com/publication-examining-changes-to-north-carolina-property-tax-law-levy-limits-and-the-affordable-housing-exemption" TargetMode="External" Id="rId730"/><Relationship Type="http://schemas.openxmlformats.org/officeDocument/2006/relationships/hyperlink" Target="https://ndlegis.gov/cencode/t57c15.pdf" TargetMode="External" Id="rId731"/><Relationship Type="http://schemas.openxmlformats.org/officeDocument/2006/relationships/hyperlink" Target="https://ndlegis.gov/cencode/t57c02.pdf" TargetMode="External" Id="rId732"/><Relationship Type="http://schemas.openxmlformats.org/officeDocument/2006/relationships/hyperlink" Target="https://ndlegis.gov/cencode/t15-1c27.pdf" TargetMode="External" Id="rId733"/><Relationship Type="http://schemas.openxmlformats.org/officeDocument/2006/relationships/hyperlink" Target="https://ndlegis.gov/cencode/t40c05-1.pdf" TargetMode="External" Id="rId734"/><Relationship Type="http://schemas.openxmlformats.org/officeDocument/2006/relationships/hyperlink" Target="https://ndlegis.gov/constit/a10.pdf" TargetMode="External" Id="rId735"/><Relationship Type="http://schemas.openxmlformats.org/officeDocument/2006/relationships/hyperlink" Target="https://ndlegis.gov/assembly/69-2025/regular/bill-overview/bo1176.html" TargetMode="External" Id="rId736"/><Relationship Type="http://schemas.openxmlformats.org/officeDocument/2006/relationships/hyperlink" Target="https://ndlegis.gov/assembly/69-2025/regular/documents/25-1003-07000.pdf" TargetMode="External" Id="rId737"/><Relationship Type="http://schemas.openxmlformats.org/officeDocument/2006/relationships/hyperlink" Target="https://ndlegis.gov/assembly/68-2023/regular/bill-overview/bo1158.html" TargetMode="External" Id="rId738"/><Relationship Type="http://schemas.openxmlformats.org/officeDocument/2006/relationships/hyperlink" Target="https://ndlegis.gov/assembly/69-2025/interim/27-5152-03000-meeting-minutes.pdf" TargetMode="External" Id="rId739"/><Relationship Type="http://schemas.openxmlformats.org/officeDocument/2006/relationships/hyperlink" Target="https://ndlegis.gov/sites/default/files/resource/committee-memorandum/25.9276.02000.pdf" TargetMode="External" Id="rId740"/><Relationship Type="http://schemas.openxmlformats.org/officeDocument/2006/relationships/hyperlink" Target="https://www.tax.nd.gov/sites/default/files/documents/property-tax/2025-property-tax-statistical-report.pdf" TargetMode="External" Id="rId741"/><Relationship Type="http://schemas.openxmlformats.org/officeDocument/2006/relationships/hyperlink" Target="https://www.sos.nd.gov/sites/default/files/documents/elections/2026-general-measure-guide.pdf" TargetMode="External" Id="rId742"/><Relationship Type="http://schemas.openxmlformats.org/officeDocument/2006/relationships/hyperlink" Target="https://sos.nd.gov/news" TargetMode="External" Id="rId743"/><Relationship Type="http://schemas.openxmlformats.org/officeDocument/2006/relationships/hyperlink" Target="https://northdakotamonitor.com/?p=17847" TargetMode="External" Id="rId744"/><Relationship Type="http://schemas.openxmlformats.org/officeDocument/2006/relationships/hyperlink" Target="https://northdakotamonitor.com/?p=7039" TargetMode="External" Id="rId745"/><Relationship Type="http://schemas.openxmlformats.org/officeDocument/2006/relationships/hyperlink" Target="https://gigafact.org/fact-briefs/did-every-single-county-in-north-dakota-vote-against-a-ban-on-property-taxes-in-2024/" TargetMode="External" Id="rId746"/><Relationship Type="http://schemas.openxmlformats.org/officeDocument/2006/relationships/hyperlink" Target="https://www.lincolninst.edu/app/uploads/2024/10/truth_in_taxation_2024.xlsx" TargetMode="External" Id="rId747"/><Relationship Type="http://schemas.openxmlformats.org/officeDocument/2006/relationships/hyperlink" Target="https://www2.census.gov/programs-surveys/gov-finances/tables/2022/22slsstab1.xlsx" TargetMode="External" Id="rId748"/><Relationship Type="http://schemas.openxmlformats.org/officeDocument/2006/relationships/hyperlink" Target="https://roughriderinstitute.org/nd-legislature-hits-home-stretch/" TargetMode="External" Id="rId749"/><Relationship Type="http://schemas.openxmlformats.org/officeDocument/2006/relationships/hyperlink" Target="https://taxfoundation.org/blog/north-dakota-property-tax-relief-reform/" TargetMode="External" Id="rId750"/><Relationship Type="http://schemas.openxmlformats.org/officeDocument/2006/relationships/hyperlink" Target="https://taxfoundation.org/blog/north-dakota-property-tax-ballot-measure/" TargetMode="External" Id="rId751"/><Relationship Type="http://schemas.openxmlformats.org/officeDocument/2006/relationships/hyperlink" Target="https://www.tax.nd.gov/sites/www/files/documents/guidelines/homestead-veterans-renters/credits-for-nd-homeowners-renters-guideline.pdf" TargetMode="External" Id="rId752"/><Relationship Type="http://schemas.openxmlformats.org/officeDocument/2006/relationships/hyperlink" Target="https://download.fargond.gov/0/preliminary_budget_presentation.pdf" TargetMode="External" Id="rId753"/><Relationship Type="http://schemas.openxmlformats.org/officeDocument/2006/relationships/hyperlink" Target="https://www.kfyrtv.com/2025/09/11/bismarck-city-commission-approves-final-2026-budget/" TargetMode="External" Id="rId754"/><Relationship Type="http://schemas.openxmlformats.org/officeDocument/2006/relationships/hyperlink" Target="https://www.omb.nd.gov/sites/www/files/documents/news/HB%201176%20City%20of%20Bismarck_%20August%202025.pdf" TargetMode="External" Id="rId755"/><Relationship Type="http://schemas.openxmlformats.org/officeDocument/2006/relationships/hyperlink" Target="https://codes.ohio.gov/ohio-constitution/section-12.2" TargetMode="External" Id="rId756"/><Relationship Type="http://schemas.openxmlformats.org/officeDocument/2006/relationships/hyperlink" Target="https://codes.ohio.gov/ohio-revised-code/section-5705.02" TargetMode="External" Id="rId757"/><Relationship Type="http://schemas.openxmlformats.org/officeDocument/2006/relationships/hyperlink" Target="https://codes.ohio.gov/ohio-revised-code/section-319.301" TargetMode="External" Id="rId758"/><Relationship Type="http://schemas.openxmlformats.org/officeDocument/2006/relationships/hyperlink" Target="https://codes.ohio.gov/ohio-revised-code/section-319.302" TargetMode="External" Id="rId759"/><Relationship Type="http://schemas.openxmlformats.org/officeDocument/2006/relationships/hyperlink" Target="https://codes.ohio.gov/ohio-revised-code/section-323.152" TargetMode="External" Id="rId760"/><Relationship Type="http://schemas.openxmlformats.org/officeDocument/2006/relationships/hyperlink" Target="https://codes.ohio.gov/ohio-revised-code/section-5705.316" TargetMode="External" Id="rId761"/><Relationship Type="http://schemas.openxmlformats.org/officeDocument/2006/relationships/hyperlink" Target="https://codes.ohio.gov/ohio-revised-code/section-5705.32" TargetMode="External" Id="rId762"/><Relationship Type="http://schemas.openxmlformats.org/officeDocument/2006/relationships/hyperlink" Target="https://codes.ohio.gov/ohio-revised-code/section-5705.60" TargetMode="External" Id="rId763"/><Relationship Type="http://schemas.openxmlformats.org/officeDocument/2006/relationships/hyperlink" Target="https://codes.ohio.gov/ohio-revised-code/section-5705.194" TargetMode="External" Id="rId764"/><Relationship Type="http://schemas.openxmlformats.org/officeDocument/2006/relationships/hyperlink" Target="https://codes.ohio.gov/ohio-revised-code/section-5705.197" TargetMode="External" Id="rId765"/><Relationship Type="http://schemas.openxmlformats.org/officeDocument/2006/relationships/hyperlink" Target="https://codes.ohio.gov/ohio-revised-code/section-5705.199" TargetMode="External" Id="rId766"/><Relationship Type="http://schemas.openxmlformats.org/officeDocument/2006/relationships/hyperlink" Target="https://codes.ohio.gov/ohio-revised-code/section-5705.19" TargetMode="External" Id="rId767"/><Relationship Type="http://schemas.openxmlformats.org/officeDocument/2006/relationships/hyperlink" Target="https://codes.ohio.gov/ohio-revised-code/section-5705.21" TargetMode="External" Id="rId768"/><Relationship Type="http://schemas.openxmlformats.org/officeDocument/2006/relationships/hyperlink" Target="https://codes.ohio.gov/ohio-revised-code/section-5705.10" TargetMode="External" Id="rId769"/><Relationship Type="http://schemas.openxmlformats.org/officeDocument/2006/relationships/hyperlink" Target="https://codes.ohio.gov/ohio-revised-code/section-3501.01" TargetMode="External" Id="rId770"/><Relationship Type="http://schemas.openxmlformats.org/officeDocument/2006/relationships/hyperlink" Target="https://codes.ohio.gov/ohio-revised-code/section-3501.022" TargetMode="External" Id="rId771"/><Relationship Type="http://schemas.openxmlformats.org/officeDocument/2006/relationships/hyperlink" Target="https://codes.ohio.gov/ohio-revised-code/section-5748.02" TargetMode="External" Id="rId772"/><Relationship Type="http://schemas.openxmlformats.org/officeDocument/2006/relationships/hyperlink" Target="https://codes.ohio.gov/ohio-revised-code/section-1313.36" TargetMode="External" Id="rId773"/><Relationship Type="http://schemas.openxmlformats.org/officeDocument/2006/relationships/hyperlink" Target="https://search-prod.lis.state.oh.us/api/v2/general_assembly_136/legislation/hb186/07_EN/html/" TargetMode="External" Id="rId774"/><Relationship Type="http://schemas.openxmlformats.org/officeDocument/2006/relationships/hyperlink" Target="https://search-prod.lis.state.oh.us/api/v2/general_assembly_136/legislation/hb186/07_EN/attachments/analysis" TargetMode="External" Id="rId775"/><Relationship Type="http://schemas.openxmlformats.org/officeDocument/2006/relationships/hyperlink" Target="https://search-prod.lis.state.oh.us/api/v2/general_assembly_136/legislation/hb335/05_EN/attachments/analysis" TargetMode="External" Id="rId776"/><Relationship Type="http://schemas.openxmlformats.org/officeDocument/2006/relationships/hyperlink" Target="https://search-prod.lis.state.oh.us/api/v2/general_assembly_136/legislation/hb309/05_EN/attachments/analysis" TargetMode="External" Id="rId777"/><Relationship Type="http://schemas.openxmlformats.org/officeDocument/2006/relationships/hyperlink" Target="https://search-prod.lis.state.oh.us/api/v2/general_assembly_136/legislation/hb129/05_EN/attachments/analysis" TargetMode="External" Id="rId778"/><Relationship Type="http://schemas.openxmlformats.org/officeDocument/2006/relationships/hyperlink" Target="https://search-prod.lis.state.oh.us/api/v2/general_assembly_136/legislation/hb479/07_EN/attachments/analysis" TargetMode="External" Id="rId779"/><Relationship Type="http://schemas.openxmlformats.org/officeDocument/2006/relationships/hyperlink" Target="https://search-prod.lis.state.oh.us/api/v2/general_assembly_136/legislation/hb96/07_EN/html/" TargetMode="External" Id="rId780"/><Relationship Type="http://schemas.openxmlformats.org/officeDocument/2006/relationships/hyperlink" Target="https://ohioschoolboards.org/sites/default/files/uploads/Fleeter_Joint_Property_Tax_Committee_Testimony_5-8-24_Final.pdf" TargetMode="External" Id="rId781"/><Relationship Type="http://schemas.openxmlformats.org/officeDocument/2006/relationships/hyperlink" Target="https://www.ohioschoolboards.org/sites/default/files/uploads/MayPrimaryElectionResults_0.pdf" TargetMode="External" Id="rId782"/><Relationship Type="http://schemas.openxmlformats.org/officeDocument/2006/relationships/hyperlink" Target="https://wysu.org/ohio-news/2026-05-08/district-leaders-digging-into-data-after-two-thirds-of-school-levies-fail-across-ohio" TargetMode="External" Id="rId783"/><Relationship Type="http://schemas.openxmlformats.org/officeDocument/2006/relationships/hyperlink" Target="https://www.wyso.org/2025-12-19/dewine-signs-package-of-bills-aimed-at-lowering-property-tax-bill-spikes-in-ohio" TargetMode="External" Id="rId784"/><Relationship Type="http://schemas.openxmlformats.org/officeDocument/2006/relationships/hyperlink" Target="https://wysu.org/ohio-news/2025-10-01/ohio-senate-overrides-veto-eliminating-some-kinds-of-tax-levies" TargetMode="External" Id="rId785"/><Relationship Type="http://schemas.openxmlformats.org/officeDocument/2006/relationships/hyperlink" Target="https://www.vindy.com/news/local-news/2025/10/senate-overrides-governors-veto-on-levy-issues" TargetMode="External" Id="rId786"/><Relationship Type="http://schemas.openxmlformats.org/officeDocument/2006/relationships/hyperlink" Target="https://wysu.org/ohio-news/2026-02-11/state-officials-fear-steep-surge-in-sales-taxes-if-property-taxes-abolished" TargetMode="External" Id="rId787"/><Relationship Type="http://schemas.openxmlformats.org/officeDocument/2006/relationships/hyperlink" Target="https://www.news5cleveland.com/news/politics/ohio-politics/constitutional-amendment-to-eliminate-property-taxes-in-ohio-will-not-appear-on-november-ballot" TargetMode="External" Id="rId788"/><Relationship Type="http://schemas.openxmlformats.org/officeDocument/2006/relationships/hyperlink" Target="https://www.geaugamapleleaf.com/news/property-tax-repeal-effort-fails-to-make-november-ballot/" TargetMode="External" Id="rId789"/><Relationship Type="http://schemas.openxmlformats.org/officeDocument/2006/relationships/hyperlink" Target="https://auditor.ashtabulacounty.gov/dnn/Announcements/ArtMID/518/ArticleID/1466/Homestead-Savings-and-Income-Update-for-2026" TargetMode="External" Id="rId790"/><Relationship Type="http://schemas.openxmlformats.org/officeDocument/2006/relationships/hyperlink" Target="https://loraincountyauditor.gov/homestead-exemption-ohio" TargetMode="External" Id="rId791"/><Relationship Type="http://schemas.openxmlformats.org/officeDocument/2006/relationships/hyperlink" Target="https://taxfoundation.org/research/state-tax/2026-state-tax-ballot-measures/" TargetMode="External" Id="rId792"/><Relationship Type="http://schemas.openxmlformats.org/officeDocument/2006/relationships/hyperlink" Target="https://www.lincolninst.edu/app/uploads/2024/10/truth_in_taxation_2024.xlsx" TargetMode="External" Id="rId793"/><Relationship Type="http://schemas.openxmlformats.org/officeDocument/2006/relationships/hyperlink" Target="https://www.census.gov/data/tables/2022/econ/gus/2022-governments.html" TargetMode="External" Id="rId794"/><Relationship Type="http://schemas.openxmlformats.org/officeDocument/2006/relationships/hyperlink" Target="https://www2.census.gov/programs-surveys/gov-finances/tables/2022/22slsstab1.xlsx" TargetMode="External" Id="rId795"/><Relationship Type="http://schemas.openxmlformats.org/officeDocument/2006/relationships/hyperlink" Target="https://www.buckeyeinstitute.org/research/detail/buckeye-institute-recommended-policies-to-lower-property-taxes-signed-into-law" TargetMode="External" Id="rId796"/><Relationship Type="http://schemas.openxmlformats.org/officeDocument/2006/relationships/hyperlink" Target="https://www.buckeyeinstitute.org/research/detail/the-buckeye-institute-offers-10-specific-recommendations-to-lower-property-taxes" TargetMode="External" Id="rId797"/><Relationship Type="http://schemas.openxmlformats.org/officeDocument/2006/relationships/hyperlink" Target="https://archive.commonsenseinstituteus.org/iowa/research/taxes-and-fees/iowa-leads-the-nation-in-property-tax-relief-ranking-state-reforms-of-the-past-decade" TargetMode="External" Id="rId798"/><Relationship Type="http://schemas.openxmlformats.org/officeDocument/2006/relationships/hyperlink" Target="https://www.statenews.org/government-politics/2025-10-01/ohio-senate-overrides-veto-eliminating-some-kinds-of-tax-levies" TargetMode="External" Id="rId799"/><Relationship Type="http://schemas.openxmlformats.org/officeDocument/2006/relationships/hyperlink" Target="https://ohiocapitaljournal.com/2026/06/09/constitutional-amendment-to-eliminate-property-taxes-in-ohio-will-not-appear-on-november-ballot/" TargetMode="External" Id="rId800"/><Relationship Type="http://schemas.openxmlformats.org/officeDocument/2006/relationships/hyperlink" Target="https://www.wosu.org/politics-government/2025-12-12/development-tax-breaks-increase-140-since-2016-in-franklin-co-new-report-questions-its-impact" TargetMode="External" Id="rId801"/><Relationship Type="http://schemas.openxmlformats.org/officeDocument/2006/relationships/hyperlink" Target="https://www.wcpo.com/news/local-news/cincinnati-public-schools-board-votes-to-rescind-earned-income-tax-levy" TargetMode="External" Id="rId802"/><Relationship Type="http://schemas.openxmlformats.org/officeDocument/2006/relationships/hyperlink" Target="https://www.fox19.com/2026/08/04/cincinnati-public-schools-board-puts-earned-income-tax-levy-fall-ballot/" TargetMode="External" Id="rId803"/><Relationship Type="http://schemas.openxmlformats.org/officeDocument/2006/relationships/hyperlink" Target="https://www.oklegislature.gov/OKStatutes/CompleteTitles/oc10.rtf" TargetMode="External" Id="rId804"/><Relationship Type="http://schemas.openxmlformats.org/officeDocument/2006/relationships/hyperlink" Target="https://www.oklegislature.gov/OK_Statutes/CompleteTitles/os68.rtf" TargetMode="External" Id="rId805"/><Relationship Type="http://schemas.openxmlformats.org/officeDocument/2006/relationships/hyperlink" Target="https://www.oklegislature.gov/OK_Statutes/CompleteTitles/os62.rtf" TargetMode="External" Id="rId806"/><Relationship Type="http://schemas.openxmlformats.org/officeDocument/2006/relationships/hyperlink" Target="https://www.oklegislature.gov/OK_Statutes/CompleteTitles/os70.rtf" TargetMode="External" Id="rId807"/><Relationship Type="http://schemas.openxmlformats.org/officeDocument/2006/relationships/hyperlink" Target="https://www.oklegislature.gov/OK_Statutes/CompleteTitles/os26.rtf" TargetMode="External" Id="rId808"/><Relationship Type="http://schemas.openxmlformats.org/officeDocument/2006/relationships/hyperlink" Target="https://www.oklegislature.gov/OK_Statutes/CompleteTitles/os31.rtf" TargetMode="External" Id="rId809"/><Relationship Type="http://schemas.openxmlformats.org/officeDocument/2006/relationships/hyperlink" Target="https://www.oklegislature.gov/cf_pdf/2025-26%20ENR/sres/SJR39%20ENR.PDF" TargetMode="External" Id="rId810"/><Relationship Type="http://schemas.openxmlformats.org/officeDocument/2006/relationships/hyperlink" Target="https://www.oklegislature.gov/cf_pdf/2025-26%20ENR/hres/HJR1087%20ENR.PDF" TargetMode="External" Id="rId811"/><Relationship Type="http://schemas.openxmlformats.org/officeDocument/2006/relationships/hyperlink" Target="https://www.oklegislature.gov/BillInfo.aspx?Bill=SJR39&amp;Session=2600" TargetMode="External" Id="rId812"/><Relationship Type="http://schemas.openxmlformats.org/officeDocument/2006/relationships/hyperlink" Target="https://www.oklegislature.gov/BillInfo.aspx?Bill=HJR1087&amp;Session=2600" TargetMode="External" Id="rId813"/><Relationship Type="http://schemas.openxmlformats.org/officeDocument/2006/relationships/hyperlink" Target="https://www.sos.ok.gov/gov/questions.aspx" TargetMode="External" Id="rId814"/><Relationship Type="http://schemas.openxmlformats.org/officeDocument/2006/relationships/hyperlink" Target="https://okpolicy.org/state-question-847-changing-assessment-caps-for-property-tax/" TargetMode="External" Id="rId815"/><Relationship Type="http://schemas.openxmlformats.org/officeDocument/2006/relationships/hyperlink" Target="https://okpolicy.org/november2026elections/" TargetMode="External" Id="rId816"/><Relationship Type="http://schemas.openxmlformats.org/officeDocument/2006/relationships/hyperlink" Target="https://okpolicy.org/wp-content/uploads/UPDATED-2026-SQ-844-Factsheet.pdf" TargetMode="External" Id="rId817"/><Relationship Type="http://schemas.openxmlformats.org/officeDocument/2006/relationships/hyperlink" Target="https://tulsaflyer.org/2026/08/25/schools-families/post/oklahoma-voters-say-no-to-sq-844/" TargetMode="External" Id="rId818"/><Relationship Type="http://schemas.openxmlformats.org/officeDocument/2006/relationships/hyperlink" Target="https://oklahomavoice.com/2026/04/13/measure-heading-to-august-ballot-could-cost-counties-oklahoma-schools-millions/" TargetMode="External" Id="rId819"/><Relationship Type="http://schemas.openxmlformats.org/officeDocument/2006/relationships/hyperlink" Target="https://www.newsfromthestates.com/article/oklahoma-high-court-hears-challenge-property-tax-initiative-petition" TargetMode="External" Id="rId820"/><Relationship Type="http://schemas.openxmlformats.org/officeDocument/2006/relationships/hyperlink" Target="https://www.lincolninst.edu/data/significant-features-property-tax/access-database/" TargetMode="External" Id="rId821"/><Relationship Type="http://schemas.openxmlformats.org/officeDocument/2006/relationships/hyperlink" Target="https://www.lincolninst.edu/app/uploads/2024/10/truth_in_taxation_2024.xlsx" TargetMode="External" Id="rId822"/><Relationship Type="http://schemas.openxmlformats.org/officeDocument/2006/relationships/hyperlink" Target="https://www2.census.gov/programs-surveys/gov-finances/tables/2022/22slsstab1.xlsx" TargetMode="External" Id="rId823"/><Relationship Type="http://schemas.openxmlformats.org/officeDocument/2006/relationships/hyperlink" Target="https://www.hppr.org/hppr-news/2026-10-08/oklahoma-supreme-court-declares-property-tax-state-question-unconstitutional" TargetMode="External" Id="rId824"/><Relationship Type="http://schemas.openxmlformats.org/officeDocument/2006/relationships/hyperlink" Target="https://nondoc.com/2024/11/05/state-questions-sq-833s-public-infrastructure-districts-rejected-while-sq-834-passes/" TargetMode="External" Id="rId825"/><Relationship Type="http://schemas.openxmlformats.org/officeDocument/2006/relationships/hyperlink" Target="https://oklahoma.gov/governor/newsroom/newsroom/2026/governor-stitt-signs-2-bills-into-law1.html" TargetMode="External" Id="rId826"/><Relationship Type="http://schemas.openxmlformats.org/officeDocument/2006/relationships/hyperlink" Target="https://ocpathink.org/post/analysis/how-oklahoma-can-deliver-property-tax-relief-the-smart-way" TargetMode="External" Id="rId827"/><Relationship Type="http://schemas.openxmlformats.org/officeDocument/2006/relationships/hyperlink" Target="https://www.thewatongarepublican.com/node/10012" TargetMode="External" Id="rId828"/><Relationship Type="http://schemas.openxmlformats.org/officeDocument/2006/relationships/hyperlink" Target="https://www.oksenate.gov/press-releases/standridge-champions-bills-lower-property-taxes" TargetMode="External" Id="rId829"/><Relationship Type="http://schemas.openxmlformats.org/officeDocument/2006/relationships/hyperlink" Target="https://www.oklegislature.gov/BillInfo.aspx?Bill=SB2000&amp;Session=2600" TargetMode="External" Id="rId830"/><Relationship Type="http://schemas.openxmlformats.org/officeDocument/2006/relationships/hyperlink" Target="https://www.oklegislature.gov/BillInfo.aspx?Bill=SB1993&amp;Session=2600" TargetMode="External" Id="rId831"/><Relationship Type="http://schemas.openxmlformats.org/officeDocument/2006/relationships/hyperlink" Target="https://www.kjrh.com/news/local-news/passed-voters-approve-tps-609m-bond-package" TargetMode="External" Id="rId832"/><Relationship Type="http://schemas.openxmlformats.org/officeDocument/2006/relationships/hyperlink" Target="https://www.oregonlegislature.gov/bills_laws/Pages/OrConst.aspx" TargetMode="External" Id="rId833"/><Relationship Type="http://schemas.openxmlformats.org/officeDocument/2006/relationships/hyperlink" Target="https://www.oregonlegislature.gov/bills_laws/ors/ors308.html" TargetMode="External" Id="rId834"/><Relationship Type="http://schemas.openxmlformats.org/officeDocument/2006/relationships/hyperlink" Target="https://www.oregonlegislature.gov/bills_laws/ors/ors310.html" TargetMode="External" Id="rId835"/><Relationship Type="http://schemas.openxmlformats.org/officeDocument/2006/relationships/hyperlink" Target="https://www.oregonlegislature.gov/bills_laws/ors/ors280.html" TargetMode="External" Id="rId836"/><Relationship Type="http://schemas.openxmlformats.org/officeDocument/2006/relationships/hyperlink" Target="https://www.oregonlegislature.gov/bills_laws/ors/ors294.html" TargetMode="External" Id="rId837"/><Relationship Type="http://schemas.openxmlformats.org/officeDocument/2006/relationships/hyperlink" Target="https://www.oregonlegislature.gov/bills_laws/ors/ors255.html" TargetMode="External" Id="rId838"/><Relationship Type="http://schemas.openxmlformats.org/officeDocument/2006/relationships/hyperlink" Target="https://www.oregonlegislature.gov/bills_laws/ors/ors221.html" TargetMode="External" Id="rId839"/><Relationship Type="http://schemas.openxmlformats.org/officeDocument/2006/relationships/hyperlink" Target="https://www.oregonlegislature.gov/bills_laws/ors/ors203.html" TargetMode="External" Id="rId840"/><Relationship Type="http://schemas.openxmlformats.org/officeDocument/2006/relationships/hyperlink" Target="https://www.oregonlegislature.gov/bills_laws/ors/ors457.html" TargetMode="External" Id="rId841"/><Relationship Type="http://schemas.openxmlformats.org/officeDocument/2006/relationships/hyperlink" Target="https://www.oregonlegislature.gov/bills_laws/ors/ors311.html" TargetMode="External" Id="rId842"/><Relationship Type="http://schemas.openxmlformats.org/officeDocument/2006/relationships/hyperlink" Target="https://www.oregonlegislature.gov/bills_laws/ors/ors307.html" TargetMode="External" Id="rId843"/><Relationship Type="http://schemas.openxmlformats.org/officeDocument/2006/relationships/hyperlink" Target="https://www.oregonlegislature.gov/bills_laws/ors/ors327.html" TargetMode="External" Id="rId844"/><Relationship Type="http://schemas.openxmlformats.org/officeDocument/2006/relationships/hyperlink" Target="https://www.oregon.gov/dor/programs/gov-research/Documents/FY%202025-26%20Oregon%20Property%20Tax%20Statistics%20Report-UA.pdf" TargetMode="External" Id="rId845"/><Relationship Type="http://schemas.openxmlformats.org/officeDocument/2006/relationships/hyperlink" Target="https://www.oregon.gov/dor/programs/property/Pages/deferral.aspx" TargetMode="External" Id="rId846"/><Relationship Type="http://schemas.openxmlformats.org/officeDocument/2006/relationships/hyperlink" Target="https://www.oregon.gov/dor/forms/FormsPubs/active-military-exemption_303-084.pdf" TargetMode="External" Id="rId847"/><Relationship Type="http://schemas.openxmlformats.org/officeDocument/2006/relationships/hyperlink" Target="https://apps.oregonlegislature.gov/liz/2025R1/Downloads/MeasureAnalysisDocument/92874" TargetMode="External" Id="rId848"/><Relationship Type="http://schemas.openxmlformats.org/officeDocument/2006/relationships/hyperlink" Target="https://olis.oregonlegislature.gov/liz/2025R1/Measures/Overview/HB2321" TargetMode="External" Id="rId849"/><Relationship Type="http://schemas.openxmlformats.org/officeDocument/2006/relationships/hyperlink" Target="https://apps.oregonlegislature.gov/liz/2025R1/Downloads/MeasureDocument/SJR3" TargetMode="External" Id="rId850"/><Relationship Type="http://schemas.openxmlformats.org/officeDocument/2006/relationships/hyperlink" Target="https://olis.oregonlegislature.gov/liz/2025R1/Measures/Overview/SJR3" TargetMode="External" Id="rId851"/><Relationship Type="http://schemas.openxmlformats.org/officeDocument/2006/relationships/hyperlink" Target="https://apps.oregonlegislature.gov/liz/2025R1/Downloads/CommitteeMeetingDocument/307212" TargetMode="External" Id="rId852"/><Relationship Type="http://schemas.openxmlformats.org/officeDocument/2006/relationships/hyperlink" Target="https://olis.oregonlegislature.gov/liz/2025R1/Measures/Overview/SB5516" TargetMode="External" Id="rId853"/><Relationship Type="http://schemas.openxmlformats.org/officeDocument/2006/relationships/hyperlink" Target="https://oregonrealtors.org/wp-content/uploads/2026-Legislative-Report-3.16.2026-FINAL.pdf" TargetMode="External" Id="rId854"/><Relationship Type="http://schemas.openxmlformats.org/officeDocument/2006/relationships/hyperlink" Target="https://www.clackamas.us/elections/a-voters-guide-to-the-november-3-2026-general-election" TargetMode="External" Id="rId855"/><Relationship Type="http://schemas.openxmlformats.org/officeDocument/2006/relationships/hyperlink" Target="https://ballotpedia.org/Oregon_2026_ballot_measures" TargetMode="External" Id="rId856"/><Relationship Type="http://schemas.openxmlformats.org/officeDocument/2006/relationships/hyperlink" Target="https://www.lincolninst.edu/app/uploads/2024/10/truth_in_taxation_2024.xlsx" TargetMode="External" Id="rId857"/><Relationship Type="http://schemas.openxmlformats.org/officeDocument/2006/relationships/hyperlink" Target="https://www2.census.gov/programs-surveys/gov-finances/tables/2022/22slsstab1.xlsx" TargetMode="External" Id="rId858"/><Relationship Type="http://schemas.openxmlformats.org/officeDocument/2006/relationships/hyperlink" Target="https://portlandtribune.com/?p=2506" TargetMode="External" Id="rId859"/><Relationship Type="http://schemas.openxmlformats.org/officeDocument/2006/relationships/hyperlink" Target="https://www.opb.org/article/2025/05/11/oregon-education-portland-public-schools-2025-bond-budget-building-improvements/" TargetMode="External" Id="rId860"/><Relationship Type="http://schemas.openxmlformats.org/officeDocument/2006/relationships/hyperlink" Target="https://www.opb.org/article/2025/11/04/portland-parks-levy-ballot-measure-renew-appears-approved/" TargetMode="External" Id="rId861"/><Relationship Type="http://schemas.openxmlformats.org/officeDocument/2006/relationships/hyperlink" Target="https://digital-release.koin.com/news/civic-affairs/metro-oks-250m-homeless-tax-measure-for-ballot/amp/" TargetMode="External" Id="rId862"/><Relationship Type="http://schemas.openxmlformats.org/officeDocument/2006/relationships/hyperlink" Target="https://www.portland.gov/revenue/news/2026/3/15/city-portland-metro-and-multnomah-county-remind-residents-file-and-pay-your" TargetMode="External" Id="rId863"/><Relationship Type="http://schemas.openxmlformats.org/officeDocument/2006/relationships/hyperlink" Target="https://tonkon.com/ear-to-the-ground-blog/oregons-property-tax-compression-problem-is-back-in-spotlight/" TargetMode="External" Id="rId864"/><Relationship Type="http://schemas.openxmlformats.org/officeDocument/2006/relationships/hyperlink" Target="https://cascadepolicy.org/tax-and-budget/we-cant-afford-metros-affordable-housing/" TargetMode="External" Id="rId865"/><Relationship Type="http://schemas.openxmlformats.org/officeDocument/2006/relationships/hyperlink" Target="https://cascadepolicy.org/tax-and-budget/testimony-before-the-multnomah-county-tax-supervising-and-conservation-commission-regarding-the-pps-general-obligation-bond-budget/" TargetMode="External" Id="rId866"/><Relationship Type="http://schemas.openxmlformats.org/officeDocument/2006/relationships/hyperlink" Target="https://commonsenseinstituteus.org/oregon/research/?topic=taxes-and-fees" TargetMode="External" Id="rId867"/><Relationship Type="http://schemas.openxmlformats.org/officeDocument/2006/relationships/hyperlink" Target="https://www.palegis.us/statutes/unconsolidated/law-information/view-statute?txtType=PDF&amp;SessYr=2006&amp;SessInd=1&amp;ActNum=0001" TargetMode="External" Id="rId868"/><Relationship Type="http://schemas.openxmlformats.org/officeDocument/2006/relationships/hyperlink" Target="https://www.palegis.us/statutes/consolidated/view-statute?txtType=PDF&amp;ttl=53&amp;div=0&amp;chapter=88&amp;section=23&amp;subsctn=0" TargetMode="External" Id="rId869"/><Relationship Type="http://schemas.openxmlformats.org/officeDocument/2006/relationships/hyperlink" Target="https://www.palegis.us/statutes/consolidated/view-statute?txtType=PDF&amp;ttl=53&amp;div=0&amp;chapter=88&amp;section=1&amp;subsctn=0" TargetMode="External" Id="rId870"/><Relationship Type="http://schemas.openxmlformats.org/officeDocument/2006/relationships/hyperlink" Target="https://www.palegis.us/statutes/consolidated/view-statute?txtType=PDF&amp;ttl=53&amp;div=0&amp;chapter=85&amp;section=86&amp;subsctn=0" TargetMode="External" Id="rId871"/><Relationship Type="http://schemas.openxmlformats.org/officeDocument/2006/relationships/hyperlink" Target="https://www.palegis.us/statutes/consolidated/view-statute?txtType=PDF&amp;ttl=53&amp;div=0&amp;chapter=29&amp;section=62&amp;subsctn=0" TargetMode="External" Id="rId872"/><Relationship Type="http://schemas.openxmlformats.org/officeDocument/2006/relationships/hyperlink" Target="https://www.palegis.us/statutes/consolidated/view-statute?txtType=PDF&amp;ttl=8&amp;div=0&amp;chapter=13&amp;section=2&amp;subsctn=0" TargetMode="External" Id="rId873"/><Relationship Type="http://schemas.openxmlformats.org/officeDocument/2006/relationships/hyperlink" Target="https://www.palegis.us/statutes/consolidated/view-statute?txtType=PDF&amp;ttl=00&amp;div=0&amp;chapter=8&amp;section=2&amp;subsctn=0" TargetMode="External" Id="rId874"/><Relationship Type="http://schemas.openxmlformats.org/officeDocument/2006/relationships/hyperlink" Target="https://www.palegis.us/statutes/unconsolidated/law-information/view-statute?txtType=PDF&amp;SessYr=2024&amp;SessInd=0&amp;ActNum=0014" TargetMode="External" Id="rId875"/><Relationship Type="http://schemas.openxmlformats.org/officeDocument/2006/relationships/hyperlink" Target="https://www.palegis.us/statutes/unconsolidated/law-information/view-statute?txtType=PDF&amp;SessYr=2026&amp;SessInd=0&amp;ActNum=0007" TargetMode="External" Id="rId876"/><Relationship Type="http://schemas.openxmlformats.org/officeDocument/2006/relationships/hyperlink" Target="https://www.palegis.us/statutes/unconsolidated/law-information/view-statute?txtType=PDF&amp;SessYr=2015&amp;SessInd=0&amp;ActNum=0067" TargetMode="External" Id="rId877"/><Relationship Type="http://schemas.openxmlformats.org/officeDocument/2006/relationships/hyperlink" Target="https://www.palegis.us/statutes/unconsolidated/law-information/view-statute?txtType=PDF&amp;SessYr=1933&amp;SessInd=0&amp;ActNum=0069" TargetMode="External" Id="rId878"/><Relationship Type="http://schemas.openxmlformats.org/officeDocument/2006/relationships/hyperlink" Target="https://www.palegis.us/statutes/unconsolidated/law-information/view-statute?txtType=PDF&amp;SessYr=1949&amp;SessInd=0&amp;ActNum=0014" TargetMode="External" Id="rId879"/><Relationship Type="http://schemas.openxmlformats.org/officeDocument/2006/relationships/hyperlink" Target="https://www.palegis.us/statutes/unconsolidated/law-information/view-statute?txtType=PDF&amp;SessYr=1965&amp;SessInd=0&amp;ActNum=0511" TargetMode="External" Id="rId880"/><Relationship Type="http://schemas.openxmlformats.org/officeDocument/2006/relationships/hyperlink" Target="https://www.palegis.us/statutes/unconsolidated/law-information/view-statute?txtType=PDF&amp;SessYr=1971&amp;SessInd=0&amp;ActNum=0002" TargetMode="External" Id="rId881"/><Relationship Type="http://schemas.openxmlformats.org/officeDocument/2006/relationships/hyperlink" Target="https://www.palegis.us/legislation/bills/2025/sb962" TargetMode="External" Id="rId882"/><Relationship Type="http://schemas.openxmlformats.org/officeDocument/2006/relationships/hyperlink" Target="https://www.palegis.us/legislation/bills/2025/hb1649" TargetMode="External" Id="rId883"/><Relationship Type="http://schemas.openxmlformats.org/officeDocument/2006/relationships/hyperlink" Target="https://www.palegis.us/legislation/bills/2025/hb310" TargetMode="External" Id="rId884"/><Relationship Type="http://schemas.openxmlformats.org/officeDocument/2006/relationships/hyperlink" Target="https://www.pa.gov/agencies/education/programs-and-services/schools/grants-and-funding/property-tax-relief" TargetMode="External" Id="rId885"/><Relationship Type="http://schemas.openxmlformats.org/officeDocument/2006/relationships/hyperlink" Target="https://www.pa.gov/agencies/education/programs-and-services/schools/grants-and-funding/property-tax-relief/act-1-index" TargetMode="External" Id="rId886"/><Relationship Type="http://schemas.openxmlformats.org/officeDocument/2006/relationships/hyperlink" Target="https://www.pa.gov/content/dam/copapwp-pagov/en/education/documents/schools/property-tax-relief/act1index/ssact1%20baseindexhistory%202027-28.pdf" TargetMode="External" Id="rId887"/><Relationship Type="http://schemas.openxmlformats.org/officeDocument/2006/relationships/hyperlink" Target="https://www.pa.gov/content/dam/copapwp-pagov/en/education/documents/schools/property-tax-relief/act1index/ssact1%20adjindex%202027-28.xlsx" TargetMode="External" Id="rId888"/><Relationship Type="http://schemas.openxmlformats.org/officeDocument/2006/relationships/hyperlink" Target="https://www.pa.gov/agencies/education/programs-and-services/schools/grants-and-funding/property-tax-relief/referendum-exceptions" TargetMode="External" Id="rId889"/><Relationship Type="http://schemas.openxmlformats.org/officeDocument/2006/relationships/hyperlink" Target="https://www.pa.gov/content/dam/copapwp-pagov/en/education/documents/schools/property-tax-relief/referendumexceptions/2026-27%20report%20on%20referendum%20exceptions.pdf" TargetMode="External" Id="rId890"/><Relationship Type="http://schemas.openxmlformats.org/officeDocument/2006/relationships/hyperlink" Target="https://www.pa.gov/agencies/education/programs-and-services/schools/grants-and-funding/property-tax-relief/property-tax-reduction-allocations" TargetMode="External" Id="rId891"/><Relationship Type="http://schemas.openxmlformats.org/officeDocument/2006/relationships/hyperlink" Target="https://www.pa.gov/content/dam/copapwp-pagov/en/education/documents/schools/property-tax-relief/allocations/2026-27sptra.xlsx" TargetMode="External" Id="rId892"/><Relationship Type="http://schemas.openxmlformats.org/officeDocument/2006/relationships/hyperlink" Target="https://www.pa.gov/content/dam/copapwp-pagov/en/education/documents/schools/property-tax-relief/ssact1%20timeline%202026-27%20fiscal%20nov2026%20election.pdf" TargetMode="External" Id="rId893"/><Relationship Type="http://schemas.openxmlformats.org/officeDocument/2006/relationships/hyperlink" Target="https://www.pa.gov/content/dam/copapwp-pagov/en/education/documents/schools/property-tax-relief/ssact1%20timeline%202027-28%20calendar.pdf" TargetMode="External" Id="rId894"/><Relationship Type="http://schemas.openxmlformats.org/officeDocument/2006/relationships/hyperlink" Target="https://www.pa.gov/agencies/revenue/newsroom/shapiro-administration-announces--226-million-headed-to-nearly-376,000-pennsylvanians-through-expanded-property-tax-rent-rebate-program--deadline-to-apply-extended-to-december-31" TargetMode="External" Id="rId895"/><Relationship Type="http://schemas.openxmlformats.org/officeDocument/2006/relationships/hyperlink" Target="https://patreasury.gov/newsroom/archive/2026/07-01-PTRR.html" TargetMode="External" Id="rId896"/><Relationship Type="http://schemas.openxmlformats.org/officeDocument/2006/relationships/hyperlink" Target="https://www.phila.gov/services/property-lots-housing/property-taxes/get-real-estate-tax-relief/get-the-homestead-exemption/" TargetMode="External" Id="rId897"/><Relationship Type="http://schemas.openxmlformats.org/officeDocument/2006/relationships/hyperlink" Target="https://www.ifo.state.pa.us/releases/963/Recent-County-Reassessment-Outcomes/" TargetMode="External" Id="rId898"/><Relationship Type="http://schemas.openxmlformats.org/officeDocument/2006/relationships/hyperlink" Target="https://www.ifo.state.pa.us/releases/935/School-District-Property-Tax-Update/" TargetMode="External" Id="rId899"/><Relationship Type="http://schemas.openxmlformats.org/officeDocument/2006/relationships/hyperlink" Target="https://www.lgc.state.pa.us/incorpCountyCode.cfm" TargetMode="External" Id="rId900"/><Relationship Type="http://schemas.openxmlformats.org/officeDocument/2006/relationships/hyperlink" Target="https://www.delcopa.gov/sites/default/files/2026-08/GE2026-UMOVA-Notice_8-8-2026.pdf" TargetMode="External" Id="rId901"/><Relationship Type="http://schemas.openxmlformats.org/officeDocument/2006/relationships/hyperlink" Target="https://vote.phila.gov/media/UMOVA_NOTICE_2026_GENERAL_ELECTION.pdf" TargetMode="External" Id="rId902"/><Relationship Type="http://schemas.openxmlformats.org/officeDocument/2006/relationships/hyperlink" Target="https://hoodline.com/2026/07/pa-tax-earthquake-keefer-plan-targets-school-property-bills/" TargetMode="External" Id="rId903"/><Relationship Type="http://schemas.openxmlformats.org/officeDocument/2006/relationships/hyperlink" Target="https://www.lincolninst.edu/app/uploads/2024/10/truth_in_taxation_2024.xlsx" TargetMode="External" Id="rId904"/><Relationship Type="http://schemas.openxmlformats.org/officeDocument/2006/relationships/hyperlink" Target="https://www2.census.gov/programs-surveys/gov-finances/tables/2022/22slsstab1.xlsx" TargetMode="External" Id="rId905"/><Relationship Type="http://schemas.openxmlformats.org/officeDocument/2006/relationships/hyperlink" Target="https://www.pa.gov/governor/newsroom/2026-press-releases/shapiro-admin-expands-property-tax-rent-rebates-aid-to-376k-penn" TargetMode="External" Id="rId906"/><Relationship Type="http://schemas.openxmlformats.org/officeDocument/2006/relationships/hyperlink" Target="https://www.lewistownsentinel.com/news/local-news/2026/08/property-tax-rent-rebate-program-tops-1-1-billion/" TargetMode="External" Id="rId907"/><Relationship Type="http://schemas.openxmlformats.org/officeDocument/2006/relationships/hyperlink" Target="https://www.phila.gov/2026-06-30-city-of-philadelphia-to-mail-2027-property-assessments-and-launch-expanded-outreach-to-connect-homeowners-to-tax-relief/" TargetMode="External" Id="rId908"/><Relationship Type="http://schemas.openxmlformats.org/officeDocument/2006/relationships/hyperlink" Target="https://www.phila.gov/services/payments-assistance-taxes/business-taxes/wage-tax-employers/" TargetMode="External" Id="rId909"/><Relationship Type="http://schemas.openxmlformats.org/officeDocument/2006/relationships/hyperlink" Target="https://www.wesanews.org/politics-government/2024-12-03/innamorato-and-county-council-announce-budget-compromise-for-allegheny-county" TargetMode="External" Id="rId910"/><Relationship Type="http://schemas.openxmlformats.org/officeDocument/2006/relationships/hyperlink" Target="http://webserver.rilegislature.gov/Statutes/TITLE44/44-5/44-5-2.htm" TargetMode="External" Id="rId911"/><Relationship Type="http://schemas.openxmlformats.org/officeDocument/2006/relationships/hyperlink" Target="http://webserver.rilegislature.gov/Statutes/TITLE44/44-33/44-33-9.htm" TargetMode="External" Id="rId912"/><Relationship Type="http://schemas.openxmlformats.org/officeDocument/2006/relationships/hyperlink" Target="https://www.lincolninst.edu/app/uploads/2024/12/levy_limits_2022.xlsx" TargetMode="External" Id="rId913"/><Relationship Type="http://schemas.openxmlformats.org/officeDocument/2006/relationships/hyperlink" Target="https://www.lincolninst.edu/app/uploads/2024/10/truth_in_taxation_2024.xlsx" TargetMode="External" Id="rId914"/><Relationship Type="http://schemas.openxmlformats.org/officeDocument/2006/relationships/hyperlink" Target="https://www2.census.gov/programs-surveys/gov-finances/tables/2022/22slsstab1.xlsx" TargetMode="External" Id="rId915"/><Relationship Type="http://schemas.openxmlformats.org/officeDocument/2006/relationships/hyperlink" Target="https://municipalfinance.ri.gov/sites/g/files/xkgbur546/files/2025-11/Report%20on%20the%20Property%20Tax%20Cap%202026.pdf" TargetMode="External" Id="rId916"/><Relationship Type="http://schemas.openxmlformats.org/officeDocument/2006/relationships/hyperlink" Target="https://webserver.rilegislature.gov/Statutes/TITLE44/44-5/44-5-11.18.htm" TargetMode="External" Id="rId917"/><Relationship Type="http://schemas.openxmlformats.org/officeDocument/2006/relationships/hyperlink" Target="https://rules.sos.ri.gov/Regulations/Part/280-20-75-1" TargetMode="External" Id="rId918"/><Relationship Type="http://schemas.openxmlformats.org/officeDocument/2006/relationships/hyperlink" Target="https://www.wpri.com/target-12/taylor-swift-tax-goes-into-effect-in-rhode-island-heres-how-many-could-pay/amp/" TargetMode="External" Id="rId919"/><Relationship Type="http://schemas.openxmlformats.org/officeDocument/2006/relationships/hyperlink" Target="https://www.pierceatwood.com/alerts/new-rhode-island-tax-non-owner-occupied-properties-assessed-1-million-or-more" TargetMode="External" Id="rId920"/><Relationship Type="http://schemas.openxmlformats.org/officeDocument/2006/relationships/hyperlink" Target="https://news.bloomberglaw.com/daily-tax-report/taylor-swift-tax-draws-first-suit-from-rhode-island-homeowners" TargetMode="External" Id="rId921"/><Relationship Type="http://schemas.openxmlformats.org/officeDocument/2006/relationships/hyperlink" Target="https://www.providenceri.gov/wp-content/uploads/2026/06/FY27-Adopted-Ordinance-Book-Web.pdf" TargetMode="External" Id="rId922"/><Relationship Type="http://schemas.openxmlformats.org/officeDocument/2006/relationships/hyperlink" Target="https://www.bostonglobe.com/2026/04/16/metro/providence-smiley-fy2027-budget/" TargetMode="External" Id="rId923"/><Relationship Type="http://schemas.openxmlformats.org/officeDocument/2006/relationships/hyperlink" Target="https://pbn.com/providence-city-council-leaders-smiley-agree-to-seek-5-85-tax-levy-hike/" TargetMode="External" Id="rId924"/><Relationship Type="http://schemas.openxmlformats.org/officeDocument/2006/relationships/hyperlink" Target="https://www.browndailyherald.com/article/2024/11/five-takeaways-from-providences-pilot-agreements-with-local-colleges-and-universities" TargetMode="External" Id="rId925"/><Relationship Type="http://schemas.openxmlformats.org/officeDocument/2006/relationships/hyperlink" Target="https://www.browndailyherald.com/article/2024/10/lifespan-soon-brown-university-health-agrees-to-pay-15-million-to-city-in-lieu-of-taxes" TargetMode="External" Id="rId926"/><Relationship Type="http://schemas.openxmlformats.org/officeDocument/2006/relationships/hyperlink" Target="https://rilegislature.gov/housefiscalreport/2020/Local%20Aid%202025%20Edition.pdf" TargetMode="External" Id="rId927"/><Relationship Type="http://schemas.openxmlformats.org/officeDocument/2006/relationships/hyperlink" Target="https://news.ballotpedia.org/2026/06/16/rhode-island-voters-will-weigh-in-on-five-bond-issues-in-nov-2026-included-in-the-states-budget" TargetMode="External" Id="rId928"/><Relationship Type="http://schemas.openxmlformats.org/officeDocument/2006/relationships/hyperlink" Target="https://webserver.rilegislature.gov/BillText26/HouseText26/H7299.htm" TargetMode="External" Id="rId929"/><Relationship Type="http://schemas.openxmlformats.org/officeDocument/2006/relationships/hyperlink" Target="https://webserver.rilegislature.gov/BillText26/HouseText26/H7047.htm" TargetMode="External" Id="rId930"/><Relationship Type="http://schemas.openxmlformats.org/officeDocument/2006/relationships/hyperlink" Target="https://rifreedom.org/2026/07/big-government-report/" TargetMode="External" Id="rId931"/><Relationship Type="http://schemas.openxmlformats.org/officeDocument/2006/relationships/hyperlink" Target="https://rifreedom.org/2024/03/the-lefts-assault-on-ri-families/" TargetMode="External" Id="rId932"/><Relationship Type="http://schemas.openxmlformats.org/officeDocument/2006/relationships/hyperlink" Target="https://taxfoundation.org/location/rhode-island/" TargetMode="External" Id="rId933"/><Relationship Type="http://schemas.openxmlformats.org/officeDocument/2006/relationships/hyperlink" Target="https://www.scstatehouse.gov/code/t06c001.php" TargetMode="External" Id="rId934"/><Relationship Type="http://schemas.openxmlformats.org/officeDocument/2006/relationships/hyperlink" Target="https://www.scstatehouse.gov/code/t12c037.php" TargetMode="External" Id="rId935"/><Relationship Type="http://schemas.openxmlformats.org/officeDocument/2006/relationships/hyperlink" Target="https://www.lincolninst.edu/app/uploads/2024/12/assessment_limits_2022-3.xlsx" TargetMode="External" Id="rId936"/><Relationship Type="http://schemas.openxmlformats.org/officeDocument/2006/relationships/hyperlink" Target="https://apps.lincolninst.edu/uploads/summary-tables/rate-limits-summary-tables/rate-limits-2022-4.xlsx" TargetMode="External" Id="rId937"/><Relationship Type="http://schemas.openxmlformats.org/officeDocument/2006/relationships/hyperlink" Target="https://www2.census.gov/programs-surveys/gov-finances/tables/2022/22slsstab1.xlsx" TargetMode="External" Id="rId938"/><Relationship Type="http://schemas.openxmlformats.org/officeDocument/2006/relationships/hyperlink" Target="https://www.scstatehouse.gov/sess126_2025-2026/bills/439.htm" TargetMode="External" Id="rId939"/><Relationship Type="http://schemas.openxmlformats.org/officeDocument/2006/relationships/hyperlink" Target="https://www.scstatehouse.gov/sess126_2025-2026/bills/768.htm" TargetMode="External" Id="rId940"/><Relationship Type="http://schemas.openxmlformats.org/officeDocument/2006/relationships/hyperlink" Target="https://www.scstatehouse.gov/sess126_2025-2026/fiscalimpactstatements/S0768%202026-02-19%20amended.pdf" TargetMode="External" Id="rId941"/><Relationship Type="http://schemas.openxmlformats.org/officeDocument/2006/relationships/hyperlink" Target="https://www.rfa.sc.gov/resources/local-government/property-tax-reports/property-tax-reimbursement-projections" TargetMode="External" Id="rId942"/><Relationship Type="http://schemas.openxmlformats.org/officeDocument/2006/relationships/hyperlink" Target="https://rfa.sc.gov/media/11411" TargetMode="External" Id="rId943"/><Relationship Type="http://schemas.openxmlformats.org/officeDocument/2006/relationships/hyperlink" Target="https://rfa.sc.gov/media/11413" TargetMode="External" Id="rId944"/><Relationship Type="http://schemas.openxmlformats.org/officeDocument/2006/relationships/hyperlink" Target="https://www.wistv.com/2025/05/23/richland-county-leaders-are-looking-increase-property-taxes-heres-what-you-need-know/" TargetMode="External" Id="rId945"/><Relationship Type="http://schemas.openxmlformats.org/officeDocument/2006/relationships/hyperlink" Target="https://budget.columbiasc.gov/wp-content/uploads/2026/07/FY_26-27_Approved-Budget-Final.pdf" TargetMode="External" Id="rId946"/><Relationship Type="http://schemas.openxmlformats.org/officeDocument/2006/relationships/hyperlink" Target="https://www.live5news.com/2024/11/06/charleston-county-voters-defeat-half-cent-sales-tax-referendum" TargetMode="External" Id="rId947"/><Relationship Type="http://schemas.openxmlformats.org/officeDocument/2006/relationships/hyperlink" Target="https://palmettopromise.org/taxing-times-for-south-carolina-renters-investors-vacationers/" TargetMode="External" Id="rId948"/><Relationship Type="http://schemas.openxmlformats.org/officeDocument/2006/relationships/hyperlink" Target="https://palmettopromise.org/south-carolinas-hidden-tax-how-manufacturing-property-taxes-could-threaten-our-states-growth/" TargetMode="External" Id="rId949"/><Relationship Type="http://schemas.openxmlformats.org/officeDocument/2006/relationships/hyperlink" Target="https://palmettopromise.org/the-legislative-session-is-mostly-over-what-got-done/" TargetMode="External" Id="rId950"/><Relationship Type="http://schemas.openxmlformats.org/officeDocument/2006/relationships/hyperlink" Target="https://www.scstatehouse.gov/sess126_2025-2026/appropriations2026/tap1b.htm" TargetMode="External" Id="rId951"/><Relationship Type="http://schemas.openxmlformats.org/officeDocument/2006/relationships/hyperlink" Target="https://www.masc.sc/node/8079" TargetMode="External" Id="rId952"/><Relationship Type="http://schemas.openxmlformats.org/officeDocument/2006/relationships/hyperlink" Target="https://mylrc.sdlegislature.gov/api/Documents/282923.html" TargetMode="External" Id="rId953"/><Relationship Type="http://schemas.openxmlformats.org/officeDocument/2006/relationships/hyperlink" Target="https://www.newsfromthestates.com/article/governor-signs-bills-reduce-homeowner-property-taxes-higher-sales-taxes" TargetMode="External" Id="rId954"/><Relationship Type="http://schemas.openxmlformats.org/officeDocument/2006/relationships/hyperlink" Target="https://rapidcitypost.com/?p=173628" TargetMode="External" Id="rId955"/><Relationship Type="http://schemas.openxmlformats.org/officeDocument/2006/relationships/hyperlink" Target="https://www.dakotanewsnow.com/2025/03/13/rhoden-signs-property-tax-bill-into-law" TargetMode="External" Id="rId956"/><Relationship Type="http://schemas.openxmlformats.org/officeDocument/2006/relationships/hyperlink" Target="https://www.lincolninst.edu/app/uploads/2024/12/levy_limits_2022.xlsx" TargetMode="External" Id="rId957"/><Relationship Type="http://schemas.openxmlformats.org/officeDocument/2006/relationships/hyperlink" Target="https://apps.lincolninst.edu/uploads/summary-tables/rate-limits-summary-tables/rate-limits-2022-4.xlsx" TargetMode="External" Id="rId958"/><Relationship Type="http://schemas.openxmlformats.org/officeDocument/2006/relationships/hyperlink" Target="https://www2.census.gov/programs-surveys/gov-finances/tables/2022/22slsstab1.xlsx" TargetMode="External" Id="rId959"/><Relationship Type="http://schemas.openxmlformats.org/officeDocument/2006/relationships/hyperlink" Target="https://sdsos.gov/elections-voting/upcoming-elections/general-information/2026%20Election%20Information/2026-ballot-questions.aspx" TargetMode="External" Id="rId960"/><Relationship Type="http://schemas.openxmlformats.org/officeDocument/2006/relationships/hyperlink" Target="https://www.sdpb.org/politics/2026-06-29/group-fails-to-get-homeowner-property-tax-relief-law-on-november-ballot" TargetMode="External" Id="rId961"/><Relationship Type="http://schemas.openxmlformats.org/officeDocument/2006/relationships/hyperlink" Target="https://www.sdpb.org/politics/2026-03-12/governor-signs-property-tax-bills-into-law" TargetMode="External" Id="rId962"/><Relationship Type="http://schemas.openxmlformats.org/officeDocument/2006/relationships/hyperlink" Target="https://www.kotatv.com/2026/03/13/these-bills-topped-them-all-rhoden-signs-what-he-says-is-largest-property-tax-cut-into-law" TargetMode="External" Id="rId963"/><Relationship Type="http://schemas.openxmlformats.org/officeDocument/2006/relationships/hyperlink" Target="https://rapidcitypost.com/effort-to-require-elections-for-excess-school-taxation-falters-in-state-house/" TargetMode="External" Id="rId964"/><Relationship Type="http://schemas.openxmlformats.org/officeDocument/2006/relationships/hyperlink" Target="https://sdlegislature.gov/api/Bills/ActionLog/26534" TargetMode="External" Id="rId965"/><Relationship Type="http://schemas.openxmlformats.org/officeDocument/2006/relationships/hyperlink" Target="https://mylrc.sdlegislature.gov/api/Documents/306606.html" TargetMode="External" Id="rId966"/><Relationship Type="http://schemas.openxmlformats.org/officeDocument/2006/relationships/hyperlink" Target="https://www.dakotanewsnow.com/2025/07/05/local-group-opposes-sioux-falls-school-district-opt-out" TargetMode="External" Id="rId967"/><Relationship Type="http://schemas.openxmlformats.org/officeDocument/2006/relationships/hyperlink" Target="https://www.dakotanewsnow.com/2026/02/14/governor-rhoden-americans-prosperity-host-property-tax-town-hall/" TargetMode="External" Id="rId968"/><Relationship Type="http://schemas.openxmlformats.org/officeDocument/2006/relationships/hyperlink" Target="https://mylrc.sdlegislature.gov/api/Documents/PressRelease/287260.pdf" TargetMode="External" Id="rId969"/><Relationship Type="http://schemas.openxmlformats.org/officeDocument/2006/relationships/hyperlink" Target="https://americansforprosperity.org/press-release/afp-south-dakota-criticizes-house-defeat-of-senate-bill-85/" TargetMode="External" Id="rId970"/><Relationship Type="http://schemas.openxmlformats.org/officeDocument/2006/relationships/hyperlink" Target="https://americansforprosperity.org/press-release/icymi-afp-sd-continues-grassroots-engagement-in-back-to-back-property-tax-town-halls-with-gov-rhoden/" TargetMode="External" Id="rId971"/><Relationship Type="http://schemas.openxmlformats.org/officeDocument/2006/relationships/hyperlink" Target="https://archive.commonsenseinstituteus.org/iowa/research/taxes-and-fees/iowa-leads-the-nation-in-property-tax-relief-ranking-state-reforms-of-the-past-decade" TargetMode="External" Id="rId972"/><Relationship Type="http://schemas.openxmlformats.org/officeDocument/2006/relationships/hyperlink" Target="https://taxfoundation.org/blog/excise-taxes-cannot-replace-property-taxes/" TargetMode="External" Id="rId973"/><Relationship Type="http://schemas.openxmlformats.org/officeDocument/2006/relationships/hyperlink" Target="https://taxfoundation.org/location/south-dakota/" TargetMode="External" Id="rId974"/><Relationship Type="http://schemas.openxmlformats.org/officeDocument/2006/relationships/hyperlink" Target="https://comptroller.tn.gov/boards/state-board-of-equalization/sboe-resources/certified-tax-rate.html" TargetMode="External" Id="rId975"/><Relationship Type="http://schemas.openxmlformats.org/officeDocument/2006/relationships/hyperlink" Target="https://www.ctas.tennessee.edu/levy-tax-rate-excess-certified-tax-rate" TargetMode="External" Id="rId976"/><Relationship Type="http://schemas.openxmlformats.org/officeDocument/2006/relationships/hyperlink" Target="https://www.graingercountytrustee.com/wp-content/uploads/2026/06/Tax-Relief-Brochure-2026.pdf" TargetMode="External" Id="rId977"/><Relationship Type="http://schemas.openxmlformats.org/officeDocument/2006/relationships/hyperlink" Target="https://news.ballotpedia.org/2026/08/27/voters-in-seven-states-to-decide-13-property-tax-measures-in-2026/" TargetMode="External" Id="rId978"/><Relationship Type="http://schemas.openxmlformats.org/officeDocument/2006/relationships/hyperlink" Target="https://tnfarmbureau.org/wp-content/uploads/2025/08/2026-Election-Constitutional-Amendments.pdf" TargetMode="External" Id="rId979"/><Relationship Type="http://schemas.openxmlformats.org/officeDocument/2006/relationships/hyperlink" Target="https://www.lincolninst.edu/app/uploads/2024/10/truth_in_taxation_2024.xlsx" TargetMode="External" Id="rId980"/><Relationship Type="http://schemas.openxmlformats.org/officeDocument/2006/relationships/hyperlink" Target="https://www2.census.gov/programs-surveys/gov-finances/tables/2022/22slsstab1.xlsx" TargetMode="External" Id="rId981"/><Relationship Type="http://schemas.openxmlformats.org/officeDocument/2006/relationships/hyperlink" Target="https://sos.tn.gov/elections/announcements/2026-proposed-constitutional-amendments" TargetMode="External" Id="rId982"/><Relationship Type="http://schemas.openxmlformats.org/officeDocument/2006/relationships/hyperlink" Target="https://www.beacontn.org/tennessee-leads-the-nation-in-property-tax-hikes" TargetMode="External" Id="rId983"/><Relationship Type="http://schemas.openxmlformats.org/officeDocument/2006/relationships/hyperlink" Target="https://www.beacontn.org/wp-content/uploads/2025/11/PropertyTaxBrief_BeaconCenter_11.12.25_3.pdf" TargetMode="External" Id="rId984"/><Relationship Type="http://schemas.openxmlformats.org/officeDocument/2006/relationships/hyperlink" Target="https://www.wsmv.com/2026/08/17/tennessee-has-worst-property-tax-hikes-nation-new-report-says-heres-why/" TargetMode="External" Id="rId985"/><Relationship Type="http://schemas.openxmlformats.org/officeDocument/2006/relationships/hyperlink" Target="https://tnhousegop.org/press-releases/2026/02/rep-bud-hulsey-proposes-limiting-local-property-tax-hikes/" TargetMode="External" Id="rId986"/><Relationship Type="http://schemas.openxmlformats.org/officeDocument/2006/relationships/hyperlink" Target="https://wapp.capitol.tn.gov/apps/BillInfo/Default.aspx?BillNumber=HB2607&amp;GA=114" TargetMode="External" Id="rId987"/><Relationship Type="http://schemas.openxmlformats.org/officeDocument/2006/relationships/hyperlink" Target="https://wpln.org/post/nashvilles-next-city-budget-includes-a-substantial-property-tax-increase/" TargetMode="External" Id="rId988"/><Relationship Type="http://schemas.openxmlformats.org/officeDocument/2006/relationships/hyperlink" Target="https://www.wsmv.com/2025/06/18/mayor-oconnell-signs-new-nashville-budget-property-tax-rate-increase/" TargetMode="External" Id="rId989"/><Relationship Type="http://schemas.openxmlformats.org/officeDocument/2006/relationships/hyperlink" Target="https://news.bloombergtax.com/daily-tax-report-state/tennessee-authorizes-certain-local-property-tax-refund-credits" TargetMode="External" Id="rId990"/><Relationship Type="http://schemas.openxmlformats.org/officeDocument/2006/relationships/hyperlink" Target="https://taxfoundation.org/location/tennessee/" TargetMode="External" Id="rId991"/><Relationship Type="http://schemas.openxmlformats.org/officeDocument/2006/relationships/hyperlink" Target="https://www.comptroller.texas.gov/taxes/property-tax/truth-in-taxation/index.php" TargetMode="External" Id="rId992"/><Relationship Type="http://schemas.openxmlformats.org/officeDocument/2006/relationships/hyperlink" Target="https://Comptroller.Texas.Gov/taxes/property-tax/docs/98-1080.pdf" TargetMode="External" Id="rId993"/><Relationship Type="http://schemas.openxmlformats.org/officeDocument/2006/relationships/hyperlink" Target="https://capitol.texas.gov/BillLookup/History.aspx?LegSess=892&amp;Bill=SB10" TargetMode="External" Id="rId994"/><Relationship Type="http://schemas.openxmlformats.org/officeDocument/2006/relationships/hyperlink" Target="https://www.ktsm.com/news/national-news/texas-house-approves-stricter-limits-on-cities-and-counties-when-it-comes-to-raising-property-taxes/amp/" TargetMode="External" Id="rId995"/><Relationship Type="http://schemas.openxmlformats.org/officeDocument/2006/relationships/hyperlink" Target="https://www.gtlaw.com/en/insights/2025/11/election-day-update-texas-voters-approve-all-17-constitutional-amendments" TargetMode="External" Id="rId996"/><Relationship Type="http://schemas.openxmlformats.org/officeDocument/2006/relationships/hyperlink" Target="https://excellentthought.substack.com/p/property-taxes-up-again-in-2024-despite" TargetMode="External" Id="rId997"/><Relationship Type="http://schemas.openxmlformats.org/officeDocument/2006/relationships/hyperlink" Target="https://news.ballotpedia.org/2026/08/27/voters-in-seven-states-to-decide-13-property-tax-measures-in-2026/" TargetMode="External" Id="rId998"/><Relationship Type="http://schemas.openxmlformats.org/officeDocument/2006/relationships/hyperlink" Target="https://www.lincolninst.edu/app/uploads/2024/10/truth_in_taxation_2024.xlsx" TargetMode="External" Id="rId999"/><Relationship Type="http://schemas.openxmlformats.org/officeDocument/2006/relationships/hyperlink" Target="https://www2.census.gov/programs-surveys/gov-finances/tables/2022/22slsstab1.xlsx" TargetMode="External" Id="rId1000"/><Relationship Type="http://schemas.openxmlformats.org/officeDocument/2006/relationships/hyperlink" Target="https://texas.public.law/statutes/tex._tax_code_section_26.05" TargetMode="External" Id="rId1001"/><Relationship Type="http://schemas.openxmlformats.org/officeDocument/2006/relationships/hyperlink" Target="https://texas.public.law/statutes/tex._tax_code_section_23.231" TargetMode="External" Id="rId1002"/><Relationship Type="http://schemas.openxmlformats.org/officeDocument/2006/relationships/hyperlink" Target="https://www.ownwell.com/blog/texas-20-percent-appraisal-cap-expiration-2027" TargetMode="External" Id="rId1003"/><Relationship Type="http://schemas.openxmlformats.org/officeDocument/2006/relationships/hyperlink" Target="https://lbb.texas.gov/Documents/HAC_Summary_Recs/89R/8963_HAC_FSP_Property_Tax_Overview.pdf" TargetMode="External" Id="rId1004"/><Relationship Type="http://schemas.openxmlformats.org/officeDocument/2006/relationships/hyperlink" Target="https://preflight.houstontx.gov/council/committees/bfacommittee/20251007/revenue-cap.pdf" TargetMode="External" Id="rId1005"/><Relationship Type="http://schemas.openxmlformats.org/officeDocument/2006/relationships/hyperlink" Target="https://thetexan.news/issues/texas-taxes-spending/texas-largest-city-budgets-outpace-population-inflation-growth/article_df965de5-f3a4-4f5b-8f06-340786eafc65.html" TargetMode="External" Id="rId1006"/><Relationship Type="http://schemas.openxmlformats.org/officeDocument/2006/relationships/hyperlink" Target="https://communityimpact.com/north-central-austin/government/city-council-approves-austins-trimmed-budget-lower-tax-rate-following-prop-q-election/" TargetMode="External" Id="rId1007"/><Relationship Type="http://schemas.openxmlformats.org/officeDocument/2006/relationships/hyperlink" Target="https://austin.citycast.fm/local-civics/prop-q-fails-election-voting-turnout-election-austin" TargetMode="External" Id="rId1008"/><Relationship Type="http://schemas.openxmlformats.org/officeDocument/2006/relationships/hyperlink" Target="https://www.kwtx.com/2026/06/30/texas-gov-greg-abbott-touts-taxpayer-empowerment-property-tax-plan-bullard/" TargetMode="External" Id="rId1009"/><Relationship Type="http://schemas.openxmlformats.org/officeDocument/2006/relationships/hyperlink" Target="https://www.texaspolicy.com/these-12-small-mid-sized-cities-and-counties-are-threatening-huge-tax-hikes/" TargetMode="External" Id="rId1010"/><Relationship Type="http://schemas.openxmlformats.org/officeDocument/2006/relationships/hyperlink" Target="https://www.texaspolicy.com/just-the-facts-local-government-spending/" TargetMode="External" Id="rId1011"/><Relationship Type="http://schemas.openxmlformats.org/officeDocument/2006/relationships/hyperlink" Target="https://archive.commonsenseinstituteus.org/iowa/research/taxes-and-fees/iowa-leads-the-nation-in-property-tax-relief-ranking-state-reforms-of-the-past-decade" TargetMode="External" Id="rId1012"/><Relationship Type="http://schemas.openxmlformats.org/officeDocument/2006/relationships/hyperlink" Target="https://taxfoundation.org/research/all/state/2026-state-tax-competitiveness-index/" TargetMode="External" Id="rId1013"/><Relationship Type="http://schemas.openxmlformats.org/officeDocument/2006/relationships/hyperlink" Target="https://www.deseret.com/utah/2025/10/02/utah-tax-officials-deny-tax-hikes-from-35-cities-school-districts-and-other-entities/" TargetMode="External" Id="rId1014"/><Relationship Type="http://schemas.openxmlformats.org/officeDocument/2006/relationships/hyperlink" Target="https://www.kuer.org/politics-government/2025-03-24/phase-out-of-utahs-circuit-breaker-tax-relief-might-be-a-mixed-bag-for-seniors" TargetMode="External" Id="rId1015"/><Relationship Type="http://schemas.openxmlformats.org/officeDocument/2006/relationships/hyperlink" Target="https://le.utah.gov/Session/2026/bills/enrolled/SB0238.pdf" TargetMode="External" Id="rId1016"/><Relationship Type="http://schemas.openxmlformats.org/officeDocument/2006/relationships/hyperlink" Target="https://www.ksl.com/article/51357666/these-utah-cities-school-districts-other-entities-are-seeking-property-tax-hikes" TargetMode="External" Id="rId1017"/><Relationship Type="http://schemas.openxmlformats.org/officeDocument/2006/relationships/hyperlink" Target="https://news.ballotpedia.org/2026/08/27/voters-in-seven-states-to-decide-13-property-tax-measures-in-2026/" TargetMode="External" Id="rId1018"/><Relationship Type="http://schemas.openxmlformats.org/officeDocument/2006/relationships/hyperlink" Target="https://apps.lincolninst.edu/uploads/summary-tables/rate-limits-summary-tables/rate-limits-2022-4.xlsx" TargetMode="External" Id="rId1019"/><Relationship Type="http://schemas.openxmlformats.org/officeDocument/2006/relationships/hyperlink" Target="https://www.lincolninst.edu/app/uploads/2024/10/truth_in_taxation_2024.xlsx" TargetMode="External" Id="rId1020"/><Relationship Type="http://schemas.openxmlformats.org/officeDocument/2006/relationships/hyperlink" Target="https://www2.census.gov/programs-surveys/gov-finances/tables/2022/22slsstab1.xlsx" TargetMode="External" Id="rId1021"/><Relationship Type="http://schemas.openxmlformats.org/officeDocument/2006/relationships/hyperlink" Target="https://utahnewsdispatch.com/wp-content/uploads/2026/08/2026-Truth-in-Taxation-list-Sheet1-2.pdf" TargetMode="External" Id="rId1022"/><Relationship Type="http://schemas.openxmlformats.org/officeDocument/2006/relationships/hyperlink" Target="https://www.ksl.com/article/news/politics/why-are-your-taxes-increasing-numerous-utah-cities-pursue-property-tax-hikes/51546349" TargetMode="External" Id="rId1023"/><Relationship Type="http://schemas.openxmlformats.org/officeDocument/2006/relationships/hyperlink" Target="https://utahtaxpayers.org/wp-content/uploads/2026/03/Legislative-Scorecard-2026-v2.pdf" TargetMode="External" Id="rId1024"/><Relationship Type="http://schemas.openxmlformats.org/officeDocument/2006/relationships/hyperlink" Target="https://alec.org/article/utahs-truth-in-taxation-for-property-taxes/" TargetMode="External" Id="rId1025"/><Relationship Type="http://schemas.openxmlformats.org/officeDocument/2006/relationships/hyperlink" Target="https://news.ballotpedia.org/2025/03/10/utah-legislature-refers-a-constitutional-amendment-to-2026-ballot-that-would-require-initiatives-making-tax-changes-to-receive-a-60-vote-of-approval/" TargetMode="External" Id="rId1026"/><Relationship Type="http://schemas.openxmlformats.org/officeDocument/2006/relationships/hyperlink" Target="https://www.daviscountyutah.gov/Sitefinity/WebsiteTemplates/ClerkAuditor/2026%20General%20Notice.pdf" TargetMode="External" Id="rId1027"/><Relationship Type="http://schemas.openxmlformats.org/officeDocument/2006/relationships/hyperlink" Target="https://le.utah.gov/Session/2026/bills/enrolled/HB0236.pdf" TargetMode="External" Id="rId1028"/><Relationship Type="http://schemas.openxmlformats.org/officeDocument/2006/relationships/hyperlink" Target="https://taxfoundation.org/research/all/state/2026-state-tax-competitiveness-index/" TargetMode="External" Id="rId1029"/><Relationship Type="http://schemas.openxmlformats.org/officeDocument/2006/relationships/hyperlink" Target="https://le.utah.gov/xcode/Title59/Chapter2/59-2-S908.html" TargetMode="External" Id="rId1030"/><Relationship Type="http://schemas.openxmlformats.org/officeDocument/2006/relationships/hyperlink" Target="https://legislature.vermont.gov/Documents/2026/Docs/ACTS/ACT073/ACT073%20Act%20Summary.pdf" TargetMode="External" Id="rId1031"/><Relationship Type="http://schemas.openxmlformats.org/officeDocument/2006/relationships/hyperlink" Target="https://tax.vermont.gov/property/property-tax-credit" TargetMode="External" Id="rId1032"/><Relationship Type="http://schemas.openxmlformats.org/officeDocument/2006/relationships/hyperlink" Target="https://vermontbiz.com/node/240664" TargetMode="External" Id="rId1033"/><Relationship Type="http://schemas.openxmlformats.org/officeDocument/2006/relationships/hyperlink" Target="https://education.vermont.gov/content/statewide-education-property-tax" TargetMode="External" Id="rId1034"/><Relationship Type="http://schemas.openxmlformats.org/officeDocument/2006/relationships/hyperlink" Target="https://www.lincolninst.edu/app/uploads/2024/10/truth_in_taxation_2024.xlsx" TargetMode="External" Id="rId1035"/><Relationship Type="http://schemas.openxmlformats.org/officeDocument/2006/relationships/hyperlink" Target="https://www2.census.gov/programs-surveys/gov-finances/tables/2022/22slsstab1.xlsx" TargetMode="External" Id="rId1036"/><Relationship Type="http://schemas.openxmlformats.org/officeDocument/2006/relationships/hyperlink" Target="https://legislature.vermont.gov/bill/status/2026/H.955" TargetMode="External" Id="rId1037"/><Relationship Type="http://schemas.openxmlformats.org/officeDocument/2006/relationships/hyperlink" Target="https://education.vermont.gov/node/22021" TargetMode="External" Id="rId1038"/><Relationship Type="http://schemas.openxmlformats.org/officeDocument/2006/relationships/hyperlink" Target="https://legislature.vermont.gov/Documents/2026/Docs/ACTS/ACT169/ACT169%20As%20Enacted.pdf" TargetMode="External" Id="rId1039"/><Relationship Type="http://schemas.openxmlformats.org/officeDocument/2006/relationships/hyperlink" Target="https://vermontbiz.com/node/243690" TargetMode="External" Id="rId1040"/><Relationship Type="http://schemas.openxmlformats.org/officeDocument/2006/relationships/hyperlink" Target="https://legislature.vermont.gov/statutes/section/32/135/05401" TargetMode="External" Id="rId1041"/><Relationship Type="http://schemas.openxmlformats.org/officeDocument/2006/relationships/hyperlink" Target="https://www.wamc.org/news/2026-07-28/vermonters-to-decide-two-state-constitutional-amendments" TargetMode="External" Id="rId1042"/><Relationship Type="http://schemas.openxmlformats.org/officeDocument/2006/relationships/hyperlink" Target="https://fiscalalliancefoundation.org/proposal3/" TargetMode="External" Id="rId1043"/><Relationship Type="http://schemas.openxmlformats.org/officeDocument/2006/relationships/hyperlink" Target="https://fiscalalliancefoundation.org/vermont.html" TargetMode="External" Id="rId1044"/><Relationship Type="http://schemas.openxmlformats.org/officeDocument/2006/relationships/hyperlink" Target="https://www.ethanallen.org/a_modest_proposal_from_46_states_property_tax_limitations" TargetMode="External" Id="rId1045"/><Relationship Type="http://schemas.openxmlformats.org/officeDocument/2006/relationships/hyperlink" Target="https://law.lis.virginia.gov/vacode/title58.1/chapter32/section58.1-3321/" TargetMode="External" Id="rId1046"/><Relationship Type="http://schemas.openxmlformats.org/officeDocument/2006/relationships/hyperlink" Target="https://law.lis.virginia.gov/vacode/title58.1/chapter35/section58.1-3524/" TargetMode="External" Id="rId1047"/><Relationship Type="http://schemas.openxmlformats.org/officeDocument/2006/relationships/hyperlink" Target="https://news.ballotpedia.org/2026/08/27/voters-in-seven-states-to-decide-13-property-tax-measures-in-2026/" TargetMode="External" Id="rId1048"/><Relationship Type="http://schemas.openxmlformats.org/officeDocument/2006/relationships/hyperlink" Target="https://www.lincolninst.edu/app/uploads/2024/10/truth_in_taxation_2024.xlsx" TargetMode="External" Id="rId1049"/><Relationship Type="http://schemas.openxmlformats.org/officeDocument/2006/relationships/hyperlink" Target="https://www2.census.gov/programs-surveys/gov-finances/tables/2022/22slsstab1.xlsx" TargetMode="External" Id="rId1050"/><Relationship Type="http://schemas.openxmlformats.org/officeDocument/2006/relationships/hyperlink" Target="https://law.lis.virginia.gov/constitution/article10/section6-a/" TargetMode="External" Id="rId1051"/><Relationship Type="http://schemas.openxmlformats.org/officeDocument/2006/relationships/hyperlink" Target="https://www.vpm.org/elections/2024-11-07/virginia-constitution-amendment-surviving-spouses-property-tax" TargetMode="External" Id="rId1052"/><Relationship Type="http://schemas.openxmlformats.org/officeDocument/2006/relationships/hyperlink" Target="https://www.elections.virginia.gov/casting-a-ballot/candidate-list/november-2026-proposed-constitutional-amendments/" TargetMode="External" Id="rId1053"/><Relationship Type="http://schemas.openxmlformats.org/officeDocument/2006/relationships/hyperlink" Target="https://www.wmra.org/2026-02-03/study-of-car-tax-repeal-clears-house-of-delegates" TargetMode="External" Id="rId1054"/><Relationship Type="http://schemas.openxmlformats.org/officeDocument/2006/relationships/hyperlink" Target="https://www.fairfaxcounty.gov/budget/sites/budget/files/Assets/documents/fy2027/advertised/FY2027%20Advertised%20BAAG%20-%20FINAL.pdf" TargetMode="External" Id="rId1055"/><Relationship Type="http://schemas.openxmlformats.org/officeDocument/2006/relationships/hyperlink" Target="https://www.potomaclocal.com/2026/02/18/prince-william-bills-to-rise-203-under-flat-tax-rate/" TargetMode="External" Id="rId1056"/><Relationship Type="http://schemas.openxmlformats.org/officeDocument/2006/relationships/hyperlink" Target="https://www.loudoun.gov/2857/Current-Budget" TargetMode="External" Id="rId1057"/><Relationship Type="http://schemas.openxmlformats.org/officeDocument/2006/relationships/hyperlink" Target="https://www.thomasjeffersoninst.org/its-car-tax-day-lets-move-forward-on-governor-gilmores-no-car-tax-pledge/" TargetMode="External" Id="rId1058"/><Relationship Type="http://schemas.openxmlformats.org/officeDocument/2006/relationships/hyperlink" Target="https://washingtonstatestandard.com/2025/04/21/washington-democrats-abandon-property-tax-hike/" TargetMode="External" Id="rId1059"/><Relationship Type="http://schemas.openxmlformats.org/officeDocument/2006/relationships/hyperlink" Target="https://apps.lincolninst.edu/uploads/summary-tables/rate-limits-summary-tables/rate-limits-2022-4.xlsx" TargetMode="External" Id="rId1060"/><Relationship Type="http://schemas.openxmlformats.org/officeDocument/2006/relationships/hyperlink" Target="https://www.lincolninst.edu/app/uploads/2024/12/levy_limits_2022.xlsx" TargetMode="External" Id="rId1061"/><Relationship Type="http://schemas.openxmlformats.org/officeDocument/2006/relationships/hyperlink" Target="https://news.ballotpedia.org/2026/08/27/voters-in-seven-states-to-decide-13-property-tax-measures-in-2026/" TargetMode="External" Id="rId1062"/><Relationship Type="http://schemas.openxmlformats.org/officeDocument/2006/relationships/hyperlink" Target="https://www2.census.gov/programs-surveys/gov-finances/tables/2022/22slsstab1.xlsx" TargetMode="External" Id="rId1063"/><Relationship Type="http://schemas.openxmlformats.org/officeDocument/2006/relationships/hyperlink" Target="https://app.leg.wa.gov/billsummary?BillNumber=2049&amp;Year=2025" TargetMode="External" Id="rId1064"/><Relationship Type="http://schemas.openxmlformats.org/officeDocument/2006/relationships/hyperlink" Target="https://lawfilesext.leg.wa.gov/biennium/2025-26/Pdf/Bill%20Reports/House/2049-S.E%20HBR%20FBR%2025.pdf" TargetMode="External" Id="rId1065"/><Relationship Type="http://schemas.openxmlformats.org/officeDocument/2006/relationships/hyperlink" Target="https://app.leg.wa.gov/billsummary?BillNumber=6162&amp;Year=2026" TargetMode="External" Id="rId1066"/><Relationship Type="http://schemas.openxmlformats.org/officeDocument/2006/relationships/hyperlink" Target="https://lawfilesext.leg.wa.gov/biennium/2025-26/Pdf/Bill%20Reports/Senate/6162-S.E%20SBR%20FBR%2026.pdf" TargetMode="External" Id="rId1067"/><Relationship Type="http://schemas.openxmlformats.org/officeDocument/2006/relationships/hyperlink" Target="https://senatedemocrats.wa.gov/blog/2026/03/23/khq-washington-law-makes-more-people-eligible-for-property-tax-exemption/" TargetMode="External" Id="rId1068"/><Relationship Type="http://schemas.openxmlformats.org/officeDocument/2006/relationships/hyperlink" Target="https://thecentersquare.com/washington/article_e0ea71b0-85dd-40b8-8be4-7180d00692a6.html" TargetMode="External" Id="rId1069"/><Relationship Type="http://schemas.openxmlformats.org/officeDocument/2006/relationships/hyperlink" Target="https://www.yakimaherald.com/news/seattle-s-appetite-for-new-property-taxes-approaching-its-legal-limit/article_77c48458-9ad9-51a6-8615-4cb07ebca280.html" TargetMode="External" Id="rId1070"/><Relationship Type="http://schemas.openxmlformats.org/officeDocument/2006/relationships/hyperlink" Target="https://komonews.com/news/local/seattle-voters-to-decide-480m-library-levy-that-would-raise-property-taxes-27-branches-operating-budget-public-library-august-4-building-maintenance-services-tom-fay" TargetMode="External" Id="rId1071"/><Relationship Type="http://schemas.openxmlformats.org/officeDocument/2006/relationships/hyperlink" Target="https://content.govdelivery.com/accounts/WASEATTLE/bulletins/423ae08" TargetMode="External" Id="rId1072"/><Relationship Type="http://schemas.openxmlformats.org/officeDocument/2006/relationships/hyperlink" Target="https://ballotpedia.org/Washington_2026_ballot_measures" TargetMode="External" Id="rId1073"/><Relationship Type="http://schemas.openxmlformats.org/officeDocument/2006/relationships/hyperlink" Target="https://washingtonpolicy.org/publications/detail/senate-bill-5798-is-a-massive-tax-increase-on-the-homeowners-of-washington" TargetMode="External" Id="rId1074"/><Relationship Type="http://schemas.openxmlformats.org/officeDocument/2006/relationships/hyperlink" Target="https://code.wvlegislature.gov/11-8-6E/" TargetMode="External" Id="rId1075"/><Relationship Type="http://schemas.openxmlformats.org/officeDocument/2006/relationships/hyperlink" Target="https://apps.lincolninst.edu/uploads/summary-tables/rate-limits-summary-tables/rate-limits-2022-4.xlsx" TargetMode="External" Id="rId1076"/><Relationship Type="http://schemas.openxmlformats.org/officeDocument/2006/relationships/hyperlink" Target="https://www.lincolninst.edu/app/uploads/2024/12/levy_limits_2022.xlsx" TargetMode="External" Id="rId1077"/><Relationship Type="http://schemas.openxmlformats.org/officeDocument/2006/relationships/hyperlink" Target="https://www.lincolninst.edu/app/uploads/2024/10/truth_in_taxation_2024.xlsx" TargetMode="External" Id="rId1078"/><Relationship Type="http://schemas.openxmlformats.org/officeDocument/2006/relationships/hyperlink" Target="https://news.ballotpedia.org/2026/08/27/voters-in-seven-states-to-decide-13-property-tax-measures-in-2026/" TargetMode="External" Id="rId1079"/><Relationship Type="http://schemas.openxmlformats.org/officeDocument/2006/relationships/hyperlink" Target="https://www2.census.gov/programs-surveys/gov-finances/tables/2022/22slsstab1.xlsx" TargetMode="External" Id="rId1080"/><Relationship Type="http://schemas.openxmlformats.org/officeDocument/2006/relationships/hyperlink" Target="https://code.wvlegislature.gov/11-8-6F/" TargetMode="External" Id="rId1081"/><Relationship Type="http://schemas.openxmlformats.org/officeDocument/2006/relationships/hyperlink" Target="https://code.wvlegislature.gov/11-8-6G/" TargetMode="External" Id="rId1082"/><Relationship Type="http://schemas.openxmlformats.org/officeDocument/2006/relationships/hyperlink" Target="https://www.wvlegislature.gov/WVCODE/WV_CON.cfm" TargetMode="External" Id="rId1083"/><Relationship Type="http://schemas.openxmlformats.org/officeDocument/2006/relationships/hyperlink" Target="https://bills.wvlegislature.gov/bill/history/2026/RS/SB167" TargetMode="External" Id="rId1084"/><Relationship Type="http://schemas.openxmlformats.org/officeDocument/2006/relationships/hyperlink" Target="https://www.wvlegislature.gov/Bill_Status/Bills_history.cfm?input=144&amp;year=2026&amp;sessiontype=RS&amp;btype=bill" TargetMode="External" Id="rId1085"/><Relationship Type="http://schemas.openxmlformats.org/officeDocument/2006/relationships/hyperlink" Target="https://www.wvlegislature.gov/Bill_Status/Bills_history.cfm?input=724&amp;year=2025&amp;sessiontype=RS&amp;btype=bill" TargetMode="External" Id="rId1086"/><Relationship Type="http://schemas.openxmlformats.org/officeDocument/2006/relationships/hyperlink" Target="https://tax.wv.gov/Individuals/Pages/IncomeTaxCreditsForPropertyTaxesPaid.aspx" TargetMode="External" Id="rId1087"/><Relationship Type="http://schemas.openxmlformats.org/officeDocument/2006/relationships/hyperlink" Target="https://wvmetronews.com/2023/07/25/vehicle-tax-credit-confusion/" TargetMode="External" Id="rId1088"/><Relationship Type="http://schemas.openxmlformats.org/officeDocument/2006/relationships/hyperlink" Target="https://wvpolicy.org/live-blog-wvpb-follows-the-2026-primary-election/" TargetMode="External" Id="rId1089"/><Relationship Type="http://schemas.openxmlformats.org/officeDocument/2006/relationships/hyperlink" Target="https://wvpolicy.org/voters-in-10-counties-have-the-opportunity-to-support-their-public-schools-may-12/" TargetMode="External" Id="rId1090"/><Relationship Type="http://schemas.openxmlformats.org/officeDocument/2006/relationships/hyperlink" Target="https://wchstv.com/news/local/school-excess-public-library-levies-approved-in-kanawha-county" TargetMode="External" Id="rId1091"/><Relationship Type="http://schemas.openxmlformats.org/officeDocument/2006/relationships/hyperlink" Target="https://www.yahoo.com/news/county-municipalities-boe-lay-levy-023400449.html" TargetMode="External" Id="rId1092"/><Relationship Type="http://schemas.openxmlformats.org/officeDocument/2006/relationships/hyperlink" Target="https://ballotpedia.org/West_Virginia_2026_ballot_measures" TargetMode="External" Id="rId1093"/><Relationship Type="http://schemas.openxmlformats.org/officeDocument/2006/relationships/hyperlink" Target="https://cardinalinstitute.com/tax-debates-and-tax-rebates/" TargetMode="External" Id="rId1094"/><Relationship Type="http://schemas.openxmlformats.org/officeDocument/2006/relationships/hyperlink" Target="https://cardinalinstitute.com/amendment-2-what-you-need-to-know/" TargetMode="External" Id="rId1095"/><Relationship Type="http://schemas.openxmlformats.org/officeDocument/2006/relationships/hyperlink" Target="https://docs.legis.wisconsin.gov/statutes/statutes/66/vi/0602" TargetMode="External" Id="rId1096"/><Relationship Type="http://schemas.openxmlformats.org/officeDocument/2006/relationships/hyperlink" Target="https://www.revenue.wi.gov/DORReports/School_Levy_Paper_2025.pdf" TargetMode="External" Id="rId1097"/><Relationship Type="http://schemas.openxmlformats.org/officeDocument/2006/relationships/hyperlink" Target="https://www.wxpr.org/election/2024-11-14/study-finds-wisconsin-voters-approved-a-record-number-of-school-referenda" TargetMode="External" Id="rId1098"/><Relationship Type="http://schemas.openxmlformats.org/officeDocument/2006/relationships/hyperlink" Target="https://www.lincolninst.edu/app/uploads/2024/12/levy_limits_2022.xlsx" TargetMode="External" Id="rId1099"/><Relationship Type="http://schemas.openxmlformats.org/officeDocument/2006/relationships/hyperlink" Target="https://www.lincolninst.edu/app/uploads/2024/12/revenue_and_expenditure_limits_2022.xlsx" TargetMode="External" Id="rId1100"/><Relationship Type="http://schemas.openxmlformats.org/officeDocument/2006/relationships/hyperlink" Target="https://news.ballotpedia.org/2026/08/27/voters-in-seven-states-to-decide-13-property-tax-measures-in-2026/" TargetMode="External" Id="rId1101"/><Relationship Type="http://schemas.openxmlformats.org/officeDocument/2006/relationships/hyperlink" Target="https://www2.census.gov/programs-surveys/gov-finances/tables/2022/22slsstab1.xlsx" TargetMode="External" Id="rId1102"/><Relationship Type="http://schemas.openxmlformats.org/officeDocument/2006/relationships/hyperlink" Target="https://www.staffordlaw.com/blog/litigation/wisconsin-supreme-court-upholds-governors-400-year-veto-and-affirms-expansive-partial-veto-power/" TargetMode="External" Id="rId1103"/><Relationship Type="http://schemas.openxmlformats.org/officeDocument/2006/relationships/hyperlink" Target="https://biztimes.com/report-school-funding-gaps-widen-as-referendum-approval-rates-slip/" TargetMode="External" Id="rId1104"/><Relationship Type="http://schemas.openxmlformats.org/officeDocument/2006/relationships/hyperlink" Target="https://spectrumnews1.com/wi/milwaukee/news/2026/05/18/support-for-school-referenda-weakens" TargetMode="External" Id="rId1105"/><Relationship Type="http://schemas.openxmlformats.org/officeDocument/2006/relationships/hyperlink" Target="https://www.tmj4.com/america-votes/voters-approve-252-million-referendum-for-milwaukee-public-schools" TargetMode="External" Id="rId1106"/><Relationship Type="http://schemas.openxmlformats.org/officeDocument/2006/relationships/hyperlink" Target="https://www.badgerinstitute.org/badger-institute-urges-no-vote-on-mps-referendum/" TargetMode="External" Id="rId1107"/><Relationship Type="http://schemas.openxmlformats.org/officeDocument/2006/relationships/hyperlink" Target="https://www.badgerinstitute.org/how-a-development-tool-can-increase-property-taxes/" TargetMode="External" Id="rId1108"/><Relationship Type="http://schemas.openxmlformats.org/officeDocument/2006/relationships/hyperlink" Target="https://www.badgerinstitute.org/failure-of-tax-and-schools-deal-offers-chance-to-do-better/" TargetMode="External" Id="rId1109"/><Relationship Type="http://schemas.openxmlformats.org/officeDocument/2006/relationships/hyperlink" Target="https://reforminggovernment.org/decoupling-vote-has-irg-talking-about-property-taxes-again/" TargetMode="External" Id="rId1110"/><Relationship Type="http://schemas.openxmlformats.org/officeDocument/2006/relationships/hyperlink" Target="https://ballotpedia.org/Wisconsin_2026_ballot_measures" TargetMode="External" Id="rId1111"/><Relationship Type="http://schemas.openxmlformats.org/officeDocument/2006/relationships/hyperlink" Target="https://www.aarp.org/states/wyoming/property-tax-relief-from-the-2025-legislative-session/" TargetMode="External" Id="rId1112"/><Relationship Type="http://schemas.openxmlformats.org/officeDocument/2006/relationships/hyperlink" Target="https://news.ballotpedia.org/2025/01/08/wyoming-voters-to-decide-on-ballot-initiative-to-exempt-50-of-home-property-value-from-taxes-the-first-initiative-to-appear-on-the-states-ballot-in-30-years/" TargetMode="External" Id="rId1113"/><Relationship Type="http://schemas.openxmlformats.org/officeDocument/2006/relationships/hyperlink" Target="https://news.ballotpedia.org/2026/08/27/voters-in-seven-states-to-decide-13-property-tax-measures-in-2026/" TargetMode="External" Id="rId1114"/><Relationship Type="http://schemas.openxmlformats.org/officeDocument/2006/relationships/hyperlink" Target="https://apps.lincolninst.edu/uploads/summary-tables/rate-limits-summary-tables/rate-limits-2022-4.xlsx" TargetMode="External" Id="rId1115"/><Relationship Type="http://schemas.openxmlformats.org/officeDocument/2006/relationships/hyperlink" Target="https://www.lincolninst.edu/app/uploads/2024/10/truth_in_taxation_2024.xlsx" TargetMode="External" Id="rId1116"/><Relationship Type="http://schemas.openxmlformats.org/officeDocument/2006/relationships/hyperlink" Target="https://www2.census.gov/programs-surveys/gov-finances/tables/2022/22slsstab1.xlsx" TargetMode="External" Id="rId1117"/><Relationship Type="http://schemas.openxmlformats.org/officeDocument/2006/relationships/hyperlink" Target="https://ballotpedia.org/Wyoming_2026_ballot_measures" TargetMode="External" Id="rId1118"/><Relationship Type="http://schemas.openxmlformats.org/officeDocument/2006/relationships/hyperlink" Target="https://wyoleg.gov/2024/Enroll/HB0045.pdf" TargetMode="External" Id="rId1119"/><Relationship Type="http://schemas.openxmlformats.org/officeDocument/2006/relationships/hyperlink" Target="https://wyoleg.gov/2025/Enroll/SF0069.pdf" TargetMode="External" Id="rId1120"/><Relationship Type="http://schemas.openxmlformats.org/officeDocument/2006/relationships/hyperlink" Target="https://wtop.com/news/2026/06/wyoming-local-governments-ability-to-collect-property-taxes-in-limbo-due-to-uncertainty-over-4-cap/" TargetMode="External" Id="rId1121"/><Relationship Type="http://schemas.openxmlformats.org/officeDocument/2006/relationships/hyperlink" Target="https://cowboystatedaily.com/2026/06/19/judge-orders-wyoming-board-of-equalization-to-enforce-4-property-tax-cap-for-now/" TargetMode="External" Id="rId1122"/><Relationship Type="http://schemas.openxmlformats.org/officeDocument/2006/relationships/hyperlink" Target="https://www.wyomingnews.com/rawlinstimes/seven-property-tax-bills-killed-on-introduction-so-far/article_3d1fbbd2-f501-47d8-b755-29808c24a59e.html" TargetMode="External" Id="rId1123"/><Relationship Type="http://schemas.openxmlformats.org/officeDocument/2006/relationships/hyperlink" Target="https://wyliberty.org/blog/political-perspectives/wy-2026-hj-4-residential-property-tax-value-constitutional-amendment" TargetMode="External" Id="rId1124"/><Relationship Type="http://schemas.openxmlformats.org/officeDocument/2006/relationships/hyperlink" Target="https://archive.commonsenseinstituteus.org/iowa/research/taxes-and-fees/iowa-leads-the-nation-in-property-tax-relief-ranking-state-reforms-of-the-past-decade" TargetMode="External" Id="rId1125"/><Relationship Type="http://schemas.openxmlformats.org/officeDocument/2006/relationships/hyperlink" Target="https://wyoleg.gov/2026/Enroll/HB0045.pdf" TargetMode="External" Id="rId1126"/><Relationship Type="http://schemas.openxmlformats.org/officeDocument/2006/relationships/hyperlink" Target="https://wyoleg.gov/2026/Digest/HB0045.pdf" TargetMode="External" Id="rId1127"/><Relationship Type="http://schemas.openxmlformats.org/officeDocument/2006/relationships/hyperlink" Target="https://sos.wyo.gov/Elections/Docs/2026/2026_Statewide_Ballot_Propositions.pdf" TargetMode="External" Id="rId1128"/><Relationship Type="http://schemas.openxmlformats.org/officeDocument/2006/relationships/table" Target="/xl/tables/table3.xml" Id="rId1129"/></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X52"/>
  <sheetViews>
    <sheetView tabSelected="1" topLeftCell="A1" zoomScaleNormal="100" zoomScaleSheetLayoutView="100" workbookViewId="0">
      <pane xSplit="1" ySplit="1" topLeftCell="B2" activePane="bottomRight" state="frozen"/>
      <selection pane="topRight" activeCell="A1" sqref="A1"/>
      <selection pane="bottomLeft"/>
      <selection pane="bottomRight" activeCell="M37" sqref="M37"/>
    </sheetView>
  </sheetViews>
  <sheetFormatPr baseColWidth="8" defaultColWidth="8.875" defaultRowHeight="14.25" customHeight="1"/>
  <cols>
    <col width="16" customWidth="1" min="1" max="1"/>
    <col width="48" customWidth="1" min="2" max="2"/>
    <col width="22" customWidth="1" min="3" max="3"/>
    <col width="72" customWidth="1" min="4" max="4"/>
    <col width="72" customWidth="1" min="5" max="5"/>
    <col width="72" customWidth="1" min="6" max="7"/>
    <col width="72" customWidth="1" min="7" max="7"/>
    <col width="50" customWidth="1" min="8" max="8"/>
    <col width="55" customWidth="1" min="9" max="10"/>
    <col width="60" customWidth="1" min="10" max="10"/>
    <col width="55" customWidth="1" min="11" max="11"/>
    <col width="55" customWidth="1" min="12" max="12"/>
    <col width="60" customWidth="1" min="13" max="13"/>
    <col width="55" customWidth="1" min="14" max="14"/>
    <col width="55" customWidth="1" min="15" max="15"/>
    <col width="50" customWidth="1" min="16" max="16"/>
    <col width="55" customWidth="1" min="17" max="17"/>
    <col width="55" customWidth="1" min="18" max="18"/>
    <col width="85" customWidth="1" min="19" max="19"/>
    <col width="85" customWidth="1" min="20" max="20"/>
    <col width="60" customWidth="1" min="21" max="21"/>
    <col width="24" customWidth="1" min="22" max="22"/>
    <col width="60" customWidth="1" min="23" max="23"/>
    <col width="70" customWidth="1" min="24" max="24"/>
  </cols>
  <sheetData>
    <row r="1" ht="62" customHeight="1">
      <c r="A1" s="3" t="inlineStr">
        <is>
          <t>State</t>
        </is>
      </c>
      <c r="B1" s="3" t="inlineStr">
        <is>
          <t>Letter grade: did the restrictions keep property taxes down? (points, deductions, reasons)</t>
        </is>
      </c>
      <c r="C1" s="3" t="inlineStr">
        <is>
          <t>Four-regime scorecard (spending · levy · assessment · rate)</t>
        </is>
      </c>
      <c r="D1" s="3" t="inlineStr">
        <is>
          <t>Local spending limit (budgets, appropriations or general revenue)</t>
        </is>
      </c>
      <c r="E1" s="3" t="inlineStr">
        <is>
          <t>Local property tax levy limit (cap on property tax revenue growth)</t>
        </is>
      </c>
      <c r="F1" s="3" t="inlineStr">
        <is>
          <t>Property tax assessment caps (with all exclusions)</t>
        </is>
      </c>
      <c r="G1" s="3" t="inlineStr">
        <is>
          <t>Property tax rate limits (specific rates)</t>
        </is>
      </c>
      <c r="H1" s="3" t="inlineStr">
        <is>
          <t>School districts covered by the limits? (education exclusions)</t>
        </is>
      </c>
      <c r="I1" s="3" t="inlineStr">
        <is>
          <t>A statewide property tax (additional tax or local pass-through?)</t>
        </is>
      </c>
      <c r="J1" s="3" t="inlineStr">
        <is>
          <t>Homestead Exemption (property tax)</t>
        </is>
      </c>
      <c r="K1" s="3" t="inlineStr">
        <is>
          <t>Property tax credits, circuit breakers &amp; rebates (separate from homestead exemptions)</t>
        </is>
      </c>
      <c r="L1" s="3" t="inlineStr">
        <is>
          <t>State subsidies to local governments to reduce property taxes (mechanism)</t>
        </is>
      </c>
      <c r="M1" s="3" t="inlineStr">
        <is>
          <t>Truth-in-taxation laws</t>
        </is>
      </c>
      <c r="N1" s="3" t="inlineStr">
        <is>
          <t>Property tax rollback protections</t>
        </is>
      </c>
      <c r="O1" s="3" t="inlineStr">
        <is>
          <t>Supermajority requirement for local tax increases (thresholds)</t>
        </is>
      </c>
      <c r="P1" s="3" t="inlineStr">
        <is>
          <t>November-ballot requirement for local spending/tax increases</t>
        </is>
      </c>
      <c r="Q1" s="3" t="inlineStr">
        <is>
          <t>Statewide restrictions on how localities may spend property tax dollars</t>
        </is>
      </c>
      <c r="R1" s="3" t="inlineStr">
        <is>
          <t>Jurisdictions with property taxing authority</t>
        </is>
      </c>
      <c r="S1" s="3" t="inlineStr">
        <is>
          <t>Has it worked? Short verdict, then loopholes, workarounds and the full record (incl. shifts to sales/income taxes or fees)</t>
        </is>
      </c>
      <c r="T1" s="3" t="inlineStr">
        <is>
          <t>Conservative &amp; free-market analyses (State Policy Network groups, taxpayer groups): links with synopses</t>
        </is>
      </c>
      <c r="U1" s="3" t="inlineStr">
        <is>
          <t>Recent reform efforts (2020–2026) &amp; outcomes</t>
        </is>
      </c>
      <c r="V1" s="3" t="inlineStr">
        <is>
          <t>Tax Foundation 2026 ranking: effective property tax rate on owner-occupied homes (1 = lowest), with the 2010 rate by the same measure</t>
        </is>
      </c>
      <c r="W1" s="3" t="inlineStr">
        <is>
          <t>Notes</t>
        </is>
      </c>
      <c r="X1" s="3" t="inlineStr">
        <is>
          <t>Source URLs</t>
        </is>
      </c>
    </row>
    <row r="2" ht="409" customHeight="1">
      <c r="A2" s="13" t="inlineStr">
        <is>
          <t>Alabama</t>
        </is>
      </c>
      <c r="B2" s="4" t="inlineStr">
        <is>
          <r>
            <rPr>
              <rFont val="Carlito"/>
              <b val="1"/>
              <sz val="14"/>
            </rPr>
            <t>D.</t>
          </r>
          <r>
            <rPr>
              <rFont val="Carlito"/>
              <sz val="11"/>
            </rPr>
            <t xml:space="preserve">
Restriction points 4.5 of 18 (assessment cap 1; rate cap 2; school districts covered 1; use restrictions 0.5). Deductions: built-in loopholes -1; workarounds in practice -0.5; state buydowns +0; data record +0. Total 3 = D (A 11+, B 8.5-10.9, C 5.5-8.4, D 3-5.4, F under 3).
Why: Built-in loopholes -1: the 7% assessment cap sunsets after 2027 and excludes new construction, ownership changes and TIF-district property; Mountain Brook, Vestavia Hills and Huntsville are exempt from the Lid Bill ceiling. Workarounds -0.5: local governments lean on sales taxes, fees and occupational taxes (fees 52.5% of local own-source revenue), though voters still reject millage increases (Tuscaloosa, 2024). Buydowns 0: no state program buys down local rates. Record 0: the lowest burden in the country (1.49% of personal income; 0.38% effective rate) offsets some of the fastest recent growth (real per-person collections up 12.9% FY2019-FY2024; U.S. -1.1%).</t>
          </r>
        </is>
      </c>
      <c r="C2" s="4">
        <f>((LEFT(D2,3)="Yes")+(LEFT(E2,3)="Yes")+(LEFT(F2,3)="Yes")+(LEFT(G2,3)="Yes"))&amp;" of 4 in force"&amp;IF(((LEFT(D2,7)="Partial")+(LEFT(E2,7)="Partial")+(LEFT(F2,7)="Partial")+(LEFT(G2,7)="Partial"))&gt;0," + "&amp;((LEFT(D2,7)="Partial")+(LEFT(E2,7)="Partial")+(LEFT(F2,7)="Partial")+(LEFT(G2,7)="Partial"))&amp;" partial","")&amp;CHAR(10)&amp;CHAR(10)&amp;IF(LEFT(D2,3)="Yes","✓",IF(LEFT(D2,7)="Partial","◐","✗"))&amp;" Spending limit"&amp;CHAR(10)&amp;IF(LEFT(E2,3)="Yes","✓",IF(LEFT(E2,7)="Partial","◐","✗"))&amp;" Levy limit"&amp;CHAR(10)&amp;IF(LEFT(F2,3)="Yes","✓",IF(LEFT(F2,7)="Partial","◐","✗"))&amp;" Assessment cap"&amp;CHAR(10)&amp;IF(LEFT(G2,3)="Yes","✓",IF(LEFT(G2,7)="Partial","◐","✗"))&amp;" Rate cap"</f>
        <v/>
      </c>
      <c r="D2" s="4" t="inlineStr">
        <is>
          <r>
            <rPr>
              <rFont val="Carlito"/>
              <b val="1"/>
              <sz val="11"/>
            </rPr>
            <t>No.</t>
          </r>
          <r>
            <rPr>
              <rFont val="Carlito"/>
              <sz val="11"/>
            </rPr>
            <t xml:space="preserve">
Alabama puts no growth cap on county, municipal or school budgets; local units must simply adopt balanced budgets. The state budget rules cited in earlier versions of this matrix (limits tied to projected revenue) govern state appropriations only.</t>
          </r>
        </is>
      </c>
      <c r="E2" s="4" t="inlineStr">
        <is>
          <r>
            <rPr>
              <rFont val="Carlito"/>
              <b val="1"/>
              <sz val="11"/>
            </rPr>
            <t>No.</t>
          </r>
          <r>
            <rPr>
              <rFont val="Carlito"/>
              <sz val="11"/>
            </rPr>
            <t xml:space="preserve">
No cap on growth in total property tax revenue. Two features restrain it indirectly: no millage can rise above constitutional limits without a public hearing, an act of the Legislature and a local referendum, and the temporary 7% assessment cap (tax years 2025-2027) slows valuation growth on most parcels. New construction, newly discovered property and growth inside TIF districts still add revenue with no vote.</t>
          </r>
        </is>
      </c>
      <c r="F2" s="4" t="inlineStr">
        <is>
          <r>
            <rPr>
              <rFont val="Carlito"/>
              <b val="1"/>
              <sz val="11"/>
            </rPr>
            <t>Partial.</t>
          </r>
          <r>
            <rPr>
              <rFont val="Carlito"/>
              <sz val="11"/>
            </rPr>
            <t xml:space="preserve">
Statewide but temporary. Act 2024-344 caps the annual increase in assessed value of Class II real property (commercial, rental and other property not otherwise classed) and Class III real property (owner-occupied homes, farms, forest land, historic property) at 7% a year, starting with the 2025 tax year. Market and current-use values are still determined each year; the cap applies to assessed value only. Class I utility property is not covered.
Exclusions (value may rise more than 7%): never-assessed property; additions or improvements (ordinary maintenance does not count); a change in classification; a change in ownership, except transfers between spouses or family members for no or nominal consideration (including at death) and redemptions after foreclosure or tax sale; property inside a tax increment financing district.
Sunset: the cap runs through the fiscal year beginning Oct. 1, 2027 unless extended.
Authority: Code of Ala. §40-7-2.2 (Act 2024-344, HB 73, signed May 2024).</t>
          </r>
        </is>
      </c>
      <c r="G2" s="4" t="inlineStr">
        <is>
          <r>
            <rPr>
              <rFont val="Carlito"/>
              <b val="1"/>
              <sz val="11"/>
            </rPr>
            <t>Yes.</t>
          </r>
          <r>
            <rPr>
              <rFont val="Carlito"/>
              <sz val="11"/>
            </rPr>
            <t xml:space="preserve">
Two layers.
1) Overall cap ("Lid Bill"): total ad valorem tax from all levies on a property may not exceed 1% of fair market value for Class III (owner-occupied homes, farm and timber land), 1.25% for Class IV (personal vehicles), 1.5% for Class II and 2% for Class I utility property. Mountain Brook, Vestavia Hills and Huntsville are exempt from this ceiling.
2) Millage caps by levy: state 6.5 mills; county general 5 mills; municipal 5 mills; every school district must levy at least 10 mills (a floor). Assessment ratios are fixed at 10% (Class III), 15% (IV), 20% (II) and 30% (I).
Any millage above constitutional limits requires a proposal by the governing body after a public hearing, an act of the Legislature, and majority approval of local voters at a special election. Combined millage in most places sits well below the 100-mill equivalent of the 1% Class III ceiling, so the act-plus-referendum requirement is the working check.
Authority: Ala. Const. §217 (Amendment 373, "Lid Bill," ratified Nov. 1978); §§214-216; §269.08 (Amendment 778, 2006, 10-mill school minimum).</t>
          </r>
        </is>
      </c>
      <c r="H2" s="4" t="inlineStr">
        <is>
          <r>
            <rPr>
              <rFont val="Carlito"/>
              <b val="1"/>
              <sz val="11"/>
            </rPr>
            <t>Yes.</t>
          </r>
          <r>
            <rPr>
              <rFont val="Carlito"/>
              <sz val="11"/>
            </rPr>
            <t xml:space="preserve">
School millage is bound by the same constitutional caps, the act-plus-referendum rule and the 7% assessment cap. The Constitution also sets a 10-mill minimum school levy in every district, and the state Foundation Program counts 10 mills as the required local share, so school taxes have a floor as well as a ceiling.</t>
          </r>
        </is>
      </c>
      <c r="I2" s="4" t="inlineStr">
        <is>
          <r>
            <rPr>
              <rFont val="Carlito"/>
              <b val="1"/>
              <sz val="11"/>
            </rPr>
            <t>Yes.</t>
          </r>
          <r>
            <rPr>
              <rFont val="Carlito"/>
              <sz val="11"/>
            </rPr>
            <t xml:space="preserve">
An additional state tax that does not replace local levies: 6.5 mills on all taxable property, collected by county officials and remitted to the state. 3 mills go to education (§260), 2.5 mills to the State General Fund, and 1 mill to old-age assistance (DHR share capped at $20.77 million) with the remainder to the Alabama Veterans' Assistance Fund. Homeowners 65+, and disabled or blind homeowners, are exempt from the state levy on their homestead. FY2022 state property tax revenue: about $496 million (Census).</t>
          </r>
        </is>
      </c>
      <c r="J2" s="4" t="inlineStr">
        <is>
          <r>
            <rPr>
              <rFont val="Carlito"/>
              <b val="1"/>
              <sz val="11"/>
            </rPr>
            <t>Yes.</t>
          </r>
          <r>
            <rPr>
              <rFont val="Carlito"/>
              <sz val="11"/>
            </rPr>
            <t xml:space="preserve">
Regular homestead: $4,000 of assessed value exempt from state taxes and $2,000 of assessed value exempt from county taxes (about $40,000 and $20,000 of market value at the 10% ratio). Counties, cities and other taxing units may raise their exemption to $4,000 of assessed value.
Age 65+: exempt from all state taxes; with state AGI under $12,000, $5,000 of assessed value exempt from county taxes; with combined federal taxable income of $12,000 or less, exempt from all ad valorem taxes.
Permanently and totally disabled: exempt from all ad valorem taxes, no income test. Blind: exempt from state taxes plus $5,000 assessed value from county taxes. Maximum 160 acres.
Many counties add their own senior exemptions through local constitutional amendments (e.g., Limestone County, HB 310 of 2026).
Authority: Code of Ala. §§40-9-19 to 40-9-21.</t>
          </r>
        </is>
      </c>
      <c r="K2" s="4" t="inlineStr">
        <is>
          <r>
            <rPr>
              <rFont val="Carlito"/>
              <b val="1"/>
              <sz val="11"/>
            </rPr>
            <t>No.</t>
          </r>
          <r>
            <rPr>
              <rFont val="Carlito"/>
              <sz val="11"/>
            </rPr>
            <t xml:space="preserve">
No circuit breaker, renter credit or state-funded property tax rebate. Relief comes through exemptions and the low 10% residential assessment ratio.</t>
          </r>
        </is>
      </c>
      <c r="L2" s="4" t="inlineStr">
        <is>
          <r>
            <rPr>
              <rFont val="Carlito"/>
              <b val="1"/>
              <sz val="11"/>
            </rPr>
            <t>No.</t>
          </r>
          <r>
            <rPr>
              <rFont val="Carlito"/>
              <sz val="11"/>
            </rPr>
            <t xml:space="preserve">
No state program reimburses local governments for property tax revenue lost to state law or pays them to lower rates. The 2025 increase in the business personal property exemption to $100,000 (HB 543) applies to the state levy; counties and cities may adopt a matching local exemption with no state reimbursement. The Foundation Program, which counts 10 mills of local tax toward each district's share, is general school aid and does not count.
Authority: Ala. Code § 40-9-1; HB 543 (2025 Reg. Sess.); Ala. Admin. Code r. 810-4-1-.14; Ala. Code § 16-13-231.</t>
          </r>
        </is>
      </c>
      <c r="M2" s="4" t="inlineStr">
        <is>
          <r>
            <rPr>
              <rFont val="Carlito"/>
              <b val="1"/>
              <sz val="11"/>
            </rPr>
            <t>No.</t>
          </r>
          <r>
            <rPr>
              <rFont val="Carlito"/>
              <sz val="11"/>
            </rPr>
            <t/>
          </r>
        </is>
      </c>
      <c r="N2" s="4" t="inlineStr">
        <is>
          <r>
            <rPr>
              <rFont val="Carlito"/>
              <b val="1"/>
              <sz val="11"/>
            </rPr>
            <t>No.</t>
          </r>
          <r>
            <rPr>
              <rFont val="Carlito"/>
              <sz val="11"/>
            </rPr>
            <t xml:space="preserve">
No rollback, revenue-neutral or certified rate after reappraisal. Rising values raise revenue automatically, limited only by the temporary 7% assessment cap.</t>
          </r>
        </is>
      </c>
      <c r="O2" s="4" t="inlineStr">
        <is>
          <r>
            <rPr>
              <rFont val="Carlito"/>
              <b val="1"/>
              <sz val="11"/>
            </rPr>
            <t>No.</t>
          </r>
          <r>
            <rPr>
              <rFont val="Carlito"/>
              <sz val="11"/>
            </rPr>
            <t xml:space="preserve">
Millage above constitutional limits needs a simple majority of local voters (after a public hearing and a legislative act). No supermajority of voters or of a governing body is required.</t>
          </r>
        </is>
      </c>
      <c r="P2" s="4" t="inlineStr">
        <is>
          <r>
            <rPr>
              <rFont val="Carlito"/>
              <b val="1"/>
              <sz val="11"/>
            </rPr>
            <t>No.</t>
          </r>
          <r>
            <rPr>
              <rFont val="Carlito"/>
              <sz val="11"/>
            </rPr>
            <t xml:space="preserve">
Millage referenda are held at special elections; there is no requirement to hold them at November general elections.</t>
          </r>
        </is>
      </c>
      <c r="Q2" s="4" t="inlineStr">
        <is>
          <r>
            <rPr>
              <rFont val="Carlito"/>
              <b val="1"/>
              <sz val="11"/>
            </rPr>
            <t>Yes.</t>
          </r>
          <r>
            <rPr>
              <rFont val="Carlito"/>
              <sz val="11"/>
            </rPr>
            <t xml:space="preserve">
Alabama millage is purpose-specific by design. Each levy exists under a constitutional section or local amendment that names its purpose: county general (5 mills), county road and bridge, county and district school taxes (with the 10-mill school minimum), and special levies for fire, library, hospital, health and similar services authorized county by county. Dedicated levies may fund only their stated purpose. The state's 6.5 mills are also earmarked (education, General Fund, old-age assistance/veterans).</t>
          </r>
        </is>
      </c>
      <c r="R2" s="4" t="inlineStr">
        <is>
          <t>State (6.5 mills); 67 counties; 462 municipalities; county and city school systems (138 independent school districts in the Census count), whose taxes are levied countywide or by school tax district; special districts created by local act or constitutional amendment (fire protection, hospital, library and similar). Census of Governments 2022: 1,208 local governments, including 541 special districts; most of those special districts are housing, water and soil-conservation authorities that levy no property tax.</t>
        </is>
      </c>
      <c r="S2" s="4" t="inlineStr">
        <is>
          <t>Verdict: Failed. Property tax per person rose 48.0% after inflation from FY2002 to FY2024, against 25.9% for the U.S., and grew 12.9% from FY2019 to FY2024 while the U.S. figure fell 1.1%.
Why it leaks: The 1978 Lid Bill (Amendment 373) caps millage, yet Alabama has no levy limit or rollback, so local governments collect more each year at the same millage with no vote. No law caps local budgets. Alabama also lacks truth in taxation, which offers transparency and accountability, so these increases reach bills with no notice or hearing. The 7% assessment cap in Act 2024-344 runs only through 2027 unless extended and excludes improvements and property inside TIF districts.
How localities get around it: Local constitutional amendments add millage one county at a time. Huntsville is one of three cities exempt from the Lid Bill ceiling.
Full record:
Has it worked? On the size of the tax, yes. On growth, no.
The record (Census, BEA, ACS): state and local property tax was $849 per person in FY2024 (U.S. $2,132), 1.49% of personal income (49th-highest of 50; U.S. 2.89%). After inflation, collections per person (all state and local property tax divided by residents) rose 48.0% from FY2002 to FY2024 (U.S. +25.9%) and rose 12.9% from FY2019 to FY2024 (U.S. -1.1%). The median homeowner paid $890 in 2024 (U.S. $3,211); the median bill rose 20.8% after inflation from 2010 to 2024 (U.S. +9.3%). The Tax Foundation's 2026 ranking puts its effective property tax rate on owner-occupied homes at 0.37%, 2nd-lowest of 50. By the same measure it was 0.37% in 2010 (U.S. 1.00% in 2010, 0.94% in 2024).
Why: the 1978 Lid Bill froze low assessment ratios, capped total bills and requires a legislative act plus a referendum for every millage increase, which keeps the level low; with no levy limit and no rollback, rising values flow straight into revenue. The temporary 7% assessment cap began with the 2025 tax year.
Revenue shift: local governments moved to other taxes. Property tax supplies only 40% of local tax revenue in Alabama versus 70% nationally, and sales taxes supply 48% (Census, FY2022). Fees and charges are 52.5% of local own-source revenue (34% nationally). The average combined sales tax rate is 9.46%, 5th-highest in the U.S., with local rates up to 11%, and groceries remain taxable. Birmingham and other localities also levy occupational license taxes on wages.
Workarounds: local constitutional amendments add millage or exemptions one county at a time; three cities are exempt from the Lid Bill ceiling; TIF-district property is excluded from the 7% cap; current-use valuation keeps timber and farmland taxes very low.
Special elections: millage referenda go to special elections with low turnout. In Tuscaloosa the school board, city council and Legislature all approved an 11.5-mill increase (22%, about $17.25 million a year for city schools), and voters still rejected it on Sept. 24, 2024, 5,704 to 4,999, with 16.5% turnout (Alabama Political Reporter). The vote requirement binds even where every elected body backs an increase.
Big cities: Tuscaloosa's city rate was already 51.5 mills before that vote, against a 42-mill statewide average (Alabama Political Reporter); larger cities such as Birmingham add occupational taxes on wages (see Revenue shift).
Pushback: the Association of County Commissions wants the 7% cap to expire in 2027, citing lost revenue (Randolph County: $1.8 million over two years). The Alabama Policy Institute wants it made permanent (2026 report).</t>
        </is>
      </c>
      <c r="T2" s="4" t="inlineStr">
        <is>
          <t>- 1819 News (launched by the Alabama Policy Institute), "Alabama's 7% property tax reappraisal cap expires in 2027 — Will lawmakers extend it?" (Aug. 22, 2026). Reports Sen. David Sessions's plan to extend the cap in 2027, lists every exclusion in the law and gives the county commissions' case for letting it lapse. https://1819news.com/news/item/alabamas-7-property-tax-reappraisal-cap-expires-in-2027-will-lawmakers-extend-it
- Alabama Policy Institute, "Alabama Policy Institute Launches Landmark Alabama Tax Relief Report: A Multi-Phase Roadmap for Economic Growth and Fiscal Discipline" (July 15, 2026). A phased tax-cut plan for the 2027 session paid for by spending restraint. On property tax it calls for making the assessment protections permanent by removing the 2027 sunset, and it warns that cutting income taxes without a population-plus-inflation spending cap would push the burden onto sales and property taxes. https://alabamapolicy.org/2026/07/15/alabama-policy-institute-launches-landmark-alabama-tax-relief-report-a-multi-phase-roadmap-for-economic-growth-and-fiscal-discipline/
- Tax Foundation, "Alabama's 2025 Legislative Session Advances Pro-Growth Tax Reforms" (July 9, 2025). Act 2025-344 raises the business tangible personal property tax exemption from $40,000 to $100,000 in market value, effective October 1, 2025, and ends filing for businesses under the threshold; local jurisdictions may opt in. Similar thresholds elsewhere cost "often less than 1 percent of property tax collections." https://taxfoundation.org/blog/alabama-tax-reform-relief-2025/
- 1819 News (launched by the Alabama Policy Institute), "Ainsworth on new property tax cap: ‘We don’t want anybody to get gouged’" (Aug. 14, 2024). Lt. Gov. Will Ainsworth says calls from owners facing reappraisal increases of 20%, 30% and 40% led to the 7% cap in HB 73 (Rep. Phillip Pettus and Sen. David Sessions), effective October 1, 2024. https://1819news.com/news/item/ainsworth-on-new-property-tax-cap-we-dont-want-anybody-to-get-gouged
- Alabama Policy Institute, "API: Top 10 Things the AL Legislature Should Accomplish in 2024" (Feb. 5, 2024). Item 8, "Cap Property Tax," notes that county and municipal rates vary widely, so rising valuations hit some owners far harder than others, and urges an assessment cap "to make property tax increases more predictable and lessen the tax burden of Alabama's homeowners." The Legislature enacted the 7% cap (Act 2024-344) that spring. https://alabamapolicy.org/2024/02/05/api-top-10-things-the-al-legislature-should-accomplish-in-2024/
- Free the People (State Policy Network associate): no Alabama property tax work since 2021 was found.
- National School Choice Awareness Foundation (State Policy Network associate): no property tax work since 2021 was found.
- Americans for Prosperity-Alabama: no property tax item since 2021 was found.
Linked list: 5 items on the Analyses sheet (filter State = Alabama); every source URL is linked on the Sources sheet.</t>
        </is>
      </c>
      <c r="U2" s="4" t="inlineStr">
        <is>
          <t>2024: HB 73 (Act 2024-344) passed after large reappraisal increases, creating the 7% annual assessment cap for tax years 2025-2027 (Senate sponsor David Sessions sought 5%).
2026 session: no statewide property tax change. HB 167 (Rep. Kiel) would have replaced the 7% cap with the CPI-U increase; it was referred to House Ways and Means General Fund on Jan. 13, 2026, had not moved by the Alabama State Bar's March 20 tracker and was not enacted. Counties kept adding senior exemptions by local amendment (e.g., Limestone County, HB 310; Colbert and Franklin counties, Acts 2026-28 and 2026-29).
2027 session: extension or tightening of the cap expected to be debated; county commissions oppose extension.
Nov. 3, 2026 ballot: four statewide amendments (Lieutenant Governor vacancy and legislative pay, SB 271; merging county school systems, HB 380; school Pledge of Allegiance and student prayer, HB 511; weekly national anthem in schools, SB 5). None concerns property tax (Fox10, Sept. 14, 2026).</t>
        </is>
      </c>
      <c r="V2" s="4" t="inlineStr">
        <is>
          <t>2nd (0.37% effective rate; 0.37% in 2010)</t>
        </is>
      </c>
      <c r="W2" s="4" t="inlineStr">
        <is>
          <t>Alabama relies on rate caps: overall 1%/1.25%/1.5%/2% lids, fixed low assessment ratios and a legislative-act-plus-referendum requirement for any millage increase, plus a 7% assessment cap through 2027. It has no spending cap, levy cap or truth-in-taxation law. Property taxes are among the nation's lowest; local governments make up the difference with sales taxes, occupational taxes and fees.</t>
        </is>
      </c>
      <c r="X2" s="4" t="inlineStr">
        <is>
          <t>https://www.revenue.alabama.gov/wp-content/uploads/2025/03/HB73.pdf
https://www.revenue.alabama.gov/property-tax/homestead-exemptions/
https://law.justia.com/constitution/alabama/CA-888542.html
https://www.lincolninst.edu/app/uploads/legacy-files/gwipp/upload/sources/Alabama/2021/al_ad_valorem_tax_guide.pdf
https://1819news.com/news/item/alabamas-7-property-tax-reappraisal-cap-expires-in-2027-will-lawmakers-extend-it
https://legiscan.com/AL/text/HB310/2026
https://apps.lincolninst.edu/uploads/summary-tables/rate-limits-summary-tables/rate-limits-2022-4.xlsx
https://www2.census.gov/programs-surveys/gov-finances/tables/2022/22slsstab1.xlsx
https://taxfoundation.org/data/all/state/sales-tax-rates/
https://www.revenue.alabama.gov/property-tax/7-cap-information-hb73-act-2024-344/
https://alison.legislature.state.al.us/files/pdf/SearchableInstruments/2026RS/HB167-int.pdf
https://www.alabar.org/assets/2026/03/Tax-3.20.26.pdf
https://www.fox10tv.com/2026/09/14/decision-2026-alabama-sample-ballots-now-available-nov-3-election/
https://www.alreporter.com/2024/09/25/tuscaloosa-residents-reject-property-tax-increase-for-schools/
https://alabamapolicy.org/2024/02/05/api-top-10-things-the-al-legislature-should-accomplish-in-2024/
https://www.tuscco.com/wp-content/uploads/2026/05/Insert-for-2026-Valuation-Notices-CAP-Doc-3-1.pdf</t>
        </is>
      </c>
    </row>
    <row r="3" ht="409" customHeight="1">
      <c r="A3" s="13" t="inlineStr">
        <is>
          <t>Alaska</t>
        </is>
      </c>
      <c r="B3" s="4" t="inlineStr">
        <is>
          <r>
            <rPr>
              <rFont val="Carlito"/>
              <b val="1"/>
              <sz val="14"/>
            </rPr>
            <t>C.</t>
          </r>
          <r>
            <rPr>
              <rFont val="Carlito"/>
              <sz val="11"/>
            </rPr>
            <t xml:space="preserve">
Restriction points 6.75 of 18 (spending limit 2; levy limit 2; rate cap 2; school districts covered 0.5; use restrictions 0.25). Deductions: built-in loopholes -1; workarounds in practice -0.5; state buydowns +0; data record +0.5. Total 5.75 = C (A 11+, B 8.5-10.9, C 5.5-8.4, D 3-5.4, F under 3).
Why: Built-in loopholes -1: debt taxes sit outside every state limit, the 30-mill cap sits far above most local rates, and the per-capita levy ceiling binds mainly on the North Slope Borough. Workarounds -0.5: the Anchorage Assembly loosened its tax cap in 2015 (voters reversed it in 2016) and drafted a sales tax partly outside the cap; Mat-Su swapped its revenue cap for a 10.5-mill rate cap in 2018. Buydowns 0. Record +0.5: real per-person collections fell 9.6% FY2019-FY2024 and real homeowner bills fell 7.3% 2010-2024, though the burden is above average (3.20% of personal income; 1.06% effective rate).</t>
          </r>
        </is>
      </c>
      <c r="C3" s="4">
        <f>((LEFT(D3,3)="Yes")+(LEFT(E3,3)="Yes")+(LEFT(F3,3)="Yes")+(LEFT(G3,3)="Yes"))&amp;" of 4 in force"&amp;IF(((LEFT(D3,7)="Partial")+(LEFT(E3,7)="Partial")+(LEFT(F3,7)="Partial")+(LEFT(G3,7)="Partial"))&gt;0," + "&amp;((LEFT(D3,7)="Partial")+(LEFT(E3,7)="Partial")+(LEFT(F3,7)="Partial")+(LEFT(G3,7)="Partial"))&amp;" partial","")&amp;CHAR(10)&amp;CHAR(10)&amp;IF(LEFT(D3,3)="Yes","✓",IF(LEFT(D3,7)="Partial","◐","✗"))&amp;" Spending limit"&amp;CHAR(10)&amp;IF(LEFT(E3,3)="Yes","✓",IF(LEFT(E3,7)="Partial","◐","✗"))&amp;" Levy limit"&amp;CHAR(10)&amp;IF(LEFT(F3,3)="Yes","✓",IF(LEFT(F3,7)="Partial","◐","✗"))&amp;" Assessment cap"&amp;CHAR(10)&amp;IF(LEFT(G3,3)="Yes","✓",IF(LEFT(G3,7)="Partial","◐","✗"))&amp;" Rate cap"</f>
        <v/>
      </c>
      <c r="D3" s="4" t="inlineStr">
        <is>
          <r>
            <rPr>
              <rFont val="Carlito"/>
              <b val="1"/>
              <sz val="11"/>
            </rPr>
            <t>Partial.</t>
          </r>
          <r>
            <rPr>
              <rFont val="Carlito"/>
              <sz val="11"/>
            </rPr>
            <t xml:space="preserve">
No statewide spending or revenue cap on municipalities. The binding limits are local and voter-imposed: Anchorage's 1983 charter "tax cap" sets the maximum total taxes the Municipality may collect each year at the prior year's taxes adjusted for the five-year average change in population and inflation, and the Assembly may not adopt a budget that exceeds it. Other municipalities have adopted their own caps, some since loosened (see Loopholes).
Authority: Anchorage Municipal Charter §14.03; Anchorage Municipal Code 12.25.</t>
          </r>
        </is>
      </c>
      <c r="E3" s="4" t="inlineStr">
        <is>
          <r>
            <rPr>
              <rFont val="Carlito"/>
              <b val="1"/>
              <sz val="11"/>
            </rPr>
            <t>Partial.</t>
          </r>
          <r>
            <rPr>
              <rFont val="Carlito"/>
              <sz val="11"/>
            </rPr>
            <t xml:space="preserve">
State law: a per-capita levy ceiling (AS 29.45.090) limits operating property tax revenue to what a capped rate would raise on a hypothetical tax base of 375%, 300% or 225% of the statewide average per-capita full value (sliding by mill rate), with a flat $1,500-per-resident alternative. It only binds municipalities with exceptionally large tax bases per resident, chiefly the North Slope Borough's oil infrastructure. Local voter-approved caps (Anchorage, Matanuska-Susitna Borough, City of Fairbanks and others) do the work elsewhere. Taxes for voter-approved bonds are excluded from all state limits (AS 29.45.100).
Authority: AS 29.45.090, 29.45.100 (enacted 1972).</t>
          </r>
        </is>
      </c>
      <c r="F3" s="4" t="inlineStr">
        <is>
          <r>
            <rPr>
              <rFont val="Carlito"/>
              <b val="1"/>
              <sz val="11"/>
            </rPr>
            <t>No.</t>
          </r>
          <r>
            <rPr>
              <rFont val="Carlito"/>
              <sz val="11"/>
            </rPr>
            <t xml:space="preserve">
No annual assessment growth cap. Property is assessed at full and true value each year. The mandatory senior/disabled-veteran exemption (first $150,000) is the only statewide shield for long-time owners.</t>
          </r>
        </is>
      </c>
      <c r="G3" s="4" t="inlineStr">
        <is>
          <r>
            <rPr>
              <rFont val="Carlito"/>
              <b val="1"/>
              <sz val="11"/>
            </rPr>
            <t>Yes.</t>
          </r>
          <r>
            <rPr>
              <rFont val="Carlito"/>
              <sz val="11"/>
            </rPr>
            <t xml:space="preserve">
Operating levies of any municipality may not exceed 30 mills (3% of assessed value) in a year; second-class cities are limited to 20 mills (2%). Taxes for bonded debt are outside the limits. Few municipalities approach 30 mills; most levy well below it.
Authority: AS 29.45.090; AS 29.45.590 (second-class cities); AS 29.45.100 (debt excluded).</t>
          </r>
        </is>
      </c>
      <c r="H3" s="4" t="inlineStr">
        <is>
          <r>
            <rPr>
              <rFont val="Carlito"/>
              <b val="1"/>
              <sz val="11"/>
            </rPr>
            <t>Partial.</t>
          </r>
          <r>
            <rPr>
              <rFont val="Carlito"/>
              <sz val="11"/>
            </rPr>
            <t xml:space="preserve">
Alaska has no independent school districts; boroughs and home-rule/first-class cities fund their schools inside the same 30-mill operating limit. The state foundation formula (AS 14.17.410) requires a minimum local contribution (the equivalent of 2.65 mills on full value) and caps how much more a municipality may contribute, so school-related local taxes have both a floor and a ceiling set by the state.</t>
          </r>
        </is>
      </c>
      <c r="I3" s="4" t="inlineStr">
        <is>
          <r>
            <rPr>
              <rFont val="Carlito"/>
              <b val="1"/>
              <sz val="11"/>
            </rPr>
            <t>Partial.</t>
          </r>
          <r>
            <rPr>
              <rFont val="Carlito"/>
              <sz val="11"/>
            </rPr>
            <t xml:space="preserve">
The only state property tax is a 20-mill (2%) tax on oil and gas exploration, production and pipeline transportation property. Municipal taxes on the same property are credited against it, so in organized areas it mostly serves as a state backstop; in the unorganized borough the state keeps the full tax. It applies to one industry and does not replace local levies. FY2022 state property tax revenue: about $125 million (Census).
Authority: AS 43.56.</t>
          </r>
        </is>
      </c>
      <c r="J3" s="4" t="inlineStr">
        <is>
          <r>
            <rPr>
              <rFont val="Carlito"/>
              <b val="1"/>
              <sz val="11"/>
            </rPr>
            <t>Yes.</t>
          </r>
          <r>
            <rPr>
              <rFont val="Carlito"/>
              <sz val="11"/>
            </rPr>
            <t xml:space="preserve">
Mandatory: the first $150,000 of assessed value of a permanent home owned and occupied by a resident 65 or older, a veteran with a 50%+ service-connected disability, or certain surviving spouses is exempt from municipal property tax (municipalities may grant more).
Local option: municipalities may exempt up to $75,000 of assessed value of any owner-occupied residence (a general "homestead" exemption); whether and how much varies by municipality. There is no statewide general homestead exemption for all owners.
Authority: AS 29.45.030(e); AS 29.45.050.</t>
          </r>
        </is>
      </c>
      <c r="K3" s="4" t="inlineStr">
        <is>
          <r>
            <rPr>
              <rFont val="Carlito"/>
              <b val="1"/>
              <sz val="11"/>
            </rPr>
            <t>No.</t>
          </r>
          <r>
            <rPr>
              <rFont val="Carlito"/>
              <sz val="11"/>
            </rPr>
            <t xml:space="preserve">
No statewide circuit breaker, renter credit or property tax rebate. Some municipalities run local senior hardship programs. The Permanent Fund Dividend is a cash payment unrelated to property tax.</t>
          </r>
        </is>
      </c>
      <c r="L3" s="4" t="inlineStr">
        <is>
          <r>
            <rPr>
              <rFont val="Carlito"/>
              <b val="1"/>
              <sz val="11"/>
            </rPr>
            <t>No.</t>
          </r>
          <r>
            <rPr>
              <rFont val="Carlito"/>
              <sz val="11"/>
            </rPr>
            <t xml:space="preserve">
State law requires the state to reimburse boroughs and cities for real property tax lost to the mandatory exemption of the first $150,000 of assessed value on homes of residents 65 and older and disabled veterans, prorated when appropriations fall short. The Legislature has not funded the reimbursement since 1997, so no state money reaches municipalities for it; they absorb the cost, which the Alaska Municipal League put at over $105 million a year in 2023. K-12 foundation aid, with its required local contribution, and Community Assistance revenue sharing are general aid and do not count.
Authority: AS 29.45.030(e); AS 29.45.030(g); AS 14.17.410; AS 29.60.850.</t>
          </r>
        </is>
      </c>
      <c r="M3" s="4" t="inlineStr">
        <is>
          <r>
            <rPr>
              <rFont val="Carlito"/>
              <b val="1"/>
              <sz val="11"/>
            </rPr>
            <t>No.</t>
          </r>
          <r>
            <rPr>
              <rFont val="Carlito"/>
              <sz val="11"/>
            </rPr>
            <t/>
          </r>
        </is>
      </c>
      <c r="N3" s="4" t="inlineStr">
        <is>
          <r>
            <rPr>
              <rFont val="Carlito"/>
              <b val="1"/>
              <sz val="11"/>
            </rPr>
            <t>No.</t>
          </r>
          <r>
            <rPr>
              <rFont val="Carlito"/>
              <sz val="11"/>
            </rPr>
            <t xml:space="preserve">
No state rollback rule. In Anchorage the charter tax cap has a similar effect: when assessments rise faster than the cap allows, the mill rate must fall.</t>
          </r>
        </is>
      </c>
      <c r="O3" s="4" t="inlineStr">
        <is>
          <r>
            <rPr>
              <rFont val="Carlito"/>
              <b val="1"/>
              <sz val="11"/>
            </rPr>
            <t>No.</t>
          </r>
          <r>
            <rPr>
              <rFont val="Carlito"/>
              <sz val="11"/>
            </rPr>
            <t xml:space="preserve">
State law requires no supermajority to raise property taxes. Bonds require majority voter approval. Exceeding local charter caps follows each charter's terms (typically a public vote).</t>
          </r>
        </is>
      </c>
      <c r="P3" s="4" t="inlineStr">
        <is>
          <r>
            <rPr>
              <rFont val="Carlito"/>
              <b val="1"/>
              <sz val="11"/>
            </rPr>
            <t>No.</t>
          </r>
          <r>
            <rPr>
              <rFont val="Carlito"/>
              <sz val="11"/>
            </rPr>
            <t xml:space="preserve">
Municipal elections are generally held in October (April in Anchorage); bond and tax questions go on those ballots or special elections.</t>
          </r>
        </is>
      </c>
      <c r="Q3" s="4" t="inlineStr">
        <is>
          <r>
            <rPr>
              <rFont val="Carlito"/>
              <b val="1"/>
              <sz val="11"/>
            </rPr>
            <t>Partial.</t>
          </r>
          <r>
            <rPr>
              <rFont val="Carlito"/>
              <sz val="11"/>
            </rPr>
            <t xml:space="preserve">
Operating levies are general purpose. Borough and city "service area" levies (roads, fire, street lights and similar) may fund only the service in that area, and debt levies are dedicated to the bonds voters approved.</t>
          </r>
        </is>
      </c>
      <c r="R3" s="4" t="inlineStr">
        <is>
          <t>Only municipalities levy property tax: organized boroughs, unified home-rule municipalities and cities. Per Alaska Taxable 2025, 15 of 19 organized boroughs/unified municipalities and 21 of 145 cities levy one. School systems are departments of boroughs and cities (55 dependent school systems in the Census count), and borough service areas levy within the borough's taxing power. The unorganized borough has no local property tax; the state's 20-mill oil and gas property tax applies statewide. Census of Governments 2022: 181 local governments (15 county-type boroughs, 149 municipalities, 17 special districts, none of which levy property tax).</t>
        </is>
      </c>
      <c r="S3" s="4" t="inlineStr">
        <is>
          <t>Verdict: Partly. Property tax per person rose 9.0% after inflation from FY2002 to FY2024, against 25.9% for the U.S., and fell 9.6% from FY2019 to FY2024.
Why it leaks: The 30-mill operating cap (AS 29.45.090) is a rate cap few municipalities approach, and the per-capita levy ceiling binds chiefly the North Slope Borough. Taxes for voter-approved bonds fall outside all state limits. Alaska has no assessment cap. Restraint comes from local voter caps such as Anchorage's 1983 charter tax cap, and part of the recent decline came from falling oil and gas property tax.
How localities get around it: In 2015 the Anchorage Assembly loosened its tax cap formula until voters reversed it with Proposition 8 in 2016. In 2018 the Matanuska-Susitna Borough Assembly replaced its revenue-growth cap with a fixed 10.5-mill rate cap.
Full record:
Has it worked? Growth has been held down; the level remains high. Statewide limits are loose (a 30-mill cap few municipalities approach and a per-capita ceiling aimed at the North Slope Borough's oil base), so restraint comes from local voter caps, which local officials have tried to loosen.
The record (Census, BEA, ACS): state and local property tax was $2,456 per person in FY2024 (U.S. $2,132), 3.20% of personal income (13th-highest of 50; U.S. 2.89%). After inflation, collections per person (all state and local property tax divided by residents) rose 9.0% from FY2002 to FY2024 (U.S. +25.9%) and fell 9.6% from FY2019 to FY2024 (U.S. -1.1%). The median homeowner paid $3,976 in 2024 (U.S. $3,211); the median bill fell 7.3% after inflation from 2010 to 2024 (U.S. +9.3%). The Tax Foundation's 2026 ranking puts its effective property tax rate on owner-occupied homes at 0.94%, 31st-lowest of 50. By the same measure it was 1.00% in 2010 (U.S. 1.00% in 2010, 0.94% in 2024).
Why: two forces outside the limits explain part of the decline. The state's oil and gas property tax fell from $215 million to $131 million over the period, and population grew less than 1%. The data cannot separate the effect of local caps such as Anchorage's from those forces.
Anchorage: in Oct. 2015 the Assembly loosened the tax cap's growth formula; voters reversed it in April 2016 with Proposition 8 (60%+), which also tied the cap to taxes collected (the looser formula had used the maximum allowable). Anchorage says property taxes have held steady since 1983 under the cap. In 2025 the Assembly drafted a sales tax structured partly "outside the tax cap" before postponing it indefinitely; Mayor LaFrance's 3% sales tax proposal (1% earmarked for property tax relief) was postponed indefinitely in January 2026 in exchange for a one-time $12 million school levy. In April 2026 voters rejected that levy, a $79 million school bond and a police facilities bond while approving seven of ten areawide measures; residents cited rising assessments and an appraisal method change (Anchorage Daily News).
Fairbanks: in June 2026 the City of Fairbanks council voted 5-1 to raise its rate from 5.833 to 6.381 mills, partly to pay a 2025 wrongful-conviction settlement, with a further payment due in 2027; the mayor said the usual formula would have produced 7.2 mills (Alaska's News Source, June 13, 2026). The Fairbanks North Star Borough held its FY2027 mill rate flat by drawing about $600,000 from its general fund (Alaska's News Source, May 31, 2026).
Matanuska-Susitna Borough: in 2018 the Assembly replaced its revenue-growth cap with a fixed 10.5-mill rate cap, which lets revenue rise with assessed values.
Revenue mix: property tax supplies 76% of local taxes (U.S.: 70%); local sales taxes (average 1.82%, up to 7.85%), bed taxes and fees fill the rest. Large resource projects often pay boroughs negotiated payments in lieu of taxes, which take the place of standard levies.</t>
        </is>
      </c>
      <c r="T3" s="4" t="inlineStr">
        <is>
          <t>- Alaska Policy Forum, "Testimony: Oppose New Property Taxes" (June 8, 2023; testimony dated April 18, 2023). CEO Bethany Marcum opposed SB 77, which would let boroughs and cities tax "blighted" property, because the bill set no guardrails on what counts as blight and protected only an owner's primary residence; she cited a New Orleans blight-tax effort that collected only 3% of the fines levied. https://alaskapolicyforum.org/2023/06/testimony-tax-blighted-property/
- Alaska Policy Forum and Tax Foundation, Jared Walczak, "Economic Implications of an Alaska Income Tax or Its Alternatives" (Oct. 4, 2022). A full report opposing a state income tax; it finds Alaska would need income tax burdens three times California's to match the average state's reliance on the tax, and it points to New Jersey, where an income tax adopted to cut school reliance on local property taxes "did not translate into lower property tax burdens" (effective rate 2.21% on owner-occupied housing against a 1.08% national average). https://alaskapolicyforum.org/2022/10/economic-implications-of-an-alaska-income-tax-or-its-alternatives/
- Alaska Policy Forum, "Alaska Property Taxes, Ranked" (Aug. 3, 2022). Summarizes the Tax Foundation's ranking (Alaska 24th on property tax burden) and argues that heavy reliance on property tax beats a state income or sales tax: property tax is more transparent, funds local services residents can see, and is already restrained by Alaska's rate and levy limits; urges residents to scrutinize school bonds and levies. https://alaskapolicyforum.org/2022/08/alaska-property-taxes-ranked/
- Americans for Prosperity-Alaska: no Alaska property tax item since 2021 was found.
Linked list: 3 items on the Analyses sheet (filter State = Alaska); every source URL is linked on the Sources sheet.</t>
        </is>
      </c>
      <c r="U3" s="4" t="inlineStr">
        <is>
          <t>2026: Governor Dunleavy sought to nearly eliminate state and municipal property taxes on the proposed Alaska LNG pipeline (HB 381 / SB 2001), replacing them with payments tied to gas throughput. The Senate passed a version narrowly in July; the House rejected it; a third special session ended Aug. 25, 2026 without action.
2026 (Anchorage): the mayor's sales tax proposal was tabled in January; in April voters rejected the school bond, the police bond and a one-time levy.
2025: Anchorage Assembly shelved a proposed sales tax (partly for property tax relief) in March.
2016: Anchorage voters tightened the tax cap (Prop 8). 2018: Mat-Su converted its cap to a 10.5-mill rate cap.
2025-2026 (34th Legislature): HB 169 (Rep. Tomaszewski, April 2, 2025) would have raised the mandatory senior and disabled-veteran exemption from $150,000 to $250,000 of assessed value; it never left House Community and Regional Affairs. SB 259 (Sen. Bjorkman, 2026) would have allowed an optional municipal limit on annual increases in the value of owner-occupied homes; it was referred to Senate Finance on April 28, 2026 and was not enacted. In Feb. 2025 Anchorage Assembly Member Sulte drafted a resolution urging the Legislature to authorize a cap modeled on Florida's "Save Our Homes."
2024: late in the session the Senate Finance Committee proposed tripling the senior exemption to $450,000; it did not become law (the 2025 HB 169 text still shows $150,000).
Nov. 3, 2026 ballot: Ballot Measure 2 (repeal top-four ranked-choice voting) and Ballot Measure 3 (citizenship requirement for voting); Ballot Measure 1 (campaign contribution limits) was on the Aug. 18 primary ballot. None concerns property tax.</t>
        </is>
      </c>
      <c r="V3" s="4" t="inlineStr">
        <is>
          <t>31st (0.94% effective rate; 1.00% in 2010)</t>
        </is>
      </c>
      <c r="W3" s="4" t="inlineStr">
        <is>
          <t>Alaska has a statutory rate cap (30 mills) and a per-capita levy ceiling, but no assessment cap, no truth-in-taxation and no statewide spending limit. Only 36 municipalities levy property tax at all. Restraint, where it exists, comes from voter-adopted municipal caps such as Anchorage's 1983 tax cap, which voters had to defend against Assembly loosening in 2016.</t>
        </is>
      </c>
      <c r="X3" s="4" t="inlineStr">
        <is>
          <t>https://www.commerce.alaska.gov/dcra/admin/Taxable/ViewFile/2de31798-e2aa-42c9-8a50-43e1c7c6ddb8
https://www.akleg.gov/basis/statutes.asp#29.45.090
https://www.akleg.gov/basis/statutes.asp#43.56
https://www.muni.org/Departments/Assembly/SiteAssets/Pages/FOCUS-Budget-and-Taxes/2026%20Property%20Taxes%20Fact%20Sheet.pdf
https://muni.org/Departments/Assembly/Documents/AIM%208-2025.pdf
https://www.adn.com/article/20160405/anchorage-voters-support-tax-cap-initiative-and-marijuana-taxes
https://matsugov.us/news/whistle-stop-mat-su-on-the-new-tax-cap
https://www.adn.com/politics/alaska-legislature/2026/08/25/3rd-special-session-on-alaska-lng-ending-after-lawmakers-decline-to-take-up-dunleavys-bill/
https://www.alaskasnewssource.com/2025/03/19/anchorage-sales-tax-proposal-go-before-voters-tuesday-night
https://www.lincolninst.edu/app/uploads/2025/01/levy_limits_2022.xlsx
https://law.justia.com/codes/alaska/title-29/chapter-45/article-1/section-29-45-090/
https://www.adn.com/alaska-news/anchorage/2026/01/14/lafrance-says-anchorage-sales-tax-conversations-will-continue-despite-tabling/
https://www.adn.com/alaska-news/anchorage/2026/05/12/tax-concerns-and-school-district-distrust-shaped-anchorages-mixed-municipal-election-results/
https://www.alaskasnewssource.com/2026/01/10/we-do-math-sales-tax-vs-property-taxes-which-saves-you-more-money/
https://www.akleg.gov/basis/Bill/Detail/34?Root=HB%20169
https://www.akleg.gov/pdf/34/Bills/HB0169A.pdf
https://www.akleg.gov/basis/Bill/Detail/34?Root=SB%20259
https://thealaskacurrent.com/2024/05/13/property-tax-cut/
https://muni.org/Departments/Assembly/Documents/DRAFT%20AR%20re%20Property%20Tax%20Excalation%20Limitations.pdf
https://www.alaskasnewssource.com/2026/06/13/city-fairbanks-establishes-tax-rate-current-year/
https://www.alaskasnewssource.com/2026/05/31/fairbanks-borough-assembly-passes-fy27-budget-with-no-increase-mill-rate/
https://alaskapolicyforum.org/2023/06/testimony-tax-blighted-property/
https://theballotbrief.com/measures/alaska</t>
        </is>
      </c>
    </row>
    <row r="4" ht="409" customHeight="1">
      <c r="A4" s="13" t="inlineStr">
        <is>
          <t>Arizona</t>
        </is>
      </c>
      <c r="B4" s="4" t="inlineStr">
        <is>
          <r>
            <rPr>
              <rFont val="Carlito"/>
              <b val="1"/>
              <sz val="14"/>
            </rPr>
            <t>A.</t>
          </r>
          <r>
            <rPr>
              <rFont val="Carlito"/>
              <sz val="11"/>
            </rPr>
            <t xml:space="preserve">
Restriction points 16.25 of 18 (spending limit 4; levy limit 4; assessment cap 2; rate cap 2; truth in taxation 1; rollback 1; supermajority 1; school districts covered 0.5; November-ballot rule 0.5; use restrictions 0.25). Deductions: built-in loopholes -1.5; workarounds in practice -1; state buydowns +0; data record +1. Total 14.75 = A (A 11+, B 8.5-10.9, C 5.5-8.4, D 3-5.4, F under 3).
Why: Built-in loopholes -1.5: secondary taxes for bonds, overrides and special districts sit outside the 1% and 2% caps; unused levy capacity carries forward; voters can replace city spending limits through home rule options; the Legislature waives the school expenditure limit every year. Workarounds -1: 23 cities raised primary taxes above truth-in-taxation limits for FY2027 and ten levied to their maximum (ATRA); Phoenix and Gilbert raised sales taxes and fees; the Yuma County Hospital District levied without an election. Buydowns 0: Additional State Aid ($416 million in FY2024) equals 4.3% of state and local property tax, below the 5% threshold. Record +1: real per-person collections fell 2.7% FY2002-FY2022 (U.S. +23.4%) and 9.7% FY2019-FY2024; real homeowner bills fell 11.0% 2010-2024; 1.94% of personal income.</t>
          </r>
        </is>
      </c>
      <c r="C4" s="4">
        <f>((LEFT(D4,3)="Yes")+(LEFT(E4,3)="Yes")+(LEFT(F4,3)="Yes")+(LEFT(G4,3)="Yes"))&amp;" of 4 in force"&amp;IF(((LEFT(D4,7)="Partial")+(LEFT(E4,7)="Partial")+(LEFT(F4,7)="Partial")+(LEFT(G4,7)="Partial"))&gt;0," + "&amp;((LEFT(D4,7)="Partial")+(LEFT(E4,7)="Partial")+(LEFT(F4,7)="Partial")+(LEFT(G4,7)="Partial"))&amp;" partial","")&amp;CHAR(10)&amp;CHAR(10)&amp;IF(LEFT(D4,3)="Yes","✓",IF(LEFT(D4,7)="Partial","◐","✗"))&amp;" Spending limit"&amp;CHAR(10)&amp;IF(LEFT(E4,3)="Yes","✓",IF(LEFT(E4,7)="Partial","◐","✗"))&amp;" Levy limit"&amp;CHAR(10)&amp;IF(LEFT(F4,3)="Yes","✓",IF(LEFT(F4,7)="Partial","◐","✗"))&amp;" Assessment cap"&amp;CHAR(10)&amp;IF(LEFT(G4,3)="Yes","✓",IF(LEFT(G4,7)="Partial","◐","✗"))&amp;" Rate cap"</f>
        <v/>
      </c>
      <c r="D4" s="4" t="inlineStr">
        <is>
          <r>
            <rPr>
              <rFont val="Carlito"/>
              <b val="1"/>
              <sz val="11"/>
            </rPr>
            <t>Yes.</t>
          </r>
          <r>
            <rPr>
              <rFont val="Carlito"/>
              <sz val="11"/>
            </rPr>
            <t xml:space="preserve">
Constitutional expenditure limit approved by voters June 3, 1980. Each county, city and town may spend "local revenues" only up to its fiscal 1979-80 base, adjusted every year for population growth and inflation (GDP implicit price deflator); the Economic Estimates Commission publishes each limit by April 1. Excluded from "local revenues": bond proceeds and debt service, federal grants, state-shared money counted under the state's own limit, investment earnings, voter-approved capital accumulations, intergovernmental contract payments and several smaller items.
Ways around it, all voter-approved: (1) a city or town "home rule option" (alternative expenditure limitation) adopted by majority vote at a regular candidate election, good for four fiscal years, then renewable; (2) a permanent base adjustment (2/3 of the council or an initiative, then majority of voters); (3) a one-time override for a specific amount (2/3 of the governing board plus majority of voters); (4) disaster spending (2/3 of the board if declared by the governor, 70% if not).
School districts are under a separate statewide aggregate expenditure limit (AEL): FY1979-80 local spending adjusted for enrollment and inflation, times 1.10. Only a 2/3 vote of each house of the Legislature can lift it, one year at a time. Community college districts have their own limit.
Authority: Ariz. Const. art. IX §20 (cities, towns, counties; 1980) and §21 (schools, community colleges; Prop 109, 1980).</t>
          </r>
        </is>
      </c>
      <c r="E4" s="4" t="inlineStr">
        <is>
          <r>
            <rPr>
              <rFont val="Carlito"/>
              <b val="1"/>
              <sz val="11"/>
            </rPr>
            <t>Yes.</t>
          </r>
          <r>
            <rPr>
              <rFont val="Carlito"/>
              <sz val="11"/>
            </rPr>
            <t xml:space="preserve">
Primary property tax levies of counties, cities, towns and community college districts may grow no more than 2% a year, plus taxes on property new to the rolls (new construction, annexations). The limit is figured from the maximum allowable levy each year even if a government levied less, so unused capacity carries forward; Prop 101 (2006) reset the base to the amount each government levied in 2005, beginning in 2007. Voters may approve levies above the limit.
Excluded: debt service and other long-term obligations; levies of special-purpose districts (fire, flood control, library, community facilities districts, etc.); county taxes collected for school districts. School district primary levies are instead fixed by the state-set Qualifying Tax Rate (see Rollback). Fire districts have a separate cap: the lesser of 1.08 times last year's levy or a rate ceiling the Legislature raised from $3.25 to $3.75 per $100 (2022-2024).
Authority: Ariz. Const. art. IX §19 (1980; amended by Prop 101, 2006); A.R.S. §42-17051; A.R.S. §48-807 (fire districts).</t>
          </r>
        </is>
      </c>
      <c r="F4" s="4" t="inlineStr">
        <is>
          <r>
            <rPr>
              <rFont val="Carlito"/>
              <b val="1"/>
              <sz val="11"/>
            </rPr>
            <t>Yes.</t>
          </r>
          <r>
            <rPr>
              <rFont val="Carlito"/>
              <sz val="11"/>
            </rPr>
            <t xml:space="preserve">
Limited Property Value (LPV): the taxable value of each parcel of locally assessed real property may rise no more than 5% a year over the prior year's LPV (and never above full cash value). LPV is used for both primary and secondary taxes since tax year 2015. There is no reset on sale: the limited value stays with the property when it changes hands. Before 2015 the cap was the greater of 10% or one-quarter of the gap to market value, and applied to primary taxes only.
Exceptions: new construction, additions and other modifications, changes of use, splits or combinations, and (since Laws 2025, ch. 96) property that loses the senior valuation freeze or a statutory valuation formula are valued at the LPV-to-market ratio of comparable property; the cap does not apply to mines, producing oil/gas/geothermal interests, utilities, pipelines, airline aircraft, standing timber or personal property.
Senior valuation freeze: owners 65+ with income under 400% of the SSI rate (500% for two or more owners) may freeze the value of their home after two years of residence.
Authority: Ariz. Const. art. IX §18(3)-(7) (Prop 117, approved Nov. 2012; senior freeze, Prop 104, 2000); A.R.S. §42-13301 et seq.</t>
          </r>
        </is>
      </c>
      <c r="G4" s="4" t="inlineStr">
        <is>
          <r>
            <rPr>
              <rFont val="Carlito"/>
              <b val="1"/>
              <sz val="11"/>
            </rPr>
            <t>Yes.</t>
          </r>
          <r>
            <rPr>
              <rFont val="Carlito"/>
              <sz val="11"/>
            </rPr>
            <t xml:space="preserve">
Primary property taxes on residential property from all taxing jurisdictions combined may not exceed 1% of the home's Limited Property Value ($10 per $100 of net assessed value on Class 3 owner-occupied homes).
Outside the 1% cap: taxes for bonds and other long-term debt; levies of special-purpose districts; and any tax approved by voters to exceed a budget, expenditure or tax limit (school and city overrides). These "secondary" taxes average roughly $4 per $100 of assessed value on top of primary rates around $7 (2023 data).
Who pays when the cap is breached: the state. When combined primary rates on a home exceed $10 per $100, the state backfills the excess through Additional State Aid, so local units face no requirement to coordinate lower rates (state cost for the 1% backfill is capped at $1 million per county, with the remainder apportioned by the Property Tax Oversight Commission).
Authority: Ariz. Const. art. IX §18(1)-(2) (1980); A.R.S. §15-972(E), (K).</t>
          </r>
        </is>
      </c>
      <c r="H4" s="4" t="inlineStr">
        <is>
          <r>
            <rPr>
              <rFont val="Carlito"/>
              <b val="1"/>
              <sz val="11"/>
            </rPr>
            <t>Partial.</t>
          </r>
          <r>
            <rPr>
              <rFont val="Carlito"/>
              <sz val="11"/>
            </rPr>
            <t xml:space="preserve">
School districts are outside the 2% levy limit and the city/county expenditure limit, but are covered by other limits: the statewide aggregate expenditure limit (AEL), the 1% residential cap on primary taxes, the 5% LPV cap, and a state-set Qualifying Tax Rate for their primary levy that must fall each year to offset value growth unless 2/3 of the Legislature votes otherwise. The AEL has been lifted by 2/3 legislative votes every recent year (FY2022 by $1.15 billion; also FY2025 and FY2026). Voter-approved overrides (up to 15% of the revenue control limit for maintenance and operations) and bonds sit outside the 1% cap.</t>
          </r>
        </is>
      </c>
      <c r="I4" s="4" t="inlineStr">
        <is>
          <r>
            <rPr>
              <rFont val="Carlito"/>
              <b val="1"/>
              <sz val="11"/>
            </rPr>
            <t>Partial.</t>
          </r>
          <r>
            <rPr>
              <rFont val="Carlito"/>
              <sz val="11"/>
            </rPr>
            <t xml:space="preserve">
No state-levied property tax since Laws 2022, ch. 317 repealed the State Equalization Assistance Property Tax Rate beginning FY2023. The state still sets the Qualifying Tax Rate every school district must levy as its local share of the K-12 formula; the revenue stays with the district and offsets state aid, so it functions as a state-set uniform school levy, collected locally.</t>
          </r>
        </is>
      </c>
      <c r="J4" s="4" t="inlineStr">
        <is>
          <r>
            <rPr>
              <rFont val="Carlito"/>
              <b val="1"/>
              <sz val="11"/>
            </rPr>
            <t>Partial.</t>
          </r>
          <r>
            <rPr>
              <rFont val="Carlito"/>
              <sz val="11"/>
            </rPr>
            <t xml:space="preserve">
No general homestead exemption. Owner-occupied homes are assessed at 10% of LPV (commercial property 16% in FY2026, falling to 15% by FY2028). The constitutional exemption for widows, widowers and persons with disabilities removes $4,873 of assessed LPV in tax year 2026 if total Arizona property is under $36,454 of assessed value and household income is under $39,865 ($47,826 with minor children).
Authority: Ariz. Const. art. IX §2.1-2.2; A.R.S. §42-11111.</t>
          </r>
        </is>
      </c>
      <c r="K4" s="4" t="inlineStr">
        <is>
          <r>
            <rPr>
              <rFont val="Carlito"/>
              <b val="1"/>
              <sz val="11"/>
            </rPr>
            <t>Yes.</t>
          </r>
          <r>
            <rPr>
              <rFont val="Carlito"/>
              <sz val="11"/>
            </rPr>
            <t xml:space="preserve">
Homeowner's Rebate: the state pays 50% of each owner-occupied home's school district primary tax at the Qualifying Tax Rate (47.19% before 2022), up to $600 per home; it appears as a credit on the bill.
1% cap credit: any primary tax above 1% of LPV is credited on the bill and paid by the state (see Rate limits).
Property Tax Refund Credit: small refundable income tax credit for very-low-income owners and renters age 65+ or on SSI.
Authority: A.R.S. §15-972; §43-1072.</t>
          </r>
        </is>
      </c>
      <c r="L4" s="4" t="inlineStr">
        <is>
          <r>
            <rPr>
              <rFont val="Carlito"/>
              <b val="1"/>
              <sz val="11"/>
            </rPr>
            <t>Yes.</t>
          </r>
          <r>
            <rPr>
              <rFont val="Carlito"/>
              <sz val="11"/>
            </rPr>
            <t xml:space="preserve">
Additional State Aid pays school districts for the Homeowner's Rebate, which cuts the school district primary tax on each owner-occupied home by up to 50% of the qualifying tax rate, capped at $600 per parcel. It also pays for credits that hold a home's combined primary property taxes to 1% of full cash value. Both reductions are applied on the tax bill. The General Fund appropriation is $531.6 million in FY2026 and $552.0 million in FY2027, including $4.6 million for the cut in the commercial assessment ratio to 15.5% and $825,000 for the higher business personal property exemption.
Authority: Ariz. Const. art. IX, § 18; A.R.S. § 15-972; A.R.S. § 41-1276; JLBC FY2027 Appropriations Report (Department of Education).</t>
          </r>
        </is>
      </c>
      <c r="M4" s="4" t="inlineStr">
        <is>
          <r>
            <rPr>
              <rFont val="Carlito"/>
              <b val="1"/>
              <sz val="11"/>
            </rPr>
            <t>Partial.</t>
          </r>
          <r>
            <rPr>
              <rFont val="Carlito"/>
              <sz val="11"/>
            </rPr>
            <t xml:space="preserve">
Counties, cities, towns and community college districts: if the proposed primary levy, excluding new construction, exceeds the prior year's levy, the governing body must publish a "Truth in Taxation Hearing - Notice of Tax Increase" twice in a newspaper (or mail it to all registered voters), issue a press release, hold a hearing, and adopt the increase by roll-call vote. An increase of 15% or more requires a unanimous roll call. A body that skips the procedure may not levy more than last year's amount plus new construction. Schools follow a parallel statute; the Legislature itself must hold a TnT hearing and win 2/3 of each house to set school Qualifying Tax Rates above the "truth in taxation rate."
Coded Partial because Arizona meets one of the three key truth-in-taxation requirements (a rollback rate calculation, mailed parcel-specific notices and a governing-body vote to exceed the rollback rate).
Authority: A.R.S. §42-17107; §15-905.01; §41-1276(E)-(G).</t>
          </r>
        </is>
      </c>
      <c r="N4" s="4" t="inlineStr">
        <is>
          <r>
            <rPr>
              <rFont val="Carlito"/>
              <b val="1"/>
              <sz val="11"/>
            </rPr>
            <t>Yes.</t>
          </r>
          <r>
            <rPr>
              <rFont val="Carlito"/>
              <sz val="11"/>
            </rPr>
            <t xml:space="preserve">
For school taxes, rollback is automatic: each year the Joint Legislative Budget Committee computes Qualifying Tax Rates that offset the change in net assessed value, and those rates apply unless 2/3 of each house votes for higher ones. For counties, cities and community colleges the 2% levy limit and the TnT hearing/roll-call requirement serve the same purpose.
Authority: A.R.S. §41-1276; §42-17051; §42-17107.</t>
          </r>
        </is>
      </c>
      <c r="O4" s="4" t="inlineStr">
        <is>
          <r>
            <rPr>
              <rFont val="Carlito"/>
              <b val="1"/>
              <sz val="11"/>
            </rPr>
            <t>Yes.</t>
          </r>
          <r>
            <rPr>
              <rFont val="Carlito"/>
              <sz val="11"/>
            </rPr>
            <t xml:space="preserve">
Governing-body supermajorities: 2/3 of a city, town or county board to refer a one-time override or permanent base adjustment (plus majority voter approval); 2/3 for disaster spending declared by the governor; 70% for undeclared disasters; unanimous roll call for a primary levy increase of 15% or more. State level: 2/3 of each house to waive the school AEL or to set school tax rates above the TnT rate. Voter approval of overrides and bonds is by simple majority.
Authority: Ariz. Const. art. IX §20(2), (6); §21(3); A.R.S. §42-17107(A)(4); §41-1276(G).</t>
          </r>
        </is>
      </c>
      <c r="P4" s="4" t="inlineStr">
        <is>
          <r>
            <rPr>
              <rFont val="Carlito"/>
              <b val="1"/>
              <sz val="11"/>
            </rPr>
            <t>Yes.</t>
          </r>
          <r>
            <rPr>
              <rFont val="Carlito"/>
              <sz val="11"/>
            </rPr>
            <t xml:space="preserve">
Any election authorizing secondary property taxes (bonds, budget overrides) by a county, city, town, school district, community college district or special taxing district must be held on the November general election date. Elections to authorize or raise city, town or county transaction privilege (sales) taxes may be held only in November of even-numbered years. Home rule (alternative expenditure limit) votes may be held at the city's regular candidate election, which can fall in spring.
Authority: A.R.S. §16-204(F)(4) (and parallel paragraphs).</t>
          </r>
        </is>
      </c>
      <c r="Q4" s="4" t="inlineStr">
        <is>
          <r>
            <rPr>
              <rFont val="Carlito"/>
              <b val="1"/>
              <sz val="11"/>
            </rPr>
            <t>Partial.</t>
          </r>
          <r>
            <rPr>
              <rFont val="Carlito"/>
              <sz val="11"/>
            </rPr>
            <t xml:space="preserve">
Primary levies are general-purpose. Secondary levies are restricted to their voter-approved purpose: bond debt service, a specific override, or a special district's function (fire, flood control, library, jail, community facilities). School override revenue must be spent within the override's stated purpose and term.</t>
          </r>
        </is>
      </c>
      <c r="R4" s="4" t="inlineStr">
        <is>
          <t>15 counties; 91 cities and towns; school districts (242 independent districts in the Census count; charter schools do not tax); 10 community college districts; special taxing districts under Title 48, including 145 fire districts, county flood control and library districts, hospital and health districts, irrigation and electrical districts, sanitary districts, street lighting improvement districts and developer-formed community facilities districts (CFDs). Census of Governments 2022: 674 local governments, including 326 special districts.</t>
        </is>
      </c>
      <c r="S4" s="4" t="inlineStr">
        <is>
          <t>Verdict: Worked. Property tax per person fell 7.7% after inflation from FY2002 to FY2024 while the U.S. figure rose 25.9%, though Additional State Aid, a $531.6 million state subsidy of homeowners' school taxes in FY2026, counts against Arizona.
Why it leaks: Secondary taxes for debt and voter-approved overrides sit outside the 1% residential cap and the 2% primary levy limit (Ariz. Const. art. IX, §§18-19). The Legislature has waived the school aggregate expenditure limit year after year. Because the state backfills rates above 1%, local units face no requirement to coordinate lower rates.
How localities get around it: The Yuma County Hospital District had the Board of Supervisors levy its tax for three years with no election. Cities replace the 1980 expenditure limit through home rule votes or permanent base adjustments, such as Marana's Prop 495.
Full record:
Has it worked? Yes, by every measure used here, though every layer has a release valve and part of the 1% cap's cost lands on state taxpayers.
The record (Census, BEA, ACS): state and local property tax was $1,269 per person in FY2024 (U.S. $2,132), 1.94% of personal income (42nd-highest of 50; U.S. 2.89%). After inflation, collections per person (all state and local property tax divided by residents) fell 7.7% from FY2002 to FY2024 (U.S. +25.9%) and fell 9.7% from FY2019 to FY2024 (U.S. -1.1%). The median homeowner paid $1,828 in 2024 (U.S. $3,211); the median bill fell 11.0% after inflation from 2010 to 2024 (U.S. +9.3%). The Tax Foundation's 2026 ranking puts its effective property tax rate on owner-occupied homes at 0.48%, 4th-lowest of 50. By the same measure it was 0.57% in 2010 (U.S. 1.00% in 2010, 0.94% in 2024).
The 5% cap on limited property value (Prop 117, in force since 2015) and the 2% primary levy limit keep most of the growth in values off homeowners' bills.
Expenditure limit: the 1980 formula binds, so cities routinely ask voters to replace it; home rule options (4-year alternative limits) and permanent base adjustments are common (e.g., Sedona, San Luis home rule; Marana permanent base adjustment, Prop 495). The school AEL has been exceeded and waived by the Legislature year after year (by $1.15 billion for FY2022).
Secondary taxes: bonds, voter overrides and special districts sit outside the 1% cap and the 2% levy limit. Some districts skip the vote entirely: the Yuma County Hospital District had the Board of Supervisors levy its tax for three years with no election; after a Goldwater Institute suit the district deposited more than $4 million with the county treasurer in 2025 to credit back on 2025-26 bills, and the tax ended. Developer-formed community facilities districts put additional property taxes on new subdivisions; fire districts gained higher rate ceilings in 2022-2024.
Truth in taxation: for FY2027, 23 cities and towns raised primary property taxes above their truth-in-taxation limits (largest: Kearny 24.3%, Huachuca City 9.1%, Clarkdale 8.4%, Flagstaff 6.9%, Prescott 6.1%, Surprise 6%) and ten levied to their constitutional maximum. Only Peoria and Phoenix included the required notice in their budgets. City primary levies total $499.4 million (up 4.5%), plus $491 million in secondary taxes for voter-approved bonds (Arizona Tax Research Association, Sept./Oct. 2026).
Reserves: city general fund cash reached $4.6 billion in FY2027, 46.6% of general fund budgets and up 64% since FY2022; 19 cities hold reserves above 100% of a year's spending, led by Paradise Valley (387.6%) and Queen Creek (367.2%) (ATRA). Cities raising taxes sit on cash well above the 15% the Government Finance Officers Association recommends.
Big cities: Phoenix raised its sales tax by half a point to 2.8% in July 2025 and its primary levy by 1.22%; Gilbert raised its sales tax from 1.5% to 2% and added a 2% use tax in Jan. 2025, and its water bills rose 50% in 2024 and another 25% in April 2025 (Arizona Free Enterprise Club, Dec. 4, 2025).
State backfill: local units are never required to keep combined primary rates under 1%; the state backfills the overage through Additional State Aid (its cost for the 1% backfill is capped at $1 million per county, with the rest apportioned by the Property Tax Oversight Commission) plus a 50% school-tax rebate, about $532 million in FY2026, a subsidy that shields local governments from the consequences of their own rates.
Revenue shift: Arizona cities fund operations mainly with transaction privilege (sales) taxes, including taxes on groceries in many cities. Sales taxes supply 38% of local tax revenue (U.S.: 18.5%) and property tax 57.6% (U.S.: 70%) (Census, FY2022); the combined sales tax rate averages 8.52%. Mesa, the third-largest city, levies no primary property tax at all.</t>
        </is>
      </c>
      <c r="T4" s="4" t="inlineStr">
        <is>
          <t>- Arizona Tax Research Association, "City Budgets Maintain Strong Reserves—TNT Noncompliance Remains a Problem" (Sept.-Oct. 2026 newsletter). City and town property taxes reach $991 million in FY2027, up 22.8% in five years and 56.8% in ten; of the 23 cities and towns subject to truth-in-taxation requirements, only Peoria and Phoenix included the required notices in their budgets, while city cash reserves reached $4.6 billion (46.6% of general fund budgets). https://www.arizonatax.org/sites/default/files/publications/newsletters/file/ATRA%20Sept%20Oct%202026%20Newsletter.pdf
- Arizona Free Enterprise Club, "Addressing Affordability in the 2026 Legislative Session" (Jan. 7, 2026). Says cities and towns have been raising sales and use taxes, fees and rates even as the Legislature cut taxes, and urges a moratorium on local tax, rate and fee hikes, voter approval for any local tax increase, "absolute caps on local tax rates," and an end to property tax hikes that support empty and underused schools. https://azfree.org/blog/2026/01/07/addressing-affordability-in-the-2026-legislative-session/
- Arizona Free Enterprise Club, "The Arizona Free Enterprise Club recommends that Maricopa County voters vote NO on Proposition 409" (Oct. 28, 2025). Opposed Valleywise Health's $898 million bond, which would stack 30 more years of debt on Maricopa County homeowners on top of the $935 million bond voters approved in 2014, and objected to placing it on an off-cycle, low-turnout ballot. Voters approved it in November 2025. https://azfree.org/blog/2025/10/28/the-arizona-free-enterprise-club-recommends-that-maricopa-county-voters-vote-no-on-proposition-409/
- Goldwater Institute, "Yuma County Refunding Illegal Property Tax after Goldwater Legal Challenge" (Aug. 22, 2025). The Yuma County Hospital District had the county levy its tax for three years without the election state law requires; after Goldwater sued in 2023, the district put up more than $4 million, every dollar collected, as credits on 2025-26 bills, and the tax ended. https://www.goldwaterinstitute.org/yuma-county-hospital-district-treasurer-refunding-illegal-property-tax-after-goldwater-legal-challenge/
- Common Sense Institute Arizona, Glenn Farley, "Arizona Prop. 312 The Fiscal &amp; Economic Consequences of Unmitigated Public Nuisances" (Sept. 25, 2024). Analysis of the Goldwater-drafted measure letting owners claim property tax refunds for documented costs when a city or county fails to enforce laws on illegal camping and similar nuisances; it finds estimated market rents for commercial property in the affected parts of Phoenix rose only 15.7% from 2019 to 2023, about half the citywide rate. https://commonsenseinstituteus.org/arizona/research/ballot-issues/arizona-prop-312/
- Goldwater Institute, "Goldwater Sues to Stop Phoenix's $7 Million Property Tax Shell Game" (May 6, 2022). Challenges Phoenix's use of a government property lease (GPLET) to let a downtown high-rise developer skip eight years of property tax, shifting the cost to other taxpayers, in violation of the state constitution's gift clause. https://www.goldwaterinstitute.org/?p=36407
- Common Sense Institute Arizona, Glenn Farley, "HB 2822 &amp; The Taxation of Business Personal Property" (April 19, 2022). Business taxpayers hold less than 20% of property value but pay over 35% of property taxes, and a business with $500,000 of real property might pay $11,887 a year against $5,250 for a home of the same value; it adds that the Homeowner's Rebate, in which the state general fund pays 6% of all property tax payments to school districts, "potentially encourages residential property owners to favor higher property tax rates." https://commonsenseinstituteus.org/arizona/research/taxes-and-fees/hb-2822-the-taxation-of-business-personal-property/
- AZ Liberty Network (State Policy Network affiliate): no property tax report since 2021 was found.
- Americans for Prosperity-Arizona: no property tax item since 2021 was found.
Linked list: 10 items on the Analyses sheet (filter State = Arizona); every source URL is linked on the Sources sheet.</t>
        </is>
      </c>
      <c r="U4" s="4" t="inlineStr">
        <is>
          <t>2012: Prop 117 replaced the old 10%/25% valuation rule with the 5% LPV cap (effective 2015).
2022: Legislature repealed the state equalization property tax (Laws 2022, ch. 317) and scheduled commercial assessment ratio cuts to 15% by FY2028 (Laws 2022, ch. 171); Homeowner's Rebate share raised to 50%.
2022-2025: AEL waivers for school districts passed by 2/3 votes (HCR 2039 for FY2022; HCR 2065 for FY2025; SCR 1041 for FY2026).
Nov. 2024: Prop 312 approved (58.6%): owners may claim property tax refunds for costs caused when a city fails to enforce nuisance laws (illegal camping, loitering and similar).
2025 and 2026: Gov. Hobbs vetoed bills requiring bond and override pamphlets to show the tax effect on $100,000 and $300,000 homes (HB 2289 in 2026, a similar bill in 2025) and vetoed HB 2261 on agricultural valuation (2026). She signed Rep. Michael Carbone's expansion of the disabled veterans' exemption, effective for the 2026 tax year (Feb. 12, 2026).
2025 laws: SB 1224 (Laws 2025, ch. 96) resets limited value to the level of comparable property when a home loses the senior valuation freeze or a statutory valuation formula; SB 1122 (ch. 16) changed the inflation index for the widow, disability and veteran exemptions; SB 1700 (ch. 76) bars county boards of equalization from raising values above the assessor's notice.
Nov. 3, 2026 ballot: eight legislative referrals, none of which changes property tax. Prop 316 (HCR 2021) would require voter approval for city and town taxes on food and cap them at 2% in aggregate; Prop 141 would bar taxes or fees based on miles driven.</t>
        </is>
      </c>
      <c r="V4" s="4" t="inlineStr">
        <is>
          <t>4th (0.48% effective rate; 0.57% in 2010)</t>
        </is>
      </c>
      <c r="W4" s="4" t="inlineStr">
        <is>
          <t>Arizona is the only state with all four regimes in strong form: a 1980 constitutional spending limit (population plus inflation), a 2% levy limit on primary taxes, a 5% assessment cap with no reset on sale, and a 1% residential rate cap. The caveats: voters can and do override the spending limit, and the Legislature waives the school limit every year. Secondary taxes (bonds, overrides, special districts) sit outside the 1% and 2% caps. The 1% cap is enforced by a state subsidy (about $532 million in FY2026); local rates are never forced down.</t>
        </is>
      </c>
      <c r="X4" s="4" t="inlineStr">
        <is>
          <t>https://www.azleg.gov/const/9/18.htm
https://www.azleg.gov/const/9/19.htm
https://www.azleg.gov/const/9/20.htm
https://www.azleg.gov/const/9/21.htm
https://www.azleg.gov/ars/42/17107.htm
https://www.azleg.gov/ars/16/00204.htm
https://www.azleg.gov/ars/15/00972.htm
https://www.azleg.gov/ars/41/01276.htm
https://www.azleg.gov/ars/48/00807.htm
https://www.azjlbc.gov/26AR/ade.pdf
https://www.azjlbc.gov/units/tntletter080122.pdf
https://www.azleg.gov/legtext/57leg/1R/summary/H.SCR1041_063025_TRANSMITTED.DOCX.htm
https://azleg.gov/legtext/55leg/2R/summary/H.HCR2039_021522_TRANSMITTED.DOCX.htm
https://www.azauditor.gov/resources/cities-and-towns/faqs
https://mohave.gov/departments/assessor/program-enrollment/exemptions
https://ballotpedia.org/Arizona_Property_Tax_Refund_for_Non-Enforcement_of_Public_Nuisance_Laws_Measure_(2024)
https://taxfoundation.org/research/state-tax/2026-state-tax-ballot-measures/
https://apps.azsos.gov/election/2012/info/PubPamphlet/english/prop117.htm
https://www.azleg.gov/ars/42/13302.htm
https://www.kjzz.org/text/politics/2026-02-26/arizona-gov-katie-hobbs-vetoed-these-bills-in-2026
https://www.kjzz.org/politics/2026-02-13/bill-to-expand-property-tax-exemptions-for-disabled-veterans-passes-arizona-legislature
https://www.goldwaterinstitute.org/yuma-county-hospital-district-treasurer-refunding-illegal-property-tax-after-goldwater-legal-challenge/
https://www.arizonatax.org/sites/default/files/publications/newsletters/file/ATRA%20Sept%20Oct%202026%20Newsletter.pdf
https://azfree.org/blog/2025/12/04/arizonas-local-tax-trap-how-cities-are-destroying-affordability/
https://azfree.org/blog/2026/07/07/another-month-another-onslaught-of-municipal-tax-and-fee-increases/
https://www.cavanaghlaw.com/post/arizona-salt-newsletter-vol-15-summary-of-2025-arizona-tax-legislation
https://www.azmed.org/eight-statewide-ballot-measures-set-for-arizonas-november-election</t>
        </is>
      </c>
    </row>
    <row r="5" ht="409" customHeight="1">
      <c r="A5" s="13" t="inlineStr">
        <is>
          <t>Arkansas</t>
        </is>
      </c>
      <c r="B5" s="4" t="inlineStr">
        <is>
          <r>
            <rPr>
              <rFont val="Carlito"/>
              <b val="1"/>
              <sz val="14"/>
            </rPr>
            <t>C.</t>
          </r>
          <r>
            <rPr>
              <rFont val="Carlito"/>
              <sz val="11"/>
            </rPr>
            <t xml:space="preserve">
Restriction points 8.5 of 18 (levy limit 2; assessment cap 2; rate cap 2; rollback 1; school districts covered 1; use restrictions 0.5). Deductions: built-in loopholes -1; workarounds in practice -0.5; state buydowns -1.5; data record +0. Total 5.5 = C (A 11+, B 8.5-10.9, C 5.5-8.4, D 3-5.4, F under 3).
Why: Built-in loopholes -1: the 10% revenue rollback works only in reappraisal years and excludes new construction, school millage has a 25-mill floor and no ceiling, and millage may rise to meet debt service. Workarounds -0.5: local governments lean on sales taxes (58.9% of local tax revenue) and keep putting new sales taxes to voters (Fayetteville, El Dorado, 2026). Buydowns -1.5: the state-paid homestead credit, financed by a statewide sales tax, equaled roughly 8% to 9% of FY2024 state and local property tax. Record 0: a low level (1.62% of personal income; 0.52% effective rate) offsets fast growth (real per-person collections up 42.4% FY2002-FY2022, U.S. 23.4%; real homeowner bills up 26.8% 2010-2024, U.S. 9.3%).</t>
          </r>
        </is>
      </c>
      <c r="C5" s="4">
        <f>((LEFT(D5,3)="Yes")+(LEFT(E5,3)="Yes")+(LEFT(F5,3)="Yes")+(LEFT(G5,3)="Yes"))&amp;" of 4 in force"&amp;IF(((LEFT(D5,7)="Partial")+(LEFT(E5,7)="Partial")+(LEFT(F5,7)="Partial")+(LEFT(G5,7)="Partial"))&gt;0," + "&amp;((LEFT(D5,7)="Partial")+(LEFT(E5,7)="Partial")+(LEFT(F5,7)="Partial")+(LEFT(G5,7)="Partial"))&amp;" partial","")&amp;CHAR(10)&amp;CHAR(10)&amp;IF(LEFT(D5,3)="Yes","✓",IF(LEFT(D5,7)="Partial","◐","✗"))&amp;" Spending limit"&amp;CHAR(10)&amp;IF(LEFT(E5,3)="Yes","✓",IF(LEFT(E5,7)="Partial","◐","✗"))&amp;" Levy limit"&amp;CHAR(10)&amp;IF(LEFT(F5,3)="Yes","✓",IF(LEFT(F5,7)="Partial","◐","✗"))&amp;" Assessment cap"&amp;CHAR(10)&amp;IF(LEFT(G5,3)="Yes","✓",IF(LEFT(G5,7)="Partial","◐","✗"))&amp;" Rate cap"</f>
        <v/>
      </c>
      <c r="D5" s="4" t="inlineStr">
        <is>
          <r>
            <rPr>
              <rFont val="Carlito"/>
              <b val="1"/>
              <sz val="11"/>
            </rPr>
            <t>No.</t>
          </r>
          <r>
            <rPr>
              <rFont val="Carlito"/>
              <sz val="11"/>
            </rPr>
            <t xml:space="preserve">
No cap on growth in local budgets or appropriations. Counties, cities and school districts must balance their budgets, which is a balanced-budget rule and not a growth limit. (The "balanced budget amendment" cited in earlier versions of this matrix does not cap local spending growth.)</t>
          </r>
        </is>
      </c>
      <c r="E5" s="4" t="inlineStr">
        <is>
          <r>
            <rPr>
              <rFont val="Carlito"/>
              <b val="1"/>
              <sz val="11"/>
            </rPr>
            <t>Partial.</t>
          </r>
          <r>
            <rPr>
              <rFont val="Carlito"/>
              <sz val="11"/>
            </rPr>
            <t xml:space="preserve">
Rollback-style levy cap after reappraisal only. When a countywide reappraisal raises a taxing unit's total assessed value by 10% or more (excluding new construction and newly discovered property), the unit must roll back its millage so that property tax revenue rises no more than 10% over the prior year. Tangible personal property and utility property are excluded from the calculation, and millage may be adjusted upward if needed to meet debt service. School maintenance-and-operation millage cannot fall below the 25-mill uniform rate of tax. Between reappraisals (every 3 or 5 years) there is no levy-growth limit.
Authority: Ark. Const. amend. 59 (ratified 1980, 649,307 to 152,629), as modified by amend. 74 (1996) and amend. 79 (2000).</t>
          </r>
        </is>
      </c>
      <c r="F5" s="4" t="inlineStr">
        <is>
          <r>
            <rPr>
              <rFont val="Carlito"/>
              <b val="1"/>
              <sz val="11"/>
            </rPr>
            <t>Yes.</t>
          </r>
          <r>
            <rPr>
              <rFont val="Carlito"/>
              <sz val="11"/>
            </rPr>
            <t xml:space="preserve">
After a countywide reappraisal, the assessed value of a homestead may rise no more than 5% a year, and other real property no more than 10% a year, until the reappraised value is reached. Excluded: newly discovered property, new construction and substantial improvements (25%+ of value). The limit carries no reset-on-sale rule; a transferred parcel is valued at the next countywide reappraisal. Homeowners who are 65+ or disabled have the assessed value of their homestead frozen (it can only fall).
Assessment ratio: 20% of market value for all property.
Authority: Ark. Const. amend. 79 (approved Nov. 2000); DFA Assessment Coordination Division.</t>
          </r>
        </is>
      </c>
      <c r="G5" s="4" t="inlineStr">
        <is>
          <r>
            <rPr>
              <rFont val="Carlito"/>
              <b val="1"/>
              <sz val="11"/>
            </rPr>
            <t>Yes.</t>
          </r>
          <r>
            <rPr>
              <rFont val="Carlito"/>
              <sz val="11"/>
            </rPr>
            <t xml:space="preserve">
Constitutional millage caps by purpose. Counties: up to 21 mills (5 general, 5 bonded debt, 5 library operations, 3 library capital, 3 roads). Cities: up to 20 mills (5 general, 5 bonded debt, 5 library operations, 3 library capital, 1 police pension, 1 firefighter pension). School districts: a mandatory minimum of 25 mills for maintenance and operation and no maximum. Every levy except city and county general millage and county road millage requires voter approval, and all school millage changes require voter approval.
Authority: Ark. Const. art. 12 §4 (cities) and art. 16 §9 (counties), with later amendments authorizing library, road and pension millage; amend. 74 (25-mill school minimum).</t>
          </r>
        </is>
      </c>
      <c r="H5" s="4" t="inlineStr">
        <is>
          <r>
            <rPr>
              <rFont val="Carlito"/>
              <b val="1"/>
              <sz val="11"/>
            </rPr>
            <t>Yes.</t>
          </r>
          <r>
            <rPr>
              <rFont val="Carlito"/>
              <sz val="11"/>
            </rPr>
            <t xml:space="preserve">
School millage is covered by the reappraisal rollback (above the 25-mill floor), the Amendment 79 assessment caps and the homestead credit, and any change in school millage needs voter approval. Schools receive about 80% of property tax revenue in Arkansas (Association of Arkansas Counties).</t>
          </r>
        </is>
      </c>
      <c r="I5" s="4" t="inlineStr">
        <is>
          <r>
            <rPr>
              <rFont val="Carlito"/>
              <b val="1"/>
              <sz val="11"/>
            </rPr>
            <t>Yes.</t>
          </r>
          <r>
            <rPr>
              <rFont val="Carlito"/>
              <sz val="11"/>
            </rPr>
            <t xml:space="preserve">
The 25-mill Uniform Rate of Tax (URT) for school maintenance and operation is set by the Constitution and levied in every school district. The revenue stays in the district and is counted as local revenue in the state foundation funding formula, so it works as a statewide school levy that offsets state aid. The Census Bureau classifies URT revenue as a state tax (about $1.32 billion in FY2022).
Authority: Ark. Const. amend. 74 (1996).</t>
          </r>
        </is>
      </c>
      <c r="J5" s="4" t="inlineStr">
        <is>
          <r>
            <rPr>
              <rFont val="Carlito"/>
              <b val="1"/>
              <sz val="11"/>
            </rPr>
            <t>Partial.</t>
          </r>
          <r>
            <rPr>
              <rFont val="Carlito"/>
              <sz val="11"/>
            </rPr>
            <t xml:space="preserve">
No homestead value exemption. Homeowners receive the state-funded Homestead Property Tax Credit instead (see Credits), plus the Amendment 79 5% assessment cap and the 65+/disabled freeze. Disabled veterans (and certain surviving spouses) are fully exempt on their homestead.
Authority: Ark. Const. amend. 79; Ark. Code Ann. §26-26-1118.</t>
          </r>
        </is>
      </c>
      <c r="K5" s="4" t="inlineStr">
        <is>
          <r>
            <rPr>
              <rFont val="Carlito"/>
              <b val="1"/>
              <sz val="11"/>
            </rPr>
            <t>Yes.</t>
          </r>
          <r>
            <rPr>
              <rFont val="Carlito"/>
              <sz val="11"/>
            </rPr>
            <t xml:space="preserve">
Homestead Property Tax Credit: a flat credit on the tax bill of every owner-occupied homestead. It has risen from $300 (2000) to $350, $375, $425 (2023), $500 (2024) and $600 (SB 263 of 2025, first applied to 2026 tax bills). The 2026 fiscal session raised it to $675 (HB 1103, Act 174 of 2026; DFA cost $39.8 million in 2027).
Authority: Ark. Code Ann. §26-26-1118.</t>
          </r>
        </is>
      </c>
      <c r="L5" s="4" t="inlineStr">
        <is>
          <r>
            <rPr>
              <rFont val="Carlito"/>
              <b val="1"/>
              <sz val="11"/>
            </rPr>
            <t>Yes.</t>
          </r>
          <r>
            <rPr>
              <rFont val="Carlito"/>
              <sz val="11"/>
            </rPr>
            <t xml:space="preserve">
The homestead property tax credit reduces the real property tax bill on every homestead, and the state reimburses counties for the credits from the Property Tax Relief Trust Fund, which is funded by a statewide half-cent sales tax enacted in 2000 with Amendment 79. Act 330 of 2025 raised the credit from $500 to $600, and Act 174 of 2026 raised it to $675 for assessment years beginning in 2026. DFA estimates the latest increase adds $39.8 million in credits in 2027.
Authority: Ark. Const. amend. 79; Ark. Code Ann. §§ 26-26-1118, 26-26-310; Act 330 of 2025; Act 174 of 2026; DFA Fiscal Impact Statement, HB1103 (2026).</t>
          </r>
        </is>
      </c>
      <c r="M5" s="4" t="inlineStr">
        <is>
          <r>
            <rPr>
              <rFont val="Carlito"/>
              <b val="1"/>
              <sz val="11"/>
            </rPr>
            <t>No.</t>
          </r>
          <r>
            <rPr>
              <rFont val="Carlito"/>
              <sz val="11"/>
            </rPr>
            <t/>
          </r>
        </is>
      </c>
      <c r="N5" s="4" t="inlineStr">
        <is>
          <r>
            <rPr>
              <rFont val="Carlito"/>
              <b val="1"/>
              <sz val="11"/>
            </rPr>
            <t>Yes.</t>
          </r>
          <r>
            <rPr>
              <rFont val="Carlito"/>
              <sz val="11"/>
            </rPr>
            <t xml:space="preserve">
Mandatory millage rollback after countywide reappraisal when assessed value rises 10% or more (see Levy limit); revenue growth from reappraisal is limited to 10%. No rollback between reappraisals.</t>
          </r>
        </is>
      </c>
      <c r="O5" s="4" t="inlineStr">
        <is>
          <r>
            <rPr>
              <rFont val="Carlito"/>
              <b val="1"/>
              <sz val="11"/>
            </rPr>
            <t>No.</t>
          </r>
          <r>
            <rPr>
              <rFont val="Carlito"/>
              <sz val="11"/>
            </rPr>
            <t xml:space="preserve">
Millage questions pass by simple majority of voters. Quorum courts and city councils set general and county road millage within the caps by ordinary vote.</t>
          </r>
        </is>
      </c>
      <c r="P5" s="4" t="inlineStr">
        <is>
          <r>
            <rPr>
              <rFont val="Carlito"/>
              <b val="1"/>
              <sz val="11"/>
            </rPr>
            <t>No.</t>
          </r>
          <r>
            <rPr>
              <rFont val="Carlito"/>
              <sz val="11"/>
            </rPr>
            <t xml:space="preserve">
School millage changes are usually decided at the annual school election, now held in March (Act 503 of 2025), or at special elections; city and county millage questions can go on general or special election ballots.</t>
          </r>
        </is>
      </c>
      <c r="Q5" s="4" t="inlineStr">
        <is>
          <r>
            <rPr>
              <rFont val="Carlito"/>
              <b val="1"/>
              <sz val="11"/>
            </rPr>
            <t>Yes.</t>
          </r>
          <r>
            <rPr>
              <rFont val="Carlito"/>
              <sz val="11"/>
            </rPr>
            <t xml:space="preserve">
Constitutional millage is earmarked by purpose: county and city general, bonded debt, library operations, library capital, county roads, police and firefighter pensions. School millage is dedicated to maintenance and operation or to debt service as approved by voters. Money from a dedicated levy may not be used for other purposes.</t>
          </r>
        </is>
      </c>
      <c r="R5" s="4" t="inlineStr">
        <is>
          <t>75 counties; 500 municipalities; 234 school districts (all levy the 25-mill URT); improvement districts, fire protection districts, levee and drainage districts, and similar special districts, many of which are funded by benefit assessments and fees and levy no ad valorem millage. Census of Governments 2022: 1,562 local governments, including 753 special districts (173 drainage/flood control, 72 fire protection, 17 library).</t>
        </is>
      </c>
      <c r="S5" s="4" t="inlineStr">
        <is>
          <t>Verdict: Failed. Property tax per person rose 48.5% after inflation from FY2002 to FY2024, against 25.9% for the U.S., though growth slowed to 0.3% from FY2019 to FY2024.
Why it leaks: The Amendment 59 rollback applies only after a countywide reappraisal and still lets revenue rise 10%, and between reappraisals no levy limit applies. New construction falls outside the rollback. School millage has a 25-mill floor and no ceiling. The homestead credit, paid from a statewide half-cent sales tax, lets local governments keep every dollar, a subsidy that counts against Arkansas.
How localities get around it: School districts send millage questions to the annual school election, now held in March under Act 503 of 2025, or to special elections. Fayetteville asked voters in March 2026 to renew a 1% sales tax for water and wastewater bonds.
Full record:
Has it worked? The tax stays low, but collections per person grew 48.5% after inflation from FY2002 to FY2024, the 6th-fastest of 50 (U.S. +25.9%); part of the homeowner's bill is paid with state sales tax.
The record (Census, BEA, ACS): state and local property tax was $961 per person in FY2024 (U.S. $2,132), 1.62% of personal income (47th-highest of 50; U.S. 2.89%). After inflation, collections per person (all state and local property tax divided by residents) rose 48.5% from FY2002 to FY2024 (U.S. +25.9%) and rose 0.3% from FY2019 to FY2024 (U.S. -1.1%). The median homeowner paid $1,113 in 2024 (U.S. $3,211); the median bill rose 26.8% after inflation from 2010 to 2024 (U.S. +9.3%). The Tax Foundation's 2026 ranking puts its effective property tax rate on owner-occupied homes at 0.56%, 14th-lowest of 50. By the same measure it was 0.56% in 2010 (U.S. 1.00% in 2010, 0.94% in 2024).
Local officials need voter approval for nearly every millage increase.
Caveats:
Shift to sales tax: local governments lean on sales taxes far more than property taxes. Sales taxes supply 58.9% of local tax revenue and property taxes 39.5% (Census, FY2022, which counts the URT as a state tax). Arkansas's average combined sales tax rate is 9.46%, 4th-highest in the country.
Relief paid by sales tax: the main homeowner relief (the homestead credit, $600 on 2026 bills and $675 under Act 174 of 2026) is financed by a statewide half-cent sales tax, so homeowners' bills fall while local governments keep every dollar. DFA prices each $100 of credit at about $53 million to $56 million a year, so the credit cost roughly $225 million to $265 million a year at the $425-$500 levels in force during FY2024, about 8% to 9% of state and local property tax collections. The Legislature has also dipped into the relief fund's surplus for other projects.
TIF and Issue 3: Issue 3 on the Nov. 3, 2026 ballot would exempt property in new economic development districts from regular school, county and city property taxes and let the districts tax it themselves, reopening the school tax base to tax increment financing that the Arkansas Supreme Court closed in 2007.
Sales tax votes: local governments keep asking voters for new or renewed sales taxes. In March 2026 Fayetteville asked voters to renew a 1% sales tax backing up to $150.5 million in water and wastewater bonds, and El Dorado sought a permanent 0.5% sales tax for its regional hospital (University of Arkansas Cooperative Extension, Jan. 12, 2026).
Reappraisal timing: the 10% revenue rollback applies only in reappraisal years; growth from new construction and between reappraisals is uncapped.</t>
        </is>
      </c>
      <c r="T5" s="4" t="inlineStr">
        <is>
          <t>- Arkansas Senate (Republican majority), "Lawmakers Discuss Issue 3" (Aug. 21, 2026). Sen. Jonathan Dismang presented SJR 15, Issue 3 on the November ballot, to the Joint City, County and Local Affairs Committee: property inside a new economic development district would be exempt from most taxes except those the district levies, and bonds backed by property taxes for these projects would still need local voter approval. Local officials described it as a local-control tool to compete with neighboring states' incentives; it would take effect January 1, 2027. https://senate.arkansas.gov/senate-news/posts/2026/08/lawmakers-discuss-issue-3/
- Arkansas House of Representatives (Republican majority), "2026 Fiscal Session Week 3" (April 24, 2026). Reports that the House Revenue and Tax Committee advanced HB 1103 to raise the Homestead Property Tax Credit from $600 to $675 for assessment years beginning Jan. 1, 2026, alongside a $6.7 billion budget up $211 million and a projected $310.2 million surplus at the end of FY2027. https://www.arkansashouse.org/?p=33676
- Tax Foundation (national), Jared Walczak, "Property Tax Limitation Regimes: A Primer" (April 2, 2025). Explains the three limit types: assessment limits shield individual owners but create unequal burdens among similar properties, rate limits do not stop increases from rising values, and levy limits restrain total revenue growth. Its table credits Arkansas with all three, and it warns that any limit can shift taxes to other local sources or to the state. https://taxfoundation.org/research/all/state/property-tax-limitation-regimes-primer/
- Arkansas Senate (Republican majority), "Senate Passes Additional $100 a Year Property Tax Credit" (March 12, 2025). SB 263 raises the homestead property tax credit from $500 to $600 a year starting in 2026, which the Senate says saves about 708,000 homeowners $56 million a year. https://senate.arkansas.gov/senate-news/posts/2025/03/9926-2/
- Arkansas Policy Foundation, "ARKANSAS INCOME TAX RATE CUT TO 3.9%" (June 10, 2024). The only property tax item found on its site since 2021; it reports that Gov. Sarah Huckabee Sanders signed measures on June 19, 2024 that cut the top income tax rate to 3.9% and used surplus revenue to raise the homestead property tax credit from $425 to $500 for assessment years beginning Jan. 1, 2024. Its other recent tax work covers income tax cuts. https://arkansaspolicyfoundation.org/arkansas-income-tax-rate-cut-to-3-9/
- Opportunity Arkansas Foundation (State Policy Network affiliate): no property tax report since 2021 was found; its site blocks automated searches.
- Advance Arkansas Institute: no property tax report since 2021 was found.
- Americans for Prosperity-Arkansas: no property tax item since 2021 was found.
Linked list: 5 items on the Analyses sheet (filter State = Arkansas); every source URL is linked on the Sources sheet.</t>
        </is>
      </c>
      <c r="U5" s="4" t="inlineStr">
        <is>
          <t>2023: homestead credit $375 -&gt; $425. 2024: $500. 2025: $600 (SB 263, Act 330 of 2025, signed March 18, 2025; $56 million a year; first applied to 2026 bills). Other 2025 acts: disabled veterans' homestead exemption extended from 40 to 160 acres (Act 407); annual notice to every taxpayer of 65+ and disability relief (Act 877).
2026 fiscal session: HB 1103 raised the credit to $675 (94-0 in the House; became Act 174 on May 1, 2026; DFA cost $39.8 million in 2027).
2025: Act 503 moved annual school elections (where most school millage questions appear) to March.
Nov. 3, 2026 ballot: Issue 3 (SJR 15 of 2025, referred by the Legislature in April 2025) would let the Legislature create economic development districts inside cities, counties or cooperative areas; property in a district would be exempt from school, county, city and other property taxes, and the district could levy its own taxes, assessments and fees. Local bonds for these projects repaid with property taxes would need voter approval. It would supersede the 2007 Arkansas Supreme Court ruling that kept tax increment financing from capturing the 25-mill school tax (University of Arkansas Public Policy Center). Issues 1, 2 and 4 (voter eligibility, the right to bear arms, $500 million in water and pollution bonds) do not concern property tax.
2025: SJR 16 (Sen. Crowell), a proposed amendment on property taxes, was withdrawn and sent to interim study.
A 2000-era petition drive to abolish property taxes failed to make the ballot and produced Amendment 79 instead.</t>
        </is>
      </c>
      <c r="V5" s="4" t="inlineStr">
        <is>
          <t>14th (0.56% effective rate; 0.56% in 2010)</t>
        </is>
      </c>
      <c r="W5" s="4" t="inlineStr">
        <is>
          <t>Arkansas combines constitutional millage caps, a 5%/10% assessment cap with a senior freeze, a 10% reappraisal rollback and a statewide 25-mill school levy. It has no spending cap and no truth-in-taxation law. Its signature relief, the homestead credit, is a state subsidy financed by a half-cent sales tax, which helps explain why Arkansas has one of the nation's heaviest sales tax burdens.</t>
        </is>
      </c>
      <c r="X5" s="4" t="inlineStr">
        <is>
          <t>https://www.uaex.uada.edu/publications/PDF/fsppc114.pdf
https://www.dfa.arkansas.gov/office/arkansas-assessment-coordination-division/real-property/property-tax-relief
https://encyclopediaofarkansas.net/entries/amendment-59-9041/
https://www.lincolninst.edu/sites/default/files/gwipp/upload/sources/Arkansas/2006/amendment79_assessors-guide.pdf
https://regfollower.com/us-arkansas-increases-property-tax-credit-raises-homestead-property-tax-credit-by-usd-100/
https://www.myarklamiss.com/www-myarklamiss-com-news-south-arkansas/legislation-increasing-homestead-property-tax-credit-passed-by-legislature-heads-to-arkansas-gov-sarah-huckabee-sanders-desk/amp/
https://arcounties.org/media/articles/homestead-tax-credit-has-always-been-priority
https://ezel.ai/ag-opinions/ar/2026-006-question-1-under-current-arkansas-law-when-can-the-annual-sc
https://www.lincolninst.edu/app/uploads/2025/01/levy_limits_2022.xlsx
https://www2.census.gov/programs-surveys/gov-finances/tables/2022/22slsstab1.xlsx
https://arkleg.state.ar.us/Bills/Detail?id=HB1103&amp;ddBienniumSession=2025%2F2026F
https://www.dfa.arkansas.gov/wp-content/uploads/AACD_AnnualReport_2025.pdf
https://uaex.uada.edu/business-communities/voter-education/issue3.aspx
https://www.uaex.uada.edu/media-resources/news/2026/october/10-07-2026-ark-ballot-guide-26.aspx
https://www.uaex.uada.edu/business-communities/ced-blog/posts/2026/january/arkansas-voters-have-local-ballot-issues-to-decide-march-2026-election.aspx
https://www.arkansashouse.org/?p=33676
https://policyrisk.com/state-bill/AR-SJR16-2025</t>
        </is>
      </c>
    </row>
    <row r="6" ht="409" customHeight="1">
      <c r="A6" s="13" t="inlineStr">
        <is>
          <t>California</t>
        </is>
      </c>
      <c r="B6" s="4" t="inlineStr">
        <is>
          <r>
            <rPr>
              <rFont val="Carlito"/>
              <b val="1"/>
              <sz val="14"/>
            </rPr>
            <t>D.</t>
          </r>
          <r>
            <rPr>
              <rFont val="Carlito"/>
              <sz val="11"/>
            </rPr>
            <t xml:space="preserve">
Restriction points 10.75 of 18 (spending limit 4; assessment cap 2; rate cap 2; supermajority 1; school districts covered 1; November-ballot rule 0.25; use restrictions 0.5). Deductions: built-in loopholes -2; workarounds in practice -3; state buydowns +0; data record -1. Total 4.75 = D (A 11+, B 8.5-10.9, C 5.5-8.4, D 3-5.4, F under 3).
Why: Built-in loopholes -2: parcel taxes, Mello-Roos taxes and assessments sit outside the 1% cap; school bonds need only 55%; the Upland ruling lets citizen-initiated special taxes pass by simple majority; the Gann limit excludes debt service and capital outlay and voters can raise it. Workarounds -3: pervasive and led by the largest cities, including Los Angeles's majority-vote Measure ULA ($1.03 billion by Jan. 2026), 90 of 125 local tax measures passed in 2024, sales tax rates above 10% and fees at 42% of local own-source revenue. Buydowns 0: the homeowners' exemption subvention is far below 5% of collections. Record -1: real per-person collections up 51.1% FY2002-FY2022 (U.S. 23.4%) and 8.7% FY2019-FY2024 (U.S. -1.1%); real homeowner bills up 29.5% 2010-2024 (U.S. 9.3%).</t>
          </r>
        </is>
      </c>
      <c r="C6" s="4">
        <f>((LEFT(D6,3)="Yes")+(LEFT(E6,3)="Yes")+(LEFT(F6,3)="Yes")+(LEFT(G6,3)="Yes"))&amp;" of 4 in force"&amp;IF(((LEFT(D6,7)="Partial")+(LEFT(E6,7)="Partial")+(LEFT(F6,7)="Partial")+(LEFT(G6,7)="Partial"))&gt;0," + "&amp;((LEFT(D6,7)="Partial")+(LEFT(E6,7)="Partial")+(LEFT(F6,7)="Partial")+(LEFT(G6,7)="Partial"))&amp;" partial","")&amp;CHAR(10)&amp;CHAR(10)&amp;IF(LEFT(D6,3)="Yes","✓",IF(LEFT(D6,7)="Partial","◐","✗"))&amp;" Spending limit"&amp;CHAR(10)&amp;IF(LEFT(E6,3)="Yes","✓",IF(LEFT(E6,7)="Partial","◐","✗"))&amp;" Levy limit"&amp;CHAR(10)&amp;IF(LEFT(F6,3)="Yes","✓",IF(LEFT(F6,7)="Partial","◐","✗"))&amp;" Assessment cap"&amp;CHAR(10)&amp;IF(LEFT(G6,3)="Yes","✓",IF(LEFT(G6,7)="Partial","◐","✗"))&amp;" Rate cap"</f>
        <v/>
      </c>
      <c r="D6" s="4" t="inlineStr">
        <is>
          <r>
            <rPr>
              <rFont val="Carlito"/>
              <b val="1"/>
              <sz val="11"/>
            </rPr>
            <t>Yes.</t>
          </r>
          <r>
            <rPr>
              <rFont val="Carlito"/>
              <sz val="11"/>
            </rPr>
            <t xml:space="preserve">
Gann Limit (Prop 4, Nov. 1979): an annual appropriations limit on the state and every city, county, school district and special district. Appropriations of tax proceeds may grow each year only by population growth times a cost-of-living factor (Prop 111 of 1990 let localities choose per-capita personal income or the change in nonresidential new construction, and county or city population). Revenue above the limit over two years must be returned. Excluded: debt service, federal mandates, court-ordered costs, qualified capital outlay, user fees not exceeding cost, and other items. Local voters may raise an agency's limit for up to four years at a time; cities and special districts periodically put such "appropriations limit" increases on the ballot.
Authority: Cal. Const. art. XIII B (Prop 4, 1979; amended by Prop 111, 1990).</t>
          </r>
        </is>
      </c>
      <c r="E6" s="4" t="inlineStr">
        <is>
          <r>
            <rPr>
              <rFont val="Carlito"/>
              <b val="1"/>
              <sz val="11"/>
            </rPr>
            <t>No.</t>
          </r>
          <r>
            <rPr>
              <rFont val="Carlito"/>
              <sz val="11"/>
            </rPr>
            <t xml:space="preserve">
No cap on the growth of total property tax collections. The combination of the 1% rate cap and the 2% assessment cap restrains growth on existing parcels, but revenue rises with each sale, new construction and voter-approved debt or special taxes. The 1% levy is allocated among local agencies by state formula (AB 8 of 1979), so local governments cannot raise it.</t>
          </r>
        </is>
      </c>
      <c r="F6" s="4" t="inlineStr">
        <is>
          <r>
            <rPr>
              <rFont val="Carlito"/>
              <b val="1"/>
              <sz val="11"/>
            </rPr>
            <t>Yes.</t>
          </r>
          <r>
            <rPr>
              <rFont val="Carlito"/>
              <sz val="11"/>
            </rPr>
            <t xml:space="preserve">
Acquisition-value assessment: property is taxed on its 1975-76 value or its value at the most recent change in ownership or new construction, increased each year by the lesser of 2% or CPI. Sale or other change in ownership resets value to market.
Not treated as a change in ownership / no reassessment: transfers between spouses; transfers into revocable trusts; the family home passed to a child or grandchild who lives in it (excluded value capped at taxable value plus about $1 million, indexed; Prop 19 of 2020 narrowed the older, broader parent-child and grandparent exclusions); base-year value transfers for owners 55+, severely disabled owners and disaster victims, now statewide and up to three times (Prop 19); transfers of interests in legal entities unless control (over 50%) changes.
New construction exclusions: active solar systems, seismic retrofits, fire sprinklers, disabled-access improvements and rebuilding after a disaster.
Authority: Cal. Const. art. XIII A §2 (Prop 13, June 1978, 64.8% yes); Props 58 (1986), 193 (1996), 60/90 (1986/1988), 19 (2020); Rev. &amp; Tax. Code §§60-69.5.</t>
          </r>
        </is>
      </c>
      <c r="G6" s="4" t="inlineStr">
        <is>
          <r>
            <rPr>
              <rFont val="Carlito"/>
              <b val="1"/>
              <sz val="11"/>
            </rPr>
            <t>Yes.</t>
          </r>
          <r>
            <rPr>
              <rFont val="Carlito"/>
              <sz val="11"/>
            </rPr>
            <t xml:space="preserve">
Ad valorem tax may not exceed 1% of assessed value, plus rates to repay voter-approved debt. Debt rates require 2/3 voter approval for cities, counties and special districts and 55% for school and community college construction bonds (Prop 39, 2000); statewide, debt rates add roughly 0.1% of assessed value on average (LAO). Parcel taxes, Mello-Roos special taxes and benefit assessments are not ad valorem and sit outside the 1% cap.
Authority: Cal. Const. art. XIII A §1 (Prop 13, 1978); Prop 46 (1986); Prop 39 (2000).</t>
          </r>
        </is>
      </c>
      <c r="H6" s="4" t="inlineStr">
        <is>
          <r>
            <rPr>
              <rFont val="Carlito"/>
              <b val="1"/>
              <sz val="11"/>
            </rPr>
            <t>Yes.</t>
          </r>
          <r>
            <rPr>
              <rFont val="Carlito"/>
              <sz val="11"/>
            </rPr>
            <t xml:space="preserve">
School districts receive the largest share of the 1% levy and are subject to the same 1% and 2% limits and the Gann Limit. Because Prop 98 guarantees a minimum school funding level, property tax growth for schools mainly reduces state aid; the state also diverted city, county and special-district property taxes to schools through the Educational Revenue Augmentation Fund (ERAF) starting in 1992-93. School bonds need only 55%, and school parcel taxes 2/3.</t>
          </r>
        </is>
      </c>
      <c r="I6" s="4" t="inlineStr">
        <is>
          <r>
            <rPr>
              <rFont val="Carlito"/>
              <b val="1"/>
              <sz val="11"/>
            </rPr>
            <t>No.</t>
          </r>
          <r>
            <rPr>
              <rFont val="Carlito"/>
              <sz val="11"/>
            </rPr>
            <t xml:space="preserve">
The state levies no property tax. All ad valorem revenue is local, but the Legislature controls how the 1% levy is divided among roughly 4,000 local agencies (AB 8 of 1979, ERAF shifts, the 2004 "triple flip" and VLF swap). Constitutional amendments (Prop 1A of 2004, Prop 22 of 2010) now restrict further state shifts.</t>
          </r>
        </is>
      </c>
      <c r="J6" s="4" t="inlineStr">
        <is>
          <r>
            <rPr>
              <rFont val="Carlito"/>
              <b val="1"/>
              <sz val="11"/>
            </rPr>
            <t>Yes.</t>
          </r>
          <r>
            <rPr>
              <rFont val="Carlito"/>
              <sz val="11"/>
            </rPr>
            <t xml:space="preserve">
Homeowners' Exemption: $7,000 of assessed value on a principal residence (about $70 a year in tax). The amount has not changed since 1974, and the state must reimburse local governments for the revenue loss. Disabled veterans' exemption: basic and low-income amounts indexed annually (2026: $180,671 basic and $271,009 low-income, with a household income limit of $81,131; Board of Equalization).
Authority: Cal. Const. art. XIII §3(k); Rev. &amp; Tax. Code §§218, 205.5.</t>
          </r>
        </is>
      </c>
      <c r="K6" s="4" t="inlineStr">
        <is>
          <r>
            <rPr>
              <rFont val="Carlito"/>
              <b val="1"/>
              <sz val="11"/>
            </rPr>
            <t>Partial.</t>
          </r>
          <r>
            <rPr>
              <rFont val="Carlito"/>
              <sz val="11"/>
            </rPr>
            <t xml:space="preserve">
No circuit breaker. A small nonrefundable income tax renter's credit ($60 single, $120 joint, income-limited) and the Senior Citizens' Property Tax Postponement program (state-funded deferral for low-income owners 62+, blind or disabled) are the only bill-side programs.</t>
          </r>
        </is>
      </c>
      <c r="L6" s="4" t="inlineStr">
        <is>
          <r>
            <rPr>
              <rFont val="Carlito"/>
              <b val="1"/>
              <sz val="11"/>
            </rPr>
            <t>Yes.</t>
          </r>
          <r>
            <rPr>
              <rFont val="Carlito"/>
              <sz val="11"/>
            </rPr>
            <t xml:space="preserve">
The Constitution exempts the first $7,000 of assessed value of every owner-occupied principal residence and requires the state to reimburse local agencies for the revenue lost. The Homeowners' Property Tax Relief subvention is $420.0 million in 2025-26 and $410.0 million in the 2026-27 enacted budget. Williamson Act open-space subventions remain in law but receive a nominal $1,000. Proposition 98 school funding is general school aid and does not count.
Authority: Cal. Const. art. XIII, §§ 3(k), 25; Rev. &amp; Tax. Code § 218; Gov. Code §§ 16120-16122; 2026-27 Enacted Budget, 9100 Tax Relief.</t>
          </r>
        </is>
      </c>
      <c r="M6" s="4" t="inlineStr">
        <is>
          <r>
            <rPr>
              <rFont val="Carlito"/>
              <b val="1"/>
              <sz val="11"/>
            </rPr>
            <t>No.</t>
          </r>
          <r>
            <rPr>
              <rFont val="Carlito"/>
              <sz val="11"/>
            </rPr>
            <t/>
          </r>
        </is>
      </c>
      <c r="N6" s="4" t="inlineStr">
        <is>
          <r>
            <rPr>
              <rFont val="Carlito"/>
              <b val="1"/>
              <sz val="11"/>
            </rPr>
            <t>No.</t>
          </r>
          <r>
            <rPr>
              <rFont val="Carlito"/>
              <sz val="11"/>
            </rPr>
            <t xml:space="preserve">
No rollback rule. The fixed 1% rate and 2% assessment cap make one unnecessary for the general levy; debt-service rates move with bond costs.</t>
          </r>
        </is>
      </c>
      <c r="O6" s="4" t="inlineStr">
        <is>
          <r>
            <rPr>
              <rFont val="Carlito"/>
              <b val="1"/>
              <sz val="11"/>
            </rPr>
            <t>Yes.</t>
          </r>
          <r>
            <rPr>
              <rFont val="Carlito"/>
              <sz val="11"/>
            </rPr>
            <t xml:space="preserve">
Voters: local special taxes (dedicated to a purpose, including parcel taxes and Mello-Roos taxes) need 2/3; local general obligation bonds 2/3; school bonds 55%; general taxes a majority. Since Cal. Cannabis Coalition v. City of Upland (2017) and follow-on appellate rulings, special taxes placed on the ballot by citizen initiative pass by simple majority. Legislature: 2/3 of each house for state tax increases (Prop 13 §3, as broadened by Prop 26 of 2010). Prop 43 (Nov. 2026) would restore 2/3 for citizen-initiated local special taxes starting Jan. 1, 2027.
Authority: Cal. Const. art. XIII A §§3-4; art. XIII C §2 (Prop 218, 1996); art. XVI §18.</t>
          </r>
        </is>
      </c>
      <c r="P6" s="4" t="inlineStr">
        <is>
          <r>
            <rPr>
              <rFont val="Carlito"/>
              <b val="1"/>
              <sz val="11"/>
            </rPr>
            <t>Partial.</t>
          </r>
          <r>
            <rPr>
              <rFont val="Carlito"/>
              <sz val="11"/>
            </rPr>
            <t xml:space="preserve">
A local general tax increase must be submitted at a regularly scheduled general election for members of the governing body, unless the body unanimously declares an emergency. Special taxes and bonds may go on special or regular election ballots.
Authority: Cal. Const. art. XIII C §2(b) (Prop 218, 1996).</t>
          </r>
        </is>
      </c>
      <c r="Q6" s="4" t="inlineStr">
        <is>
          <r>
            <rPr>
              <rFont val="Carlito"/>
              <b val="1"/>
              <sz val="11"/>
            </rPr>
            <t>Yes.</t>
          </r>
          <r>
            <rPr>
              <rFont val="Carlito"/>
              <sz val="11"/>
            </rPr>
            <t xml:space="preserve">
Special taxes, parcel taxes and Mello-Roos taxes may fund only the purposes stated on the ballot; bond proceeds only the listed projects. Prop 218 limits property-related fees (water, sewer, refuse) to the cost of the service, and assessments to special benefit. The 1% general levy is unrestricted for the agencies that receive it.</t>
          </r>
        </is>
      </c>
      <c r="R6" s="4" t="inlineStr">
        <is>
          <t>58 counties (San Francisco is a consolidated city-county); 482 cities; 1,006 independent school districts and 72 community college districts; 2,949 special districts in the Census count (354 fire, 341 water, 248 cemetery, 148 park and recreation, plus hospital, library, mosquito-abatement, irrigation and others), many of which receive a share of the 1% levy; plus Mello-Roos community facilities districts and assessment districts that levy special taxes or assessments. Census of Governments 2022: 4,494 local governments.</t>
        </is>
      </c>
      <c r="S6" s="4" t="inlineStr">
        <is>
          <t>Verdict: Failed. Property tax per person rose 64.8% after inflation from FY2002 to FY2024, against 25.9% for the U.S.
Why it leaks: Prop 13 caps the rate at 1% and yearly assessment growth at 2%, yet California has no levy limit, so each sale resets value to market and new construction adds to the rolls. Parcel taxes and Mello-Roos special taxes sit outside the 1% cap, and voter-approved debt rates float each year with no new vote. School bonds need only 55% (Prop 39, 2000). Since the 2017 Upland ruling, citizen-initiated special taxes pass by simple majority.
How localities get around it: Landowner-developers approve Mello-Roos taxes on new subdivisions before buyers arrive. Los Angeles Measure ULA, a 2022 transfer tax passed by simple majority under Upland, raised more than $1.03 billion by Jan. 8, 2026.
Full record:
Has it worked? For long-time owners, yes: the 1% rate cap and the 2% assessment cap have held since 1978. For total property taxes, no: collections per person grew 64.8% after inflation from FY2002 to FY2024, third-fastest of 50 behind Hawaii and New Mexico.
The record (Census, BEA, ACS): state and local property tax was $2,492 per person in FY2024 (U.S. $2,132), 2.87% of personal income (21st-highest of 50; U.S. 2.89%). After inflation, collections per person (all state and local property tax divided by residents) rose 64.8% from FY2002 to FY2024 (U.S. +25.9%) and rose 8.7% from FY2019 to FY2024 (U.S. -1.1%). The median homeowner paid $5,369 in 2024 (U.S. $3,211); the median bill rose 29.5% after inflation from 2010 to 2024 (U.S. +9.3%). The Tax Foundation's 2026 ranking puts its effective property tax rate on owner-occupied homes at 0.70%, 19th-lowest of 50. By the same measure it was 0.69% in 2010 (U.S. 1.00% in 2010, 0.94% in 2024). The FY2024 Census figure is a sample estimate with a 24% coefficient of variation.
Collections reached about $97.9 billion in 2023-24 (Board of Equalization).
Why: the 2% cap limits each parcel, but revenue still grows through reassessment at sale, new construction and voter-approved debt and special taxes outside the 1%. When CPI rose 7.27% in 2022, the cap held the inflation factor at 2% (Board of Equalization), so the growth came from those channels.
California is the case study in working around limits:
Workarounds: (1) Mello-Roos special taxes on new subdivisions, often approved by landowner-developers before buyers arrive; (2) school parcel taxes and 55% school bonds; (3) the Upland decision, which lets activist-written special taxes pass by majority (e.g., San Francisco's 2018 Prop C business tax; Los Angeles Measure ULA "mansion tax," 2022); (4) relabeling taxes as fees until Prop 218 (1996) and Prop 26 (2010) tightened definitions; (5) the state's own ERAF shifts of local property taxes to schools to cut state costs; (6) Prop 19 (2020), sold as senior portability, also narrowed the parent-child exclusion, raising reassessments.
Los Angeles: Measure ULA, the 2022 citizen-initiated transfer tax that passed by simple majority under the Upland ruling, had raised more than $1.03 billion from 1,435 sales by Jan. 8, 2026, including $413.2 million in FY2025; it adds 4% on sales from $5.3 million to $10.6 million and 5.5% above that (Commercial Observer, Jan. 12, 2026, from Los Angeles Housing Department data). Los Angeles voters will also decide in November whether to raise the city's sales tax from 9.75% to 10.25% (Pacific Research Institute).
Local tax measures: 125 local tax measures went on ballots in 2024 and 90 passed (Howard Jarvis Taxpayers Association, cited by the Pacific Research Institute). Nov. 2026 ballots add a half-cent sales tax in San Diego County, a one-cent increase in the city of Orange and transit taxes in five Bay Area counties and San Francisco; several cities already exceed a 10% combined sales tax rate.
Revenue shift: local sales tax add-ons are routine (the combined rate averages 8.99%, 7th-highest); fees and charges supply 42% of local own-source revenue vs. 34% nationally; property tax is 66.7% of local taxes (Census FY2022).
Inequity: identical homes can carry very different bills (new buyers in Los Angeles pay a 53% premium), the lock-in effect cited even by Prop 13's defenders.</t>
        </is>
      </c>
      <c r="T6" s="4" t="inlineStr">
        <is>
          <t>- Howard Jarvis Taxpayers Association, Scott Kaufman, "UNDER THE DOME: THE INSIDE STORY ON THE DEAL TO SAVE PROP. 13" (Sept. 21, 2026). HJTA refused to withdraw its Save Proposition 13 initiative in exchange for a statutory transfer tax cap (AB 736) and won a deal: on June 25 the Legislature passed ACA 22, now Prop 43, which requires two-thirds voter approval for all new local special taxes and closes the Upland loophole, plus ACA 21 to pull the ACA 13 "poison pill" off the November ballot. In return HJTA deferred the transfer tax fight and gave up a provision that would have repealed some existing transfer and parcel taxes passed through court-created loopholes. https://www.hjta.org/news-events/taxing-times/taxing-times-online-fall-2026-vol-52-issue-3/under-the-dome-the-inside-story-on-the-deal-to-save-prop-13/
- California Policy Center, "CPC’s 2026 Voter Information Guide" (Sept. 25, 2026). CPC's take is YES on Prop 43, which it says "closes a loophole that allows local government unions to raise taxes without complying with Proposition 13" and also bars new ad valorem property taxes above Prop 13's 1% base rate. CPC is also YES on Props 41 and 42 and NO on Prop 2, which would double the rainy day fund cap to 20% of General Fund tax revenue and exclude deposits from the Gann spending limit. https://californiapolicycenter.org/cpcs-2026-voter-information-guide/
- California Taxpayers Association (CalTax), "California Voters Will See 273 Tax Increases on Local Ballots in November" (Sept. 3, 2026). November local ballots carry 273 tax measures: $3 billion in direct taxes plus $19.5 billion in bonds repaid through property taxes above Prop 13's 1% limit. Seventy are parcel taxes and 82 are school bonds; nine use the Upland loophole, and CalTax says the bonds would cost property owners more than $1.15 billion a year (projections for 76 measures). https://caltax.org/news-release/california-voters-will-see-273-tax-increases-on-local-ballots-in-november/
- Pacific Research Institute, Kerry Jackson, "Another Tax That Backfired" (March 10, 2026). Los Angeles' Measure ULA "mansion tax" (4% on sales above $5.3 million, 5.5% above $10.6 million) raised $1.09 billion in three years from fewer than 1,500 sales, less than the $1.1 billion backers promised for a single year. Cites a university paper estimating ULA cut eligible transactions 38% and that "at least 63 percent, and potentially over 100 percent" of its revenue is offset by lower future property tax collections. https://www.pacificresearch.org/another-tax-that-backfired/
- Pacific Research Institute, Wayne Winegarden, "Spending Watch: Californians Will Pay a High Price for Tom Steyer’s “Split-Role” Proposal" (March 2, 2026). Opposes gubernatorial candidate Tom Steyer's plan to remove Prop 13 limits on commercial property, calling Prop 13 "one of the few protections that taxpayers have against ever-rising taxes in the state." Using the LAO's 2020 estimate of $8.0 billion to $12.5 billion in new revenue, PRI's model projects a 3.4% to 4.8% smaller state economy within five years and up to 322,000 fewer jobs. https://www.pacificresearch.org/spending-watch-californians-will-pay-a-high-price-for-tom-steyers-split-role-proposal/
- Pacific Legal Foundation, "Pacific Legal Foundation applauds California’s move to end home equity theft loophole" (Oct. 3, 2025). Praises AB 418, signed Oct. 1, 2025, which closes a loophole that let California localities take homes from owners behind on property taxes and transfer them to the government or nonprofits without refunding surplus equity. PLF ties the law to its 2023 U.S. Supreme Court win in Tyler v. Hennepin County. https://pacificlegal.org/press-release/pacific-legal-foundation-applauds-californias-move-to-end-home-equity-theft-loophole/
- California Policy Center, Edward Ring, "California’s Unstoppable Taxation Machine" (Oct. 24, 2024). Argues Prop 13's two-thirds vote rules have been "slowly undermined" over the years and faults the state Supreme Court for removing the Taxpayer Protection and Government Accountability Act from the 2024 ballot. It also attacks two legislative counter-measures: Prop 5, cutting the vote for local housing and infrastructure bonds to 55%, and ACA 13, which would make initiatives that raise vote thresholds pass by the same supermajority (ACA 13 was later pulled from the 2026 ballot under the HJTA deal above). https://californiapolicycenter.org/californias-unstoppable-taxation-machine/
- Reason Foundation, Adrian Moore, "California Proposition 5 would lower supermajority requirement to 55% for local bond measures to fund housing and public infrastructure amendment" (Sept. 24, 2024). Explains that Prop 5 would carve an exception to the Prop 13 and Prop 218 two-thirds rule for local housing and infrastructure debt. Notes counties carried about $140 billion in liabilities ($3,860 per resident) and cities $193 billion ($6,337) as of 2023, with $29.8 billion more borrowed in early 2024, and concludes "it seems governments are not having trouble getting voter approval for new debt or finding lenders." https://reason.org/voters-guide/california-proposition-5-lower-supermajority-requirement-to-55-for-local-bond-measures-to-fund-housing-and-public-infrastructure-amendment/
- California Taxpayers Association (CalTax), "Proposition 13 Protects Property Owners From 7 Percent Tax Hike in 2023" (Jan. 6, 2023). With California CPI up 7.27%, Prop 13 held the annual inflation factor on assessed values to 2%, keeping bills "stable and predictable." https://caltax.org/2023/01/06/proposition-13-protects-property-owners-from-7-percent-tax-hike-in-2023/
- Independent Institute (State Policy Network associate): no California property tax report since 2021 was found.
Linked list: 14 items on the Analyses sheet (filter State = California); every source URL is linked on the Sources sheet.</t>
        </is>
      </c>
      <c r="U6" s="4" t="inlineStr">
        <is>
          <t>2020: Prop 15 ("split roll" to reassess commercial property at market value) failed (48.0% yes); Prop 19 passed (51.1%).
2022: Los Angeles Measure ULA transfer tax on sales over $5 million passed by majority as a citizen-initiated special tax.
2024: the California Supreme Court removed the Taxpayer Protection and Government Accountability Act (which would have required 2/3 for citizen-initiated special taxes and tightened fee rules) from the ballot (Legislature v. Weber); Prop 5, lowering the vote for local housing and infrastructure bonds to 55%, failed.
May 2025: the Howard Jarvis Taxpayers Association filed the "Save Proposition 13 Act of 2026" to reverse the Upland ruling.
June 25, 2026: the Legislature passed ACA 22, a narrower measure restoring the two-thirds vote for local special taxes (now Prop 43), and ACA 21, which removed ACA 13 from the November ballot; HJTA then withdrew its initiative (HJTA, Taxing Times, Sept. 21, 2026).
Nov. 2026 ballot: Prop 43 (2/3 vote for citizen-initiated local special taxes), Prop 41 (new state taxes may not escape the Gann Limit), Prop 40 (one-time 5% billionaire wealth tax), Prop 3 (make 2012 income tax surcharge permanent), Prop 42 (bars new state taxes on the ownership of financial assets or other personal property and certain retroactive state taxes), Prop 1 (state housing bonds). The California Policy Center reads Prop 43 as also barring new ad valorem property taxes above Prop 13's 1% rate.</t>
        </is>
      </c>
      <c r="V6" s="4" t="inlineStr">
        <is>
          <t>19th (0.70% effective rate; 0.69% in 2010)</t>
        </is>
      </c>
      <c r="W6" s="4" t="inlineStr">
        <is>
          <t>California pairs a strict 1% rate cap and 2% acquisition-value assessment cap (Prop 13) with a spending limit (Gann) and 2/3 voter thresholds for special taxes. The limits hold for existing homeowners, but governments have shifted costs onto new buyers (Mello-Roos, reassessment on sale), parcel taxes, fees and sales taxes, and courts opened a majority-vote path for citizen-initiated special taxes, which Prop 43 on the Nov. 2026 ballot would close.</t>
        </is>
      </c>
      <c r="X6" s="4" t="inlineStr">
        <is>
          <t>https://lao.ca.gov/reports/2012/tax/property-tax-primer-112912.pdf
https://lao.ca.gov/BallotAnalysis/Proposition?number=43&amp;year=2026
https://lao.ca.gov/BallotAnalysis/Propositions
https://www.boe.ca.gov/proptaxes/dv_exemption.htm
https://ebudget.ca.gov/2016-17/Enacted/StateAgencyBudgets/8000/9100/program_description_7500.html
https://leginfo.legislature.ca.gov/faces/codes_displayText.xhtml?lawCode=CONS&amp;article=XIII%20A
https://leginfo.legislature.ca.gov/faces/codes_displayText.xhtml?lawCode=CONS&amp;article=XIII%20B
https://leginfo.legislature.ca.gov/faces/codes_displayText.xhtml?lawCode=CONS&amp;article=XIII%20C
https://www.lincolninst.edu/app/uploads/2024/12/assessment_limits_2022-3.xlsx
https://taxfoundation.org/research/all/state/property-tax-limitation-regimes-primer/
https://taxfoundation.org/research/state-tax/2026-state-tax-ballot-measures/
https://leginfo.legislature.ca.gov/faces/codes_displayText.xhtml?lawCode=CONS&amp;division=&amp;title=&amp;part=&amp;chapter=&amp;article=13A
https://caltax.org/2025/04/25/california-property-tax-revenue-increased-8-9-billion-in-2024-boe-reports/
https://www.hjta.org/press-releases/new-initiative-to-save-proposition-13/
https://calmatters.org/politics/2026/10/california-prop-43-election-2026/
https://www.boe.ca.gov/proptaxes/pdf/lta25014.pdf
https://commercialobserver.com/2026/01/measure-ula-revenue-billion/
https://www.pacificresearch.org/california-cities-turn-to-tax-hikes-to-deal-with-overspending/
https://californiapolicycenter.org/cpcs-2026-voter-information-guide/
https://www.hjta.org/news-events/taxing-times/taxing-times-online-fall-2026-vol-52-issue-3/under-the-dome-the-inside-story-on-the-deal-to-save-prop-13/</t>
        </is>
      </c>
    </row>
    <row r="7" ht="409" customHeight="1">
      <c r="A7" s="13" t="inlineStr">
        <is>
          <t>Colorado</t>
        </is>
      </c>
      <c r="B7" s="4" t="inlineStr">
        <is>
          <r>
            <rPr>
              <rFont val="Carlito"/>
              <b val="1"/>
              <sz val="14"/>
            </rPr>
            <t>C.</t>
          </r>
          <r>
            <rPr>
              <rFont val="Carlito"/>
              <sz val="11"/>
            </rPr>
            <t xml:space="preserve">
Restriction points 13.25 of 18 (spending limit 4; levy limit 4; assessment cap 1; rate cap 2; rollback 0.5; school districts covered 1; November-ballot rule 0.5; use restrictions 0.25). Deductions: built-in loopholes -3; workarounds in practice -2; state buydowns +0; data record -1. Total 7.25 = C (A 11+, B 8.5-10.9, C 5.5-8.4, D 3-5.4, F under 3).
Why: Built-in loopholes -3: voters may waive TABOR's revenue limit and nearly every county, most cities and most school districts have (Arapahoe and Jefferson in 2024); home-rule cities and school districts are excluded from the 2024 statutory levy limit; fee-funded enterprises sit outside TABOR. Workarounds -2: de-Bruced governments held mill levies flat through the 2023 reappraisal and raised bills without a vote, and more than 2,300 developer-run metro districts levy mills on new homeowners. Buydowns 0: state reimbursement of the senior exemption and 2022-2024 backfills appear to be below 5% of the $14.25 billion FY2024 total (not confirmed). Record -1: real growth per person of 40.3% (FY2002-FY2022, U.S. 23.4%) and 7.8% (FY2019-FY2024, U.S. -1.1%), and real homeowner bill growth of 36% (2010-2024, U.S. 9.3%, 49th), offset only partly by a low 0.49% effective rate.</t>
          </r>
        </is>
      </c>
      <c r="C7" s="4">
        <f>((LEFT(D7,3)="Yes")+(LEFT(E7,3)="Yes")+(LEFT(F7,3)="Yes")+(LEFT(G7,3)="Yes"))&amp;" of 4 in force"&amp;IF(((LEFT(D7,7)="Partial")+(LEFT(E7,7)="Partial")+(LEFT(F7,7)="Partial")+(LEFT(G7,7)="Partial"))&gt;0," + "&amp;((LEFT(D7,7)="Partial")+(LEFT(E7,7)="Partial")+(LEFT(F7,7)="Partial")+(LEFT(G7,7)="Partial"))&amp;" partial","")&amp;CHAR(10)&amp;CHAR(10)&amp;IF(LEFT(D7,3)="Yes","✓",IF(LEFT(D7,7)="Partial","◐","✗"))&amp;" Spending limit"&amp;CHAR(10)&amp;IF(LEFT(E7,3)="Yes","✓",IF(LEFT(E7,7)="Partial","◐","✗"))&amp;" Levy limit"&amp;CHAR(10)&amp;IF(LEFT(F7,3)="Yes","✓",IF(LEFT(F7,7)="Partial","◐","✗"))&amp;" Assessment cap"&amp;CHAR(10)&amp;IF(LEFT(G7,3)="Yes","✓",IF(LEFT(G7,7)="Partial","◐","✗"))&amp;" Rate cap"</f>
        <v/>
      </c>
      <c r="D7" s="4" t="inlineStr">
        <is>
          <r>
            <rPr>
              <rFont val="Carlito"/>
              <b val="1"/>
              <sz val="11"/>
            </rPr>
            <t>Yes.</t>
          </r>
          <r>
            <rPr>
              <rFont val="Carlito"/>
              <sz val="11"/>
            </rPr>
            <t xml:space="preserve">
Taxpayer's Bill of Rights (TABOR), adopted by initiative Nov. 1992: every "district" (state, counties, cities, school districts, special districts) may grow fiscal-year spending no faster than inflation (Denver-Aurora-Lakewood CPI) plus local growth (net new construction for non-school districts; enrollment for school districts). Revenue above the limit must be refunded unless voters approve keeping it. Exempt: voter-approved revenue changes, federal funds, government-owned "enterprises" (entities receiving under 10% of revenue from state and local governments), gifts, damage awards, property sales and pension contributions.
Voters may waive the limit ("de-Brucing," after TABOR author Douglas Bruce). Most counties, cities and school districts have; by 2024 only a handful of counties remained under it, and Arapahoe (71% yes) and Jefferson (57.5%) counties de-Bruced in Nov. 2024.
Authority: Colo. Const. art. X §20 (TABOR, 1992).</t>
          </r>
        </is>
      </c>
      <c r="E7" s="4" t="inlineStr">
        <is>
          <r>
            <rPr>
              <rFont val="Carlito"/>
              <b val="1"/>
              <sz val="11"/>
            </rPr>
            <t>Yes.</t>
          </r>
          <r>
            <rPr>
              <rFont val="Carlito"/>
              <sz val="11"/>
            </rPr>
            <t xml:space="preserve">
Three overlapping property tax revenue limits:
1) TABOR: a district's property tax revenue may grow no faster than inflation plus local growth, and no mill levy may rise above the prior year's without voter approval (applies unless waived).
2) 2024 statutory limit (SB24-233 as rewritten by HB24B-1001, special session Aug. 2024): property tax revenue of counties, statutory towns and special districts may grow no more than 5.25% per year of a two-year reassessment cycle (10.5% per cycle) from the highest year of the prior cycle, with carryover of unused room. Excluded from the limit: new construction, annexations and similar base growth; disaster spending; school districts; and home-rule cities and towns (including Denver, Colorado Springs and Aurora). Voters may waive it for one year, several years or permanently.
3) The older 5.5% statutory limit for non-home-rule counties, towns and special districts that have not waived it.
School districts: a separate statewide limit caps total local-share school property tax revenue at 6% per year of the cycle (or base-per-pupil plus enrollment growth if higher), enforced by lowering the school residential assessment rate; only a statewide vote can waive it.
Authority: Colo. Const. art. X §20(7)(c); C.R.S. 29-1-1701 to 1703; C.R.S. 29-1-301.</t>
          </r>
        </is>
      </c>
      <c r="F7" s="4" t="inlineStr">
        <is>
          <r>
            <rPr>
              <rFont val="Carlito"/>
              <b val="1"/>
              <sz val="11"/>
            </rPr>
            <t>Partial.</t>
          </r>
          <r>
            <rPr>
              <rFont val="Carlito"/>
              <sz val="11"/>
            </rPr>
            <t xml:space="preserve">
No per-parcel cap. Values are reset every two years (as of June 30 of the prior even year), and the Legislature sets statewide assessment rates by property class, cutting them repeatedly since 2022. For 2025, residential property is assessed at 6.25% of market value for local government levies and 7.05% for school levies (lower if statewide values rose over 5%); most nonresidential classes fall from 29% to 27% (2025), 26% (2026) and 25% (2027 on). The Gallagher Amendment (1982), which fixed residential property at 45% of the statewide base, was repealed by Amendment B (2020).
Authority: C.R.S. 39-1-104, 39-1-104.2 (as amended by HB24B-1001, 2024).</t>
          </r>
        </is>
      </c>
      <c r="G7" s="4" t="inlineStr">
        <is>
          <r>
            <rPr>
              <rFont val="Carlito"/>
              <b val="1"/>
              <sz val="11"/>
            </rPr>
            <t>Yes.</t>
          </r>
          <r>
            <rPr>
              <rFont val="Carlito"/>
              <sz val="11"/>
            </rPr>
            <t xml:space="preserve">
TABOR forbids any district to levy a mill rate above the prior year's without voter approval, so every mill levy increase requires a vote. School district operating levies are also capped by statute (the lesser of the prior year's rate or 27 mills, plus voter-approved overrides).
Authority: Colo. Const. art. X §20(4)(a); C.R.S. 22-54-106.</t>
          </r>
        </is>
      </c>
      <c r="H7" s="4" t="inlineStr">
        <is>
          <r>
            <rPr>
              <rFont val="Carlito"/>
              <b val="1"/>
              <sz val="11"/>
            </rPr>
            <t>Yes.</t>
          </r>
          <r>
            <rPr>
              <rFont val="Carlito"/>
              <sz val="11"/>
            </rPr>
            <t xml:space="preserve">
School districts are under TABOR (most have de-Bruced), a statewide 2024 limit on total local-share school property tax revenue (enforced by cutting the school residential assessment rate) and the 27-mill cap on operating levies. Voter-approved mill levy overrides and bonds sit outside the formula; the state backfills school finance when the local share falls.</t>
          </r>
        </is>
      </c>
      <c r="I7" s="4" t="inlineStr">
        <is>
          <r>
            <rPr>
              <rFont val="Carlito"/>
              <b val="1"/>
              <sz val="11"/>
            </rPr>
            <t>No.</t>
          </r>
          <r>
            <rPr>
              <rFont val="Carlito"/>
              <sz val="11"/>
            </rPr>
            <t xml:space="preserve">
TABOR prohibits any new state real property tax. All property taxes are levied locally.
Authority: Colo. Const. art. X §20(8)(a).</t>
          </r>
        </is>
      </c>
      <c r="J7" s="4" t="inlineStr">
        <is>
          <r>
            <rPr>
              <rFont val="Carlito"/>
              <b val="1"/>
              <sz val="11"/>
            </rPr>
            <t>Yes.</t>
          </r>
          <r>
            <rPr>
              <rFont val="Carlito"/>
              <sz val="11"/>
            </rPr>
            <t xml:space="preserve">
Senior homestead exemption: owners 65+ who have owned and occupied the home 10 years are taxed on only 50% of the first $200,000 of market value; the same applies to qualifying disabled veterans and Gold Star spouses. The state reimburses local governments for the lost revenue. Other homeowners get no exemption; their relief comes through the reduced residential assessment rate (and one-time value subtractions in some years).
Authority: Colo. Const. art. X §3.5 (Referendum A, 2000).</t>
          </r>
        </is>
      </c>
      <c r="K7" s="4" t="inlineStr">
        <is>
          <r>
            <rPr>
              <rFont val="Carlito"/>
              <b val="1"/>
              <sz val="11"/>
            </rPr>
            <t>Yes.</t>
          </r>
          <r>
            <rPr>
              <rFont val="Carlito"/>
              <sz val="11"/>
            </rPr>
            <t xml:space="preserve">
Property Tax, Rent and Heat Credit (PTC) rebate for low-income seniors, surviving spouses and people with disabilities, paid as a state check; plus a state property tax deferral program.
Authority: C.R.S. 39-31-101 et seq.</t>
          </r>
        </is>
      </c>
      <c r="L7" s="4" t="inlineStr">
        <is>
          <r>
            <rPr>
              <rFont val="Carlito"/>
              <b val="1"/>
              <sz val="11"/>
            </rPr>
            <t>Yes.</t>
          </r>
          <r>
            <rPr>
              <rFont val="Carlito"/>
              <sz val="11"/>
            </rPr>
            <t xml:space="preserve">
- Business personal property exemption: the state reimburses local governments each year for revenue lost when the exemption rose from $7,900 to $50,000 in 2021 (now $56,000). The FY2025-26 appropriation is $17.9 million, with $16.8 million forecast for FY2026-27; SB26-116 sets the exemption at $58,000 from 2027 and holds reimbursements at the 2026 level.
- Senior and disabled veteran homestead exemption: the Constitution requires the state to reimburse local governments in full for exempting 50% of the first $200,000 of value for qualifying seniors and disabled veterans ($180.2 million in FY2025-26).
Backfills for the 2022-2024 assessment-rate cuts covered only the 2023 through 2025 tax years. Higher state school aid when assessment cuts shrink the local share is school finance formula aid and does not count.
Authority: Colo. Const. art. X, § 3.5; C.R.S. §§ 39-3-119.5, 39-3-207, 39-3-210; HB21-1312; HB24B-1001; SB26-116; HB26-1171.</t>
          </r>
        </is>
      </c>
      <c r="M7" s="4" t="inlineStr">
        <is>
          <r>
            <rPr>
              <rFont val="Carlito"/>
              <b val="1"/>
              <sz val="11"/>
            </rPr>
            <t>No.</t>
          </r>
          <r>
            <rPr>
              <rFont val="Carlito"/>
              <sz val="11"/>
            </rPr>
            <t/>
          </r>
        </is>
      </c>
      <c r="N7" s="4" t="inlineStr">
        <is>
          <r>
            <rPr>
              <rFont val="Carlito"/>
              <b val="1"/>
              <sz val="11"/>
            </rPr>
            <t>Partial.</t>
          </r>
          <r>
            <rPr>
              <rFont val="Carlito"/>
              <sz val="11"/>
            </rPr>
            <t xml:space="preserve">
Governments still under TABOR or the 2024 limits must cut mill levies (often as temporary "mill levy credits") or refund revenue above the limit. De-Bruced governments can keep the prior year's mill levy while assessed values soar, which produced large unvoted increases in 2023.</t>
          </r>
        </is>
      </c>
      <c r="O7" s="4" t="inlineStr">
        <is>
          <r>
            <rPr>
              <rFont val="Carlito"/>
              <b val="1"/>
              <sz val="11"/>
            </rPr>
            <t>No.</t>
          </r>
          <r>
            <rPr>
              <rFont val="Carlito"/>
              <sz val="11"/>
            </rPr>
            <t xml:space="preserve">
Tax increases, mill levy increases, limit waivers and debt require a simple majority of voters.</t>
          </r>
        </is>
      </c>
      <c r="P7" s="4" t="inlineStr">
        <is>
          <r>
            <rPr>
              <rFont val="Carlito"/>
              <b val="1"/>
              <sz val="11"/>
            </rPr>
            <t>Yes.</t>
          </r>
          <r>
            <rPr>
              <rFont val="Carlito"/>
              <sz val="11"/>
            </rPr>
            <t xml:space="preserve">
TABOR tax, debt and revenue-change questions may be decided only at the state general election (November of even years), the first Tuesday in November of odd years, or a district's biennial local election (emergency taxes excepted).
Authority: Colo. Const. art. X §20(3)(a).</t>
          </r>
        </is>
      </c>
      <c r="Q7" s="4" t="inlineStr">
        <is>
          <r>
            <rPr>
              <rFont val="Carlito"/>
              <b val="1"/>
              <sz val="11"/>
            </rPr>
            <t>Partial.</t>
          </r>
          <r>
            <rPr>
              <rFont val="Carlito"/>
              <sz val="11"/>
            </rPr>
            <t xml:space="preserve">
Special districts may levy only for their statutory purposes; mill levy overrides and bonds are restricted to the purposes on the ballot. General county and city levies are unrestricted.</t>
          </r>
        </is>
      </c>
      <c r="R7" s="4" t="inlineStr">
        <is>
          <t>64 counties (two are consolidated city-counties: Denver and Broomfield); 272 municipalities; 178 school districts; more than 3,000 special districts, including more than 2,300 metropolitan districts (up from about 200 in 2000), plus fire protection, water and sanitation, park and recreation, library, hospital and cemetery districts. Census of Governments 2022: 3,715 local governments, including 3,201 special districts.</t>
        </is>
      </c>
      <c r="S7" s="4" t="inlineStr">
        <is>
          <t>Verdict: Failed. Property tax per person rose 47.2% after inflation from FY2002 to FY2024, against 25.9% for the U.S.
Why it leaks: TABOR (Colo. Const. art. X, §20) caps local property tax revenue, but voters may waive it, and most local governments have de-Bruced, with Arapahoe and Jefferson counties following in Nov. 2024. The 2024 statutory limit in HB24B-1001 excludes school districts and home-rule cities such as Denver, and it lets unused room carry over. Amendment B (2020) repealed the Gallagher Amendment, which held down the residential share of the base. State backfills for assessment-rate cuts count against Colorado.
How localities get around it: De-Bruced governments held mill levies flat after the 2023 reappraisal, producing large tax increases no one voted on. Developer-controlled metropolitan districts, more than 2,300 of them, levy mills on new homeowners.
Full record:
Colorado has had the fastest growth in homeowner property tax bills in the country: the median bill rose 45.0% after inflation from 2014 to 2024 (American Community Survey; U.S. +13.3%).
The record (Census, BEA, ACS): state and local property tax was $2,379 per person in FY2024 (U.S. $2,132), 2.88% of personal income (20th-highest of 50; U.S. 2.89%). After inflation, collections per person (all state and local property tax divided by residents) rose 47.2% from FY2002 to FY2024 (U.S. +25.9%) and rose 7.8% from FY2019 to FY2024 (U.S. -1.1%). The median homeowner paid $2,828 in 2024 (U.S. $3,211); the median bill rose 36.0% after inflation from 2010 to 2024 (U.S. +9.3%). The Tax Foundation's 2026 ranking puts its effective property tax rate on owner-occupied homes at 0.50%, 7th-lowest of 50. By the same measure it was 0.58% in 2010 (U.S. 1.00% in 2010, 0.94% in 2024).
Why: TABOR's statewide limit has forced refunds for decades, but locally it has been largely waived, and the 2020 repeal of the Gallagher Amendment removed the rule that held the residential share of the base down. Most local governments have de-Bruced; the remaining holdouts (Arapahoe and Jefferson counties) did so in 2024. Some de-Bruced governments kept mill levies flat as residential values jumped sharply (often 30% or more) in the 2023 reappraisal, producing large tax increases no one voted on, which drove the 2023-2024 reform fights.
Workarounds: (1) Enterprises: governments fund programs through fee-financed "enterprises" exempt from TABOR (e.g., the 2009 hospital provider fee and 2021 transportation fees). (2) Metropolitan districts: developer-controlled special districts issue bonds and levy mills on new homeowners, often with board members who work for the developer; more than 2,300 exist. (3) Home-rule exemption: Denver, Colorado Springs, Aurora and other home-rule cities are exempt from the 2024 statutory limit. (4) Retained refunds: cities still under TABOR ask voters to keep revenue above the limit one purpose at a time; in May 2019 Colorado Springs officials planned to ask voters to keep up to $7 million that would otherwise have been refunded, for parks and trails (The Gazette, May 29, 2019). (5) Sales taxes: local sales tax rates average 4.99% (combined 7.89%, local rates up to 9.10%); sales taxes supply 35.3% of local taxes (U.S.: 18.5%).
State response: repeated assessment-rate cuts financed partly by state backfills, which shift the cost to state taxpayers and TABOR refunds.</t>
        </is>
      </c>
      <c r="T7" s="4" t="inlineStr">
        <is>
          <t>- Common Sense Institute Iowa, "Iowa Leads the Nation in Property Tax Relief: Ranking State Reforms of the Past Decade" (Aug. 6, 2026). Ranks SB24-233 third nationally by taxpayer savings (about 0.11% of personal income, $1,401 per household over its first six years) and places HB24B-1001 in the top ten. It adds that both 2024 bills only reduced the amount by which property taxes rose after the 2020 Gallagher repeal (Amendment B), which "removed the constitutional protections that limited the growth in property taxes for homeowners." https://archive.commonsenseinstituteus.org/iowa/research/taxes-and-fees/iowa-leads-the-nation-in-property-tax-relief-ranking-state-reforms-of-the-past-decade
- Independence Institute, Nash Herman, "Leviathan by Loophole: the Growth of Colorado's State Government After TABOR" (Jan. 20, 2026). Finds that inflation- and population-adjusted state spending has outgrown TABOR's intent through TABOR-exempt funds such as fee-funded enterprises. https://i2i.org/leviathan-by-loophole-the-growth-of-colorados-state-government-after-tabor/
- Independence Institute, Joshua Sharf, "Review of Colorado's Property Taxes and Model Policy" (Sept. 4, 2024). Issue Paper 3-2024 traces Gallagher, TABOR and the 2020-2024 fights and calls the statewide assessment rate "a blunt instrument for limiting property taxes" that distorts how properties are taxed. Its model caps county and city property tax revenue at last year's revenue plus inflation (that year's new construction excluded) and school district revenue at inflation plus enrollment change; voters could waive the cap, but each local board would have to pass a separate measure every year to keep the extra revenue, on the Utah Truth in Taxation model, which offers transparency and accountability. https://i2i.org/wp-content/uploads/IP_3_2024_b.pdf
- Advance Colorado (taxpayer group, with Colorado Concern), Initiatives 50 and 108 and their withdrawal (Sept. 4, 2024). Initiative 50 would have written a 4% annual cap on property tax revenue growth into the constitution; Initiative 108 would have cut residential assessment rates to 5.7% and nonresidential rates to 24%, with a state backfill estimated at $3 billion. The group withdrew both after the special session passed HB24B-1001; Michael Fields said, "Today, Colorado taxpayers are the winners." https://www.denvergazette.com/2024/09/04/colorado-property-tax-ballot-initiatives-withdrawn-as-part-of-deal-with-governor-lawmakers/
- Common Sense Institute, "Reining in Property Taxes: The Voters’ Choice at the 2024 November Ballot" (Aug. 13, 2024). Full report finding that property taxes "have grown at twice the rate of population plus inflation over the past three decades" and that the statewide property tax burden rose $2.4 billion (19%) in 2023, four times faster than population plus inflation. It models Initiative 108 (average homeowner savings over $510 from 2024 to 2026) and Initiative 50 (4% statewide revenue cap) against SB24-233. https://commonsenseinstituteus.org/colorado/research/taxes-and-fees/reining-in-property-taxes-the-voters-choice-at-the-2024-november-ballot/
- Common Sense Institute, "Does SB24-233 Provide Taxpayer Relief and Predictability?" (May 8, 2024). Finds no relief: the 2024 law locks in the 27% jump in residential values from 2023, and a $400,000 home's bill rises 11% ($318) by 2026 even if its value is flat; the 5.5% cap would not prevent a repeat if values spike again, and it carves out school districts, over 50% of the tax base. https://commonsenseinstituteus.org/colorado/research/taxes-and-fees/does-sb24-233-provide-taxpayer-relief-and-predictability/
- Centennial Institute (State Policy Network associate): no property tax report since 2021 was found.
- Steamboat Institute (State Policy Network associate): no property tax report since 2021 was found; it has joined a coalition to protect TABOR. https://steamboatinstitute.org/update/steamboat-institute-joins-coalition-to-protect-colorados-tabor
Linked list: 7 items on the Analyses sheet (filter State = Colorado); every source URL is linked on the Sources sheet.</t>
        </is>
      </c>
      <c r="U7" s="4" t="inlineStr">
        <is>
          <t>2020: Amendment B repealed the Gallagher Amendment (57.5% yes).
2023: Prop HH (cap local revenue growth at 6.5% in exchange for the state keeping more TABOR money) failed (about 41% yes).
2024: SB24-233 created a 5.5% local limit; to remove citizen Initiatives 50 (4% cap on property tax revenue growth) and 108 (assessment cuts) from the ballot, the August special session passed HB24B-1001 (5.25%/yr local limit, statewide school limit, rate cuts).
Nov. 2024: Arapahoe and Jefferson counties de-Bruced.
2025: a referred amendment to make the senior exemption portable (HCR25-1001) died in committee. School districts came under the new statewide limit for the 2025 tax year; Legislative Council Staff set the 2026 balancing percentage (a temporary cut in the school residential assessment rate) on Feb. 5, 2026.
2026: HB26-1209 would have cut all three statutory revenue limits to 4% a year for tax years 2027-2032; the House Transportation, Housing and Local Government Committee postponed it indefinitely on March 10, 2026.
Sept. 4, 2024: election officials confirmed the withdrawal of Initiatives 50 and 108 (Advance Colorado and Colorado Concern) from the 2024 ballot under the special-session deal.
Nov. 3, 2026 ballot: none of the 14 certified statewide measures deals with property tax. Tax measures: Prop NN (legislative referral raising the state TABOR limit, about $500 million a year more for K-12 schools), Amendment 87 (graduated income tax on incomes over $500,000) and Prop 136 (Advance Colorado; cap income tax rates at 4.4%).</t>
        </is>
      </c>
      <c r="V7" s="4" t="inlineStr">
        <is>
          <t>7th (0.50% effective rate; 0.58% in 2010)</t>
        </is>
      </c>
      <c r="W7" s="4" t="inlineStr">
        <is>
          <t>On paper Colorado has every tool: a constitutional spending limit with refunds, a ban on unvoted mill increases, new statutory levy limits and November-only tax elections. In practice most local governments have voted their way out of TABOR's revenue limit, home-rule cities are exempt from the 2024 levy limit, and more than 2,300 developer-run metro districts levy taxes on new homeowners. The 2023-2024 fights show that statewide initiatives (Initiative 50) can force the Legislature to act.</t>
        </is>
      </c>
      <c r="X7" s="4" t="inlineStr">
        <is>
          <t>https://leg.colorado.gov/sites/default/files/documents/2024B/bills/fn/2024b_hb24b-1001_f1.pdf
https://leg.colorado.gov/sites/default/files/documents/2024B/bills/2024b_1001_rer.pdf
https://leg.colorado.gov/sites/default/files/documents/2025A/bills/fn/2025a_hcr1001_00.pdf
https://leg.colorado.gov/bills/HCR25-1001
https://www.coloradopolitics.com/2024/11/06/arapahoe-jefferson-county-officials-cheer-de-brucing-wins
https://yellowscene.com/2023/05/18/colorado-homeowners-are-fed-up-with-metro-districts-but-reforms-are-hard-to-come-by/
https://www.lincolninst.edu/app/uploads/2024/10/revenue_and_expenditure_limits_2022.xlsx
https://taxfoundation.org/research/state-tax/2026-state-tax-ballot-measures/
https://www.leg.colorado.gov/bills/sb24-233
https://leg.colorado.gov/bills/HB26-1209
https://content.leg.colorado.gov/publications/report-2026-property-tax-balancing-percentage
https://kiowacountypress.net/content/14-measures-will-appear-colorados-statewide-ballot-2026
https://www.denvergazette.com/2024/09/04/colorado-property-tax-ballot-initiatives-withdrawn-as-part-of-deal-with-governor-lawmakers/
https://gazette.com/?p=1097373
https://leg.colorado.gov/sites/default/files/documents/2024A/bills/2024a_233_rev.pdf</t>
        </is>
      </c>
    </row>
    <row r="8" ht="409" customHeight="1">
      <c r="A8" s="13" t="inlineStr">
        <is>
          <t>Connecticut</t>
        </is>
      </c>
      <c r="B8" s="4" t="inlineStr">
        <is>
          <r>
            <rPr>
              <rFont val="Carlito"/>
              <b val="1"/>
              <sz val="14"/>
            </rPr>
            <t>F.</t>
          </r>
          <r>
            <rPr>
              <rFont val="Carlito"/>
              <sz val="11"/>
            </rPr>
            <t xml:space="preserve">
Restriction points 2 of 18 (assessment cap 1; rate cap 1). Deductions: built-in loopholes -0.5; workarounds in practice +0; state buydowns +0; data record +0.5. Total 2 = F (A 11+, B 8.5-10.9, C 5.5-8.4, D 3-5.4, F under 3).
Why: Built-in loopholes -0.5: the one spending limit carries broad exclusions (special education, debt service, capital) and has never been enforced. Workarounds 0: with no binding limit there is little to work around. Buydowns 0: the car-tax grant, PILOTs and the circuit breaker appear to be below 5% of the $12.57 billion FY2024 total (not computed). Record +0.5: real growth per person of 19% (FY2002-FY2022, U.S. 23.4%) and -13.3% (FY2019-FY2024, U.S. -1.1%), and real homeowner bills down 6.8% since 2010, against a heavy level (3.50% of income, 43rd; 1.66% effective rate, 48th).</t>
          </r>
        </is>
      </c>
      <c r="C8" s="4">
        <f>((LEFT(D8,3)="Yes")+(LEFT(E8,3)="Yes")+(LEFT(F8,3)="Yes")+(LEFT(G8,3)="Yes"))&amp;" of 4 in force"&amp;IF(((LEFT(D8,7)="Partial")+(LEFT(E8,7)="Partial")+(LEFT(F8,7)="Partial")+(LEFT(G8,7)="Partial"))&gt;0," + "&amp;((LEFT(D8,7)="Partial")+(LEFT(E8,7)="Partial")+(LEFT(F8,7)="Partial")+(LEFT(G8,7)="Partial"))&amp;" partial","")&amp;CHAR(10)&amp;CHAR(10)&amp;IF(LEFT(D8,3)="Yes","✓",IF(LEFT(D8,7)="Partial","◐","✗"))&amp;" Spending limit"&amp;CHAR(10)&amp;IF(LEFT(E8,3)="Yes","✓",IF(LEFT(E8,7)="Partial","◐","✗"))&amp;" Levy limit"&amp;CHAR(10)&amp;IF(LEFT(F8,3)="Yes","✓",IF(LEFT(F8,7)="Partial","◐","✗"))&amp;" Assessment cap"&amp;CHAR(10)&amp;IF(LEFT(G8,3)="Yes","✓",IF(LEFT(G8,7)="Partial","◐","✗"))&amp;" Rate cap"</f>
        <v/>
      </c>
      <c r="D8" s="4" t="inlineStr">
        <is>
          <r>
            <rPr>
              <rFont val="Carlito"/>
              <b val="1"/>
              <sz val="11"/>
            </rPr>
            <t>No.</t>
          </r>
          <r>
            <rPr>
              <rFont val="Carlito"/>
              <sz val="11"/>
            </rPr>
            <t xml:space="preserve"> (cap suspended for FY2026 and FY2027)
Connecticut's only municipal spending limit, a soft cap tied to state aid, is suspended. Since FY2018, a municipality that raises adopted budget expenditures by more than 2.5% or the rate of inflation (whichever is greater) loses 50 cents of its Municipal Revenue Sharing grant for each dollar over the cap. Excluded: debt service, special education, court orders and arbitration awards, declared disasters, audited deficits, nonrecurring grants, capital items of $100,000+ and unfunded pension payments. Inflation set the FY2024 cap at 6.18%. PA 25-3 (SB 1553, 2025) barred the Office of Policy and Management from cutting grants for FY2026, and section 175 of the 2026 budget act (SB 1, signed May 26, 2026) bars enforcement in FY2026 and FY2027. The Office of Fiscal Analysis reports that, as of May 1, 2026, no violation had ever been enforced, and that the Municipal Revenue Sharing Fund had no money left at the close of FY2025 to pay the grant used to enforce the cap.
Coded No: the cap has never been applied and is suspended through June 30, 2027.
Authority: Conn. Gen. Stat. §4-66l(f) (PA 17-2, June Special Session 2017); PA 25-3 (2025); SB 1 (2026), §175.</t>
          </r>
        </is>
      </c>
      <c r="E8" s="4" t="inlineStr">
        <is>
          <r>
            <rPr>
              <rFont val="Carlito"/>
              <b val="1"/>
              <sz val="11"/>
            </rPr>
            <t>No.</t>
          </r>
          <r>
            <rPr>
              <rFont val="Carlito"/>
              <sz val="11"/>
            </rPr>
            <t xml:space="preserve">
No limit on growth in municipal property tax levies. Town budgets are set by town meeting, referendum or council vote, with the mill rate set to balance the budget.</t>
          </r>
        </is>
      </c>
      <c r="F8" s="4" t="inlineStr">
        <is>
          <r>
            <rPr>
              <rFont val="Carlito"/>
              <b val="1"/>
              <sz val="11"/>
            </rPr>
            <t>Partial.</t>
          </r>
          <r>
            <rPr>
              <rFont val="Carlito"/>
              <sz val="11"/>
            </rPr>
            <t xml:space="preserve">
No assessment growth cap. Property is assessed at 70% of market value and revalued every five years. Municipalities may phase in revaluation increases over up to five years (choosing to phase in 25%-100% of the increase), and the legislative body can end a phase-in.
Authority: Conn. Gen. Stat. §12-62a (70% ratio); §12-62c (phase-in option, 1987).</t>
          </r>
        </is>
      </c>
      <c r="G8" s="4" t="inlineStr">
        <is>
          <r>
            <rPr>
              <rFont val="Carlito"/>
              <b val="1"/>
              <sz val="11"/>
            </rPr>
            <t>Partial.</t>
          </r>
          <r>
            <rPr>
              <rFont val="Carlito"/>
              <sz val="11"/>
            </rPr>
            <t xml:space="preserve">
No cap on real property mill rates. Motor vehicles are the exception: the mill rate on cars is capped at 32.46 mills (combined with any special district or borough levy), and the state reimburses towns for revenue lost to the cap through a sales-tax-funded grant.
Authority: Conn. Gen. Stat. §12-71e (as amended by PA 22-118).</t>
          </r>
        </is>
      </c>
      <c r="H8" s="4" t="inlineStr">
        <is>
          <r>
            <rPr>
              <rFont val="Carlito"/>
              <b val="1"/>
              <sz val="11"/>
            </rPr>
            <t>No.</t>
          </r>
          <r>
            <rPr>
              <rFont val="Carlito"/>
              <sz val="11"/>
            </rPr>
            <t xml:space="preserve">
Schools are departments of towns (or regional districts that bill member towns), so school costs flow straight into the town mill rate; nothing limits their growth. Special education is excluded even from the soft spending cap.</t>
          </r>
        </is>
      </c>
      <c r="I8" s="4" t="inlineStr">
        <is>
          <r>
            <rPr>
              <rFont val="Carlito"/>
              <b val="1"/>
              <sz val="11"/>
            </rPr>
            <t>No.</t>
          </r>
          <r>
            <rPr>
              <rFont val="Carlito"/>
              <sz val="11"/>
            </rPr>
            <t xml:space="preserve">
No state property tax.</t>
          </r>
        </is>
      </c>
      <c r="J8" s="4" t="inlineStr">
        <is>
          <r>
            <rPr>
              <rFont val="Carlito"/>
              <b val="1"/>
              <sz val="11"/>
            </rPr>
            <t>Partial.</t>
          </r>
          <r>
            <rPr>
              <rFont val="Carlito"/>
              <sz val="11"/>
            </rPr>
            <t xml:space="preserve">
No mandatory homestead exemption. A 2024 law lets a town exempt 5% to 35% of the assessed value of a primary residence; only one municipality had adopted it by April 2026. The 2026 session (SB 1) adds a second local option: a $50,000 assessed-value homestead exemption starting with the Oct. 1, 2027 grand list (a town may not use both). Veterans and seniors have separate exemptions and local options.
Authority: Conn. Gen. Stat. §12-81oo (2024); SB 1 (2026), §§224-225.</t>
          </r>
        </is>
      </c>
      <c r="K8" s="4" t="inlineStr">
        <is>
          <r>
            <rPr>
              <rFont val="Carlito"/>
              <b val="1"/>
              <sz val="11"/>
            </rPr>
            <t>Yes.</t>
          </r>
          <r>
            <rPr>
              <rFont val="Carlito"/>
              <sz val="11"/>
            </rPr>
            <t xml:space="preserve">
Elderly/disabled homeowners circuit breaker: credit of up to $1,250 (married) or $1,000 (single) for homeowners 65+ or totally disabled with 2025 income under $56,500 (married) or $46,300 (single), applied to the tax bill. State income tax credit for property taxes on a home or car: up to $300, income-limited, now open to all adults meeting the income test. Renters' rebate for seniors and disabled renters. Local options for tax freezes and deferrals.
Authority: Conn. Gen. Stat. §12-170aa; §12-704c; §12-170d.</t>
          </r>
        </is>
      </c>
      <c r="L8" s="4" t="inlineStr">
        <is>
          <r>
            <rPr>
              <rFont val="Carlito"/>
              <b val="1"/>
              <sz val="11"/>
            </rPr>
            <t>Yes.</t>
          </r>
          <r>
            <rPr>
              <rFont val="Carlito"/>
              <sz val="11"/>
            </rPr>
            <t xml:space="preserve">
- Motor Vehicle Tax Grant: the state reimburses towns for revenue lost to the statewide 32.46-mill cap on motor vehicle property tax rates; $127.5 million in FY2026 and $111.6 million in FY2027 under the revised budget.
- Tiered PILOT: the state pays towns in lieu of taxes on private colleges and hospitals that state law exempts, and on state-owned property; $346.0 million in FY2026 and $354.3 million in FY2027 for both together.
Both grants are paid from the Municipal Revenue Sharing Fund, which receives a diversion of sales tax revenue and a General Fund transfer. Smaller reimbursements cover added exemptions for veterans and people with disabilities.
Authority: CGS §§ 4-66l, 12-71e, 12-18b, 12-20a; OFA FY 26 and FY 27 Budget, Part V Municipal Aid; OFA FY 27 Connecticut Budget Revisions (PA 26-68).</t>
          </r>
        </is>
      </c>
      <c r="M8" s="4" t="inlineStr">
        <is>
          <r>
            <rPr>
              <rFont val="Carlito"/>
              <b val="1"/>
              <sz val="11"/>
            </rPr>
            <t>No.</t>
          </r>
          <r>
            <rPr>
              <rFont val="Carlito"/>
              <sz val="11"/>
            </rPr>
            <t/>
          </r>
        </is>
      </c>
      <c r="N8" s="4" t="inlineStr">
        <is>
          <r>
            <rPr>
              <rFont val="Carlito"/>
              <b val="1"/>
              <sz val="11"/>
            </rPr>
            <t>No.</t>
          </r>
          <r>
            <rPr>
              <rFont val="Carlito"/>
              <sz val="11"/>
            </rPr>
            <t xml:space="preserve">
No rollback after revaluation. Towns set the mill rate to fund the budget; revaluation shifts the burden among classes and owners.</t>
          </r>
        </is>
      </c>
      <c r="O8" s="4" t="inlineStr">
        <is>
          <r>
            <rPr>
              <rFont val="Carlito"/>
              <b val="1"/>
              <sz val="11"/>
            </rPr>
            <t>No.</t>
          </r>
          <r>
            <rPr>
              <rFont val="Carlito"/>
              <sz val="11"/>
            </rPr>
            <t xml:space="preserve">
No state supermajority requirement for local tax increases. Some town charters require referenda on budgets, decided by majority.</t>
          </r>
        </is>
      </c>
      <c r="P8" s="4" t="inlineStr">
        <is>
          <r>
            <rPr>
              <rFont val="Carlito"/>
              <b val="1"/>
              <sz val="11"/>
            </rPr>
            <t>No.</t>
          </r>
          <r>
            <rPr>
              <rFont val="Carlito"/>
              <sz val="11"/>
            </rPr>
            <t xml:space="preserve">
Town budget referenda are held on dates set by charter, usually in spring.</t>
          </r>
        </is>
      </c>
      <c r="Q8" s="4" t="inlineStr">
        <is>
          <r>
            <rPr>
              <rFont val="Carlito"/>
              <b val="1"/>
              <sz val="11"/>
            </rPr>
            <t>No.</t>
          </r>
          <r>
            <rPr>
              <rFont val="Carlito"/>
              <sz val="11"/>
            </rPr>
            <t xml:space="preserve">
The general town levy is unrestricted. Special taxing districts (fire, sewer and similar) levy only for their purposes.</t>
          </r>
        </is>
      </c>
      <c r="R8" s="4" t="inlineStr">
        <is>
          <t>169 towns and cities (no county government since 1960); 17 regional school districts, which bill member towns and levy no tax directly; about 430 special districts and boroughs in the Census count, including fire districts and other special taxing districts that levy their own mill rates. Census of Governments 2022: 629 local governments.</t>
        </is>
      </c>
      <c r="S8" s="4" t="inlineStr">
        <is>
          <t>Verdict: Partly. Property tax per person rose 13.2% after inflation from FY2002 to FY2024, against 25.9% for the U.S., and fell 13.3% from FY2019 to FY2024 with no binding limit in place; the FY2024 level of $3,422 per person tops the U.S. $2,132.
Why it leaks: Connecticut has no levy limit. Its one mill rate cap covers cars (Conn. Gen. Stat. §12-71e). The sole spending limit, a grant penalty under §4-66l(f), has never been enforced and is suspended for FY2026 and FY2027 by SB 1. Towns receive sales-tax-funded state grants with no duty to cut rates, a subsidy that counts against the state.
How localities get around it: There is little to work around. Bridgeport cut its FY2027 mill rate about 40% after revaluation, and with no rollback rule that cut does not show whether its levy fell.
Full record:
Has it worked? There is little to work around. Connecticut has no levy limit and no rate cap on homes, and its only spending limit is a grant penalty that, by the Legislature's own fiscal office, had never been enforced as of May 2026 and is suspended for FY2026 and FY2027; inflation allowed 6.18% growth in FY2024. Property tax is nearly the only local tax (98.5% of local tax revenue, Census FY2022).
The record (Census, BEA, ACS): state and local property tax was $3,422 per person in FY2024 (U.S. $2,132), 3.50% of personal income (8th-highest of 50; U.S. 2.89%). After inflation, collections per person (all state and local property tax divided by residents) rose 13.2% from FY2002 to FY2024 (U.S. +25.9%) and fell 13.3% from FY2019 to FY2024 (U.S. -1.1%). The median homeowner paid $6,573 in 2024 (U.S. $3,211); the median bill fell 6.8% after inflation from 2010 to 2024 (U.S. +9.3%). The Tax Foundation's 2026 ranking puts its effective property tax rate on owner-occupied homes at 1.54%, 48th-lowest of 50. By the same measure it was 1.38% in 2010 (U.S. 1.00% in 2010, 0.94% in 2024).
Where caps exist, the state pays for them: the motor vehicle mill rate cap is funded by diverting state sales tax to towns. The 2026 budget deal added municipal aid pitched as property tax relief, with no requirement that towns cut rates: about $270 million by the Yankee Institute's count, and a $272.9 million increase including $100 million in one-time aid by the Governor's office.
Revaluation: towns may phase in increases, and the 2026 session let Hartford delay its Oct. 1, 2026 revaluation by a year. Bridgeport cut its FY2027 mill rate about 40%, to 27.95, after revaluation raised its grand list to about $13 billion; with no rollback or truth-in-taxation rule, the lower rate alone does not show whether the city's levy fell (City of Bridgeport, May 20, 2026).
Big cities: the FY2027 state budget raised state funding for Hartford by $33.6 million, Bridgeport by $25.4 million and New Haven by $20.1 million, part of a $272.9 million statewide increase that includes $100 million in one-time municipal aid (Office of the Governor, May 3, 2026). The state carries the cost while city budgets stay outside any binding limit.</t>
        </is>
      </c>
      <c r="T8" s="4" t="inlineStr">
        <is>
          <t>- Yankee Institute, Meghan Portfolio, "When Connecticut Mandates, Towns Pay" (Aug. 21, 2026). A review of the state's 2020-2025 mandate reports found at least 104 public and special act entries that leave towns or school districts with some of the cost of compliance; 58 had no dollar cost assigned by the Office of Fiscal Analysis, and 28 involved schools. Backs Rep. Mitch Bolinsky's bill, filed in 2023 and 2025 without a hearing, to require a two-thirds vote in both chambers to create or expand an unfunded mandate, and notes that Maine requires the state to cover 90 percent of the added local cost of a mandate. https://www.yankeeinstitute.org/2026/08/21/when-connecticut-mandates-towns-pay/
- Yankee Institute, Meghan Portfolio, "A Task Force, Numerous Bills and a Car Tax That Refuses to Die" (July 24, 2026). Towns collect about $1 billion a year in motor vehicle property tax, and repeated bills to phase it out with state reimbursement have gone nowhere. The task force co-chaired by Sen. MD Rahman (D-Manchester) recommended letting towns drop the tax and tax a larger share of the value of homes and businesses, which Yankee calls "a tax shift." https://www.yankeeinstitute.org/2026/07/24/a-task-force-numerous-bills-and-a-car-tax-that-refuses-to-die/
- Yankee Institute, Meghan Portfolio, "Connecticut’s “Relief” for Towns Needs Safeguards — Or It Risks Becoming the Next Tax Increase" (April 29, 2026). The proposed $270 million in new municipal aid carries no requirement to cut or stabilize taxes, and one-time money tends to become permanent spending. It asks that the funds be limited to closing deficits and preventing mill rate increases, with towns disclosing what their tax rate would have been without the aid. Towns that do not need the money should pass it to taxpayers through lower tax rates or other local relief. https://www.yankeeinstitute.org/2026/04/29/connecticuts-relief-for-towns-needs-safeguards-or-it-risks-becoming-the-next-tax-increase/
- Yankee Institute, Meghan Portfolio, "Connecticut Does it Again: Still Top Three in Property Taxes" (March 19, 2026). Uses the Tax Foundation's Census-based ranking: Connecticut has the third-highest effective property tax rate (about 1.54 percent, against New York's 1.30 percent) for the third year running, after ranking fifth a few years earlier, trailing only New Jersey and Illinois. https://www.yankeeinstitute.org/2026/03/19/connecticut-does-it-again-still-top-three-in-property-taxes/
- Yankee Institute, Meghan Portfolio, "Progressives Push Trio of ‘Tax-the-Rich’ Bills — Including New State Property Tax" (Feb. 26, 2026). Criticizes Senate Bill 101, the first state-level property tax Connecticut would impose, at 2 to 4 mills on homes assessed above $3 million, heard alongside income tax and capital gains surcharges. https://www.yankeeinstitute.org/2026/02/26/progressives-push-trio-of-tax-the-richm-bills-including-new-state-property-tax/
- Connecticut Senate Republicans (reported by the Connecticut Business and Industry Association), "Senate GOP Releases $1.5B Tax, Energy Relief Plan" (Feb. 12, 2026). Would cut income tax rates and give individuals earning under $100,000 and couples under $200,000 a fully refundable state income tax credit for motor vehicle taxes paid to towns (estimated under $600 million a year), keeping the $300 property tax credit. https://www.cbia.com/?p=174685
- Reason Foundation, Mariana Trujillo and Bryce Chinault, "Connecticut’s fiscal guardrails are a solution, not the problem" (Dec. 10, 2024). Answers the Connecticut Conference of Municipalities, which blamed rising property taxes on the 2017 guardrails that cap state spending growth and send surpluses to pension debt. Pension costs rose from 6.5% of payroll in 1995 to 39% in 2024, two-thirds of it for past debt, and $7.7 billion in extra contributions from FY2020 to FY2023 freed about $738 million a year in the state budget; it tells towns that want more education aid or tax relief to back the guardrails. https://reason.org/commentary/connecticuts-fiscal-guardrails-are-a-solution-not-the-problem/
Linked list: 7 items on the Analyses sheet (filter State = Connecticut); every source URL is linked on the Sources sheet.</t>
        </is>
      </c>
      <c r="U8" s="4" t="inlineStr">
        <is>
          <t>2017: municipal spending cap created (grant penalty).
2022: car tax cap lowered to 32.46 mills (PA 22-118).
2024: local-option homestead exemption (5%-35% of assessed value) enacted; one town adopted it.
2025: PA 25-3 (SB 1553) suspended enforcement of the municipal spending cap for FY2026.
2026: SB 1 adds a local-option $50,000 homestead exemption from Oct. 1, 2027; SB 477 allows Hartford to delay revaluation; the budget deal added a one-time $270 million in municipal aid; section 175 of the budget act (SB 1, signed May 26, 2026) bars spending-cap enforcement in FY2026 and FY2027. Senate Republicans proposed a refundable income tax credit for car taxes (Feb. 10, 2026); the car tax remains. A proposed statewide property tax on high-value homes was heard by the Finance, Revenue and Bonding Committee on Feb. 27, 2026 and was not enacted.
No statewide property tax measure on the Nov. 2026 ballot.</t>
        </is>
      </c>
      <c r="V8" s="4" t="inlineStr">
        <is>
          <t>48th (1.54% effective rate; 1.38% in 2010)</t>
        </is>
      </c>
      <c r="W8" s="4" t="inlineStr">
        <is>
          <t>Connecticut has none of the four regimes in binding form: no levy limit, no assessment cap, a rate cap only on cars, and a municipal spending cap enforced through a grant penalty that has never been applied and is suspended through FY2027. Property taxes fund almost all local government, and the state's response has been grants and local-option exemptions.</t>
        </is>
      </c>
      <c r="X8" s="4" t="inlineStr">
        <is>
          <t>https://portal.ct.gov/-/media/opm/igpp/munfinsr/ucoa/ceo-cfo-spending-cap-letter-fy24.pdf
https://prdext3.cga.ct.gov/2025/FN/PDF/2025SB-01553-R00-FN.PDF
https://prdext3.cga.ct.gov/2022/rpt/pdf/2022-R-0217.pdf
https://www.pullcom.com/for-what-it-may-be-worth/connecticuts-2026-legislative-session-yields-property-tax-changes
https://www.pullcom.com/for-what-it-may-be-worth/homestead-property-tax-exemption-bill-advances-in-connecticut
https://my.aarpfoundation.org/property-taxes/taxpayer-states/connecticut/
https://www.cga.ct.gov/current/pub/chap_203.htm
https://www.lincolninst.edu/app/uploads/2024/12/assessment_limits_2022-3.xlsx
https://www.wshu.org/connecticut-news/2026-04-29/ct-budget-aid-increase-cities-towns
https://prdext3.cga.ct.gov/2025/sum/pdf/2025SUM00003-R01SB-01553-SUM.pdf
https://prdext3.cga.ct.gov/2026/FN/PDF/2026SB-00001-R01-FN.PDF
https://www.wtnh.com/news/connecticut/lamont-signs-fy-2027-state-budget-adjustment-bill-into-law/amp/
https://portal.ct.gov/governor/news/press-releases/2026/05-2026/governor-lamont-announces-town-by-town-increase-in-state-funding
https://www.bridgeportct.gov/news/mayor-ganim-announces-lowest-mill-rate-decades-city-council-approves-historic-40-mill-rate-reduction
https://www.cbia.com/?p=174685</t>
        </is>
      </c>
    </row>
    <row r="9" ht="409" customHeight="1">
      <c r="A9" s="13" t="inlineStr">
        <is>
          <t>Delaware</t>
        </is>
      </c>
      <c r="B9" s="4" t="inlineStr">
        <is>
          <r>
            <rPr>
              <rFont val="Carlito"/>
              <b val="1"/>
              <sz val="14"/>
            </rPr>
            <t>D.</t>
          </r>
          <r>
            <rPr>
              <rFont val="Carlito"/>
              <sz val="11"/>
            </rPr>
            <t xml:space="preserve">
Restriction points 6.25 of 18 (levy limit 2; rate cap 1; truth in taxation 2; rollback 0.5; school districts covered 0.5; use restrictions 0.25). Deductions: built-in loopholes -2; workarounds in practice -1; state buydowns +0; data record +0.5. Total 3.75 = D (A 11+, B 8.5-10.9, C 5.5-8.4, D 3-5.4, F under 3).
Why: Built-in loopholes -2: the limits apply only in reassessment years; counties may take 15% more revenue and school boards took up to 10% more in 2025 without a vote; match and tuition taxes need no referendum, and from FY2031 boards may raise rates 2% a year without one. Workarounds -1: New Castle County proposed a 17.2% county tax increase for FY2027 a year after reassessment, and the Legislature let school districts shift taxes onto businesses with split rates (now 1.85x). Buydowns 0: the Senior School Property Tax Credit is far below 5% of the $1.14 billion FY2024 total. Record +0.5: a low level (1.66% of income, 5th lowest; 0.47% effective rate) and slow homeowner bill growth (1.5% real since 2010), offset by fast long-run growth per person (43.1%, FY2002-FY2022, U.S. 23.4%); the data end before the 2025 reassessment bills.</t>
          </r>
        </is>
      </c>
      <c r="C9" s="4">
        <f>((LEFT(D9,3)="Yes")+(LEFT(E9,3)="Yes")+(LEFT(F9,3)="Yes")+(LEFT(G9,3)="Yes"))&amp;" of 4 in force"&amp;IF(((LEFT(D9,7)="Partial")+(LEFT(E9,7)="Partial")+(LEFT(F9,7)="Partial")+(LEFT(G9,7)="Partial"))&gt;0," + "&amp;((LEFT(D9,7)="Partial")+(LEFT(E9,7)="Partial")+(LEFT(F9,7)="Partial")+(LEFT(G9,7)="Partial"))&amp;" partial","")&amp;CHAR(10)&amp;CHAR(10)&amp;IF(LEFT(D9,3)="Yes","✓",IF(LEFT(D9,7)="Partial","◐","✗"))&amp;" Spending limit"&amp;CHAR(10)&amp;IF(LEFT(E9,3)="Yes","✓",IF(LEFT(E9,7)="Partial","◐","✗"))&amp;" Levy limit"&amp;CHAR(10)&amp;IF(LEFT(F9,3)="Yes","✓",IF(LEFT(F9,7)="Partial","◐","✗"))&amp;" Assessment cap"&amp;CHAR(10)&amp;IF(LEFT(G9,3)="Yes","✓",IF(LEFT(G9,7)="Partial","◐","✗"))&amp;" Rate cap"</f>
        <v/>
      </c>
      <c r="D9" s="4" t="inlineStr">
        <is>
          <r>
            <rPr>
              <rFont val="Carlito"/>
              <b val="1"/>
              <sz val="11"/>
            </rPr>
            <t>No.</t>
          </r>
          <r>
            <rPr>
              <rFont val="Carlito"/>
              <sz val="11"/>
            </rPr>
            <t xml:space="preserve">
No cap on county, municipal or school district spending growth. School districts' local operating revenue is restrained only by the referendum requirement for tax rate increases (see Rate limits); no spending formula applies.</t>
          </r>
        </is>
      </c>
      <c r="E9" s="4" t="inlineStr">
        <is>
          <r>
            <rPr>
              <rFont val="Carlito"/>
              <b val="1"/>
              <sz val="11"/>
            </rPr>
            <t>Partial.</t>
          </r>
          <r>
            <rPr>
              <rFont val="Carlito"/>
              <sz val="11"/>
            </rPr>
            <t xml:space="preserve">
Reassessment-year limits only. Counties: after a total reassessment the county must compute a "rolled-back rate" that raises the same revenue as the prior year, but may adopt a rate yielding up to 15% more revenue in the first year (new construction excluded from the calculation). School districts: for reassessments before Jan. 1, 2026, a board could set a rate raising up to 10% more operating revenue without a referendum (a 1972 provision unused for decades because counties never reassessed; in 2025 boards took from 1% to the full 10%). For later reassessments the cap is prior-year operating revenue plus the district's five-year average growth rate in taxable property. Outside reassessment years there is no levy limit.
Authority: 9 Del. C. §8002(c)-(e); 14 Del. C. §1916(b) (as amended 2025-2026).</t>
          </r>
        </is>
      </c>
      <c r="F9" s="4" t="inlineStr">
        <is>
          <r>
            <rPr>
              <rFont val="Carlito"/>
              <b val="1"/>
              <sz val="11"/>
            </rPr>
            <t>No.</t>
          </r>
          <r>
            <rPr>
              <rFont val="Carlito"/>
              <sz val="11"/>
            </rPr>
            <t xml:space="preserve">
No annual assessment cap. Counties went decades without reassessing (base years 1974 in Sussex and 1980s in Kent and New Castle) until a 2020 Chancery Court ruling that the stale values violated the Constitution's uniformity clause; the settlement forced countywide reassessments in 2021-2025. HB 62 (2023) now requires reassessment every five years. Average New Castle County residential assessments rose about 433% when values were updated.
Authority: Del. Code tit. 9 ch. 83; HB 62 (2023).</t>
          </r>
        </is>
      </c>
      <c r="G9" s="4" t="inlineStr">
        <is>
          <r>
            <rPr>
              <rFont val="Carlito"/>
              <b val="1"/>
              <sz val="11"/>
            </rPr>
            <t>Partial.</t>
          </r>
          <r>
            <rPr>
              <rFont val="Carlito"/>
              <sz val="11"/>
            </rPr>
            <t xml:space="preserve">
No overall rate cap. School districts need a referendum (majority vote) to raise the current-expense tax rate, but boards may levy some taxes without one: the local share needed to match state appropriations (§1902(b)) and the tuition tax for students sent to other districts (§602(e)). A 2026 change also lets a board raise its rate up to 2% a year without a referendum (if reserves are under 10% of revenue), starting in FY2031 or after the district's next post-reassessment reset. County and municipal councils set rates by ordinance.
Authority: 14 Del. C. §§602(e), 1902(b), 1903, 1914(b), 1916.</t>
          </r>
        </is>
      </c>
      <c r="H9" s="4" t="inlineStr">
        <is>
          <r>
            <rPr>
              <rFont val="Carlito"/>
              <b val="1"/>
              <sz val="11"/>
            </rPr>
            <t>Partial.</t>
          </r>
          <r>
            <rPr>
              <rFont val="Carlito"/>
              <sz val="11"/>
            </rPr>
            <t xml:space="preserve">
Schools are covered by the referendum requirement for operating rates, but match and tuition taxes (and, in the 2021-2025 reassessments, a 10% post-reassessment allowance) let boards raise revenue without a vote. Since 2025, New Castle County school districts may set split rates (non-residential up to 2x residential under HB 242; 1.85x under HB 462, which became law without the governor's signature in August 2026).</t>
          </r>
        </is>
      </c>
      <c r="I9" s="4" t="inlineStr">
        <is>
          <r>
            <rPr>
              <rFont val="Carlito"/>
              <b val="1"/>
              <sz val="11"/>
            </rPr>
            <t>No.</t>
          </r>
          <r>
            <rPr>
              <rFont val="Carlito"/>
              <sz val="11"/>
            </rPr>
            <t xml:space="preserve">
No state property tax. The state funds about 60% of school costs through its unit-based formula; local school property taxes provide about 31%.</t>
          </r>
        </is>
      </c>
      <c r="J9" s="4" t="inlineStr">
        <is>
          <r>
            <rPr>
              <rFont val="Carlito"/>
              <b val="1"/>
              <sz val="11"/>
            </rPr>
            <t>Partial.</t>
          </r>
          <r>
            <rPr>
              <rFont val="Carlito"/>
              <sz val="11"/>
            </rPr>
            <t xml:space="preserve">
No general homestead exemption. Counties grant elderly and disabled exemptions (New Castle County raised its value limit from $32,000 to $173,000 and income limits to $50,000 single / $65,000 couple after reassessment; HB 159 of 2025 allowed the school-tax elderly exemption to be updated too).
Authority: 14 Del. C. §1902 (exemption amounts updated after reassessment); HB 159 (2025).</t>
          </r>
        </is>
      </c>
      <c r="K9" s="4" t="inlineStr">
        <is>
          <r>
            <rPr>
              <rFont val="Carlito"/>
              <b val="1"/>
              <sz val="11"/>
            </rPr>
            <t>Yes.</t>
          </r>
          <r>
            <rPr>
              <rFont val="Carlito"/>
              <sz val="11"/>
            </rPr>
            <t xml:space="preserve">
Senior School Property Tax Credit: the state pays 50% of a senior homeowner's school property tax (non-debt portion), up to $500, for eligible owners 65+. HB 241 (2025) requires counties to offer installment plans when a primary-residence school tax bill rises $300 or more.
Authority: Delaware Senior School Property Tax Credit program (Department of Finance).</t>
          </r>
        </is>
      </c>
      <c r="L9" s="4" t="inlineStr">
        <is>
          <r>
            <rPr>
              <rFont val="Carlito"/>
              <b val="1"/>
              <sz val="11"/>
            </rPr>
            <t>Partial.</t>
          </r>
          <r>
            <rPr>
              <rFont val="Carlito"/>
              <sz val="11"/>
            </rPr>
            <t xml:space="preserve">
The state pays half of the regular school property tax on the primary residence of homeowners 65 and older, up to $500 a year, as a credit on the school tax bill; people who moved to Delaware in 2018 or later must have lived in the state 10 years. A separate state fund pays a school tax credit for eligible veterans. The FY2027 budget appropriates $33.0 million to the Elder Tax Relief and Education Expense Fund and $3.5 million to the Veterans Tax Relief Education Expense Fund. State school funding through the unit formula is general school aid and does not count.
Authority: 14 Del. C. § 1917; SB 335 (FY2027 Appropriations Act), § 1 (OMB 10-02-11) and § 69.</t>
          </r>
        </is>
      </c>
      <c r="M9" s="4" t="inlineStr">
        <is>
          <r>
            <rPr>
              <rFont val="Carlito"/>
              <b val="1"/>
              <sz val="11"/>
            </rPr>
            <t>Yes.</t>
          </r>
          <r>
            <rPr>
              <rFont val="Carlito"/>
              <sz val="11"/>
            </rPr>
            <t xml:space="preserve">
After a total reassessment, the county ordinance setting the tax rate must state the percentage by which the rate exceeds the rolled-back rate, and the county must advertise that percentage increase in a newspaper within 15 days. Delaware is the only truth-in-taxation state that requires no public hearing on the levy.
Coded Yes because Delaware meets two of the three key truth-in-taxation requirements (a rollback rate calculation, mailed parcel-specific notices and a governing-body vote to exceed the rollback rate).
Authority: 9 Del. C. §8002(e).</t>
          </r>
        </is>
      </c>
      <c r="N9" s="4" t="inlineStr">
        <is>
          <r>
            <rPr>
              <rFont val="Carlito"/>
              <b val="1"/>
              <sz val="11"/>
            </rPr>
            <t>Partial.</t>
          </r>
          <r>
            <rPr>
              <rFont val="Carlito"/>
              <sz val="11"/>
            </rPr>
            <t xml:space="preserve">
Rollback is required only in reassessment years, and it is soft: counties may still capture up to 15% more revenue, and school districts could take up to 10% more in the 2021-2025 reassessments (future reassessments: five-year average base growth) without a vote.</t>
          </r>
        </is>
      </c>
      <c r="O9" s="4" t="inlineStr">
        <is>
          <r>
            <rPr>
              <rFont val="Carlito"/>
              <b val="1"/>
              <sz val="11"/>
            </rPr>
            <t>No.</t>
          </r>
          <r>
            <rPr>
              <rFont val="Carlito"/>
              <sz val="11"/>
            </rPr>
            <t xml:space="preserve">
School tax referenda pass by simple majority; councils set county and municipal rates by ordinary vote.</t>
          </r>
        </is>
      </c>
      <c r="P9" s="4" t="inlineStr">
        <is>
          <r>
            <rPr>
              <rFont val="Carlito"/>
              <b val="1"/>
              <sz val="11"/>
            </rPr>
            <t>No.</t>
          </r>
          <r>
            <rPr>
              <rFont val="Carlito"/>
              <sz val="11"/>
            </rPr>
            <t xml:space="preserve">
School referenda are scheduled by each district, often in winter or spring.</t>
          </r>
        </is>
      </c>
      <c r="Q9" s="4" t="inlineStr">
        <is>
          <r>
            <rPr>
              <rFont val="Carlito"/>
              <b val="1"/>
              <sz val="11"/>
            </rPr>
            <t>Partial.</t>
          </r>
          <r>
            <rPr>
              <rFont val="Carlito"/>
              <sz val="11"/>
            </rPr>
            <t xml:space="preserve">
School taxes are split into current-expense, debt service, tuition and match levies, each restricted to its purpose. County and municipal general levies are unrestricted.</t>
          </r>
        </is>
      </c>
      <c r="R9" s="4" t="inlineStr">
        <is>
          <t>3 counties; 57 municipalities; 19 school districts (16 regular and 3 vocational-technical); tax ditch and other special districts (233 drainage districts in the Census count). Census of Governments 2022: 334 local governments.</t>
        </is>
      </c>
      <c r="S9" s="4" t="inlineStr">
        <is>
          <t>Verdict: Partly. Property tax per person rose 25.6% after inflation from FY2002 to FY2024, just under the U.S. 25.9%, and fell 7.2% from FY2019 to FY2024, a record that predates the 2025 reassessment bills.
Why it leaks: Delaware's levy limits apply only in reassessment years, when counties may take 15% more revenue in the first year (9 Del. C. §8002); between reassessments no levy limit or rollback applies. Delaware has no spending limit and no assessment cap. School boards levy match taxes (§1902(b)) and tuition taxes (§602(e)) without a referendum.
How localities get around it: After the 2025 reassessment, many school boards took up to 10% more revenue with no referendum. One year later, New Castle County Executive Marcus Henry proposed a 17.2% county tax increase for FY2027.
Full record:
Has it worked? Through FY2024 the tax stayed low, mostly because counties did not reassess for decades; the 2025 reassessment bills fall after the data used here.
The record (Census, BEA, ACS): state and local property tax was $1,086 per person in FY2024 (U.S. $2,132), 1.66% of personal income (46th-highest of 50; U.S. 2.89%). After inflation, collections per person (all state and local property tax divided by residents) rose 25.6% from FY2002 to FY2024 (U.S. +25.9%) and fell 7.2% from FY2019 to FY2024 (U.S. -1.1%). The median homeowner paid $1,750 in 2024 (U.S. $3,211); the median bill rose 1.5% after inflation from 2010 to 2024 (U.S. +9.3%). The Tax Foundation's 2026 ranking puts its effective property tax rate on owner-occupied homes at 0.54%, 12th-lowest of 50. By the same measure it was 0.44% in 2010 (U.S. 1.00% in 2010, 0.94% in 2024).
Delaware avoided property tax increases for decades by never reassessing, which a court declared unconstitutional in 2020. Once values were updated, the law's built-in windfalls kicked in: counties may take 15% more revenue in the first year, and school boards could take up to 10% without a referendum; many boards took some or all of the 10% in 2025, citing federal funding cuts and salary costs. The Legislature has since replaced the 10% allowance with a five-year-average growth limit for future reassessments.
Referendum workarounds: school boards levy match taxes (§1902(b)) and tuition taxes (§602(e)) without voter approval, and from FY2031 may raise operating rates 2% a year without a vote (§1914(b), added 2026).
Shift onto homeowners: the reassessment moved burden from commercial property to homes in New Castle County; the Legislature chose to let districts tax businesses up to 2x (now 1.85x) the residential rate.
Big counties: one year after reassessment, New Castle County Executive Marcus Henry proposed a 17.2% increase in the county property tax for FY2027 ($102 for the median household) to close a $42 million structural deficit; outside reassessment years no levy limit or rollback applies, and Wilmington City Council urged the county council to reject the increase (Resolution 0224, April 16, 2026; Town Square Delaware).
Rate resets: HB 461 (2026) lets school districts reset tax rates again as appeals and quality-control reviews change the New Castle County roll, with tax warrants due by Oct. 22, 2026 (Delaware Public Media, June 30, 2026).
Overall burden: Delaware has no sales tax and low property taxes (effective rate about 0.54%); property tax is 79.6% of local tax revenue (Census FY2022).</t>
        </is>
      </c>
      <c r="T9" s="4" t="inlineStr">
        <is>
          <t>- Delaware House Republicans, "Contentious Two-Tier Tax Bill Becomes Law Without the Governor's Signature" (Aug. 7, 2026). Reports that HB 462 lets New Castle County school districts tax non-residential property at 1.85 times the residential rate, extending a temporary fix for reassessment bills that rose faster for homes than for commercial property. Gov. Matt Meyer let it become law while objecting that apartments, assessed as commercial, push the higher rate onto renters. https://housegop.delaware.gov/2026/08/07/delaware-two-tier-school-tax-bill/
- Caesar Rodney Institute, "SB 322: Delaware Should Not Put School Property Taxes on Autopilot" (June 12, 2026). Opposes SB 322, which swaps the 10% post-reassessment cap for a formula and lets districts raise school taxes up to 2% a year without a referendum when operating reserves stay under 10% of revenue; a 2% annual rise compounds to 21.9% over 10 years, lifting a $3,023 school bill on a $378,000 Christina home to about $3,685. Notes district enrollment grew 0.38% from 2015 to 2025 and asks for State Auditor efficiency audits and outcome reporting before any automatic taxing authority. https://www.caesarrodney.org/post/sb-322-delaware-should-not-put-school-property-taxes-on-autopilot
- Delaware House Republicans, "The Road to Equity: Delaware's Property Reassessment Crisis" (Feb. 27, 2026). Notes the local property tax share supplies about 29% of school revenue (state about 53%) and 81% of a New Castle County property tax bill. Argues the court-ordered reassessment left school funding inequities in place, with taxes still rising in lower-income districts. https://housegop.delaware.gov/2026/02/27/delaware-property-reassessment-equity/
- Delaware House Republicans, "Legislative Probe into Property Reassessment Process Begins" (Oct. 4, 2025). Covers the first special committee hearing, where County Executive Marcus Henry said then-County Executive Matt Meyer held tentative value notices until after the November 2024 election, and Tyler Technologies reported inconsistencies in 55% of 11,500 informal appeals. Rep. Kevin Hensley also faulted the vendor for valuing preserved farmland the same as farmland with development rights. https://housegop.delaware.gov/2025/10/04/legislative-property-reassessment-investigation/
- Caesar Rodney Institute, Charlie Copeland, "Delaware Policy Choices Caused the Property Tax Problem" (Sept. 24, 2025). Argues New Castle County's reassessment, its first since the early 1980s, shifted roughly 10 percentage points of the tax base from commercial to residential property because the county economy stagnated, with real GDP growth of 0.34% a year from 2001 to 2023 against 2.03% nationally, a decline it ties partly to the 1997 Unified Development Code. Calls for regular reassessments and permitting reform beyond "Ready in 6." https://www.caesarrodney.org/post/delaware-policy-choices-caused-the-property-tax-problem
- Delaware House Republicans, Joseph Fulgham, "Legislative Democrats to Continue Self-Serving Work to Clean Up NCCo's Reassessment Snafu" (Aug. 29, 2025). Says New Castle County residential values rose more than fivefold since 1983 while commercial values lagged, shifting the burden to homeowners. Faults Democrats for rushing special-session bills while ignoring Republican bills to double the senior property tax credit (HB 73) and to limit reassessment school tax hikes (HB 245 and HB 246). https://housegop.delaware.gov/2025/08/29/ncco-reassessment-political-fix/
- Delaware House and Senate Republican caucuses, "House &amp; Senate Republicans Propose Bills, Urge Special Session to Deal with Reassessment Aftermath" (July 25, 2025). Blames the school-district allowance to raise total revenue up to 10% after reassessment (14 Del. C. §1916), which the Appoquinimink board used on July 8, 2025, for turning a revenue-neutral reset into a tax increase. Backs Rep. Mike Smith's bill limiting such increases to districts facing a projected deficit, retroactive to July 1, 2025. https://housegop.delaware.gov/2025/07/25/house-senate-republicans-propose-bills-urge-special-session-to-deal-with-reassessment-aftermath/
Linked list: 8 items on the Analyses sheet (filter State = Delaware); every source URL is linked on the Sources sheet.</t>
        </is>
      </c>
      <c r="U9" s="4" t="inlineStr">
        <is>
          <t>2020: Chancery Court ruled Delaware's assessment system unconstitutional; settlement required reassessments in all three counties.
2023: HB 62 requires reassessment every five years.
Aug. 2025 special session (after New Castle County bills spiked): HB 242 (split school rates in New Castle County, non-residential up to 2x), SB 203/SB 204 (municipal and county split-rate authority), HB 240 (refunds after appeals), HB 241 (payment plans), SCR 122 (review of the reassessment).
2026: SB 228 (quality-control review of non-residential parcels, enacted Feb. 2026); amendments to 14 Del. C. §§1914 and 1916 replaced the 10% reassessment windfall with a five-year-average growth limit and authorized 2% annual school rate increases without referendum (from FY2031); the General Assembly passed HB 460-463 by June 30, 2026 (split rates made permanent at 1.85x, rate resets capped at projected revenue, senior school exemption parity) and a Property Tax Relief and Modernization Working Group to study homestead exemptions, circuit breakers and assessment caps. HB 462, the permanent split school rate for New Castle County, became law without Gov. Meyer's signature in August 2026.</t>
        </is>
      </c>
      <c r="V9" s="4" t="inlineStr">
        <is>
          <t>12th (0.54% effective rate; 0.44% in 2010)</t>
        </is>
      </c>
      <c r="W9" s="4" t="inlineStr">
        <is>
          <t>Delaware has almost no limitation regime: no spending cap, no assessment cap, no general rate cap, and levy rules that apply only in reassessment years (counties may still take a 15% windfall). School referenda are the main check, and boards can sidestep them with tuition and match taxes. The 2025 reassessment shock has opened a debate over homestead exemptions and assessment caps.</t>
        </is>
      </c>
      <c r="X9" s="4" t="inlineStr">
        <is>
          <t>https://www.newarkpostonline.com/news/bill-bans-school-property-tax-increases-from-reassessments/article_d90d5490-8380-5fb8-b6fd-71fbb67a9008.html
https://www.delawarepublic.org/politics-government/2025-08-08/what-changes-are-on-the-table-for-tax-relief-following-reassessment-turmoil
https://www.nfib.com/news/news/delaware-2025-special-session-what-you-need-to-know/
https://housedems.delaware.gov/2026/06/19/house-addresses-issues-in-statewide-property-reassessment-process/
https://delcode.delaware.gov/title14/c019/index.html
https://www.lincolninst.edu/app/uploads/2024/10/truth_in_taxation_2024.xlsx
https://www.lincolninst.edu/app/uploads/2025/01/levy_limits_2022.xlsx
https://housegop.delaware.gov/2026/08/07/delaware-two-tier-school-tax-bill/
https://delawarelive.com/delaware-lawmakers-advance-new-castle-county-property-tax-reassessment-reforms-as-debate-shifts-to-long-term-tax-policy/
https://housegop.delaware.gov/2026/02/27/delaware-property-reassessment-equity/
https://www.delawarepublic.org/politics-government/2026-06-30/final-day-of-delawares-153rd-legislative-session
https://www.wilmingtoncitycouncil.com/wp-content/uploads/2026/04/0224-A-Resolution-Urging-the-New-Castle-County-Council-to-Oppose-the-Proposed-17.2-Tax-Increase-for-FY2027-cj.pdf
https://townsquaredelaware.com/tag/new-castle-county-budget/</t>
        </is>
      </c>
    </row>
    <row r="10" ht="409" customHeight="1">
      <c r="A10" s="13" t="inlineStr">
        <is>
          <t>Florida</t>
        </is>
      </c>
      <c r="B10" s="4" t="inlineStr">
        <is>
          <r>
            <rPr>
              <rFont val="Carlito"/>
              <b val="1"/>
              <sz val="14"/>
            </rPr>
            <t>B.</t>
          </r>
          <r>
            <rPr>
              <rFont val="Carlito"/>
              <sz val="11"/>
            </rPr>
            <t xml:space="preserve">
Restriction points 13.25 of 18 (levy limit 4; assessment cap 2; rate cap 2; truth in taxation 2; rollback 1; supermajority 1; school districts covered 0.5; November-ballot rule 0.5; use restrictions 0.25). Deductions: built-in loopholes -2; workarounds in practice -1.5; state buydowns +0; data record -0.5. Total 9.25 = B (A 11+, B 8.5-10.9, C 5.5-8.4, D 3-5.4, F under 3).
Why: Built-in loopholes -2: governing bodies may exceed the rollback ceiling by a 2/3 vote (up to 110%) or a unanimous or 3/4 vote, a rate adopted above the limit becomes the new base, and school levies, voted millage and non-ad valorem assessments sit outside the levy limit. Workarounds -1.5: in 2025, 58 of 67 counties adopted rates above rollback and local operating levies rose 7.9% ($1.44 billion above rollback); fees are 44% of local own-source revenue and CDD assessments ride on new subdivisions. Buydowns 0: no state program pays local governments to cut rates. Record -0.5: slow long-run growth per person (7.9% real, FY2002-FY2022, U.S. 23.4%) offset by fast recent growth (13.5%, FY2019-FY2024, U.S. -1.1%, 48th) and homeowner bill growth of 16.2% real since 2010 (U.S. 9.3%).</t>
          </r>
        </is>
      </c>
      <c r="C10" s="4">
        <f>((LEFT(D10,3)="Yes")+(LEFT(E10,3)="Yes")+(LEFT(F10,3)="Yes")+(LEFT(G10,3)="Yes"))&amp;" of 4 in force"&amp;IF(((LEFT(D10,7)="Partial")+(LEFT(E10,7)="Partial")+(LEFT(F10,7)="Partial")+(LEFT(G10,7)="Partial"))&gt;0," + "&amp;((LEFT(D10,7)="Partial")+(LEFT(E10,7)="Partial")+(LEFT(F10,7)="Partial")+(LEFT(G10,7)="Partial"))&amp;" partial","")&amp;CHAR(10)&amp;CHAR(10)&amp;IF(LEFT(D10,3)="Yes","✓",IF(LEFT(D10,7)="Partial","◐","✗"))&amp;" Spending limit"&amp;CHAR(10)&amp;IF(LEFT(E10,3)="Yes","✓",IF(LEFT(E10,7)="Partial","◐","✗"))&amp;" Levy limit"&amp;CHAR(10)&amp;IF(LEFT(F10,3)="Yes","✓",IF(LEFT(F10,7)="Partial","◐","✗"))&amp;" Assessment cap"&amp;CHAR(10)&amp;IF(LEFT(G10,3)="Yes","✓",IF(LEFT(G10,7)="Partial","◐","✗"))&amp;" Rate cap"</f>
        <v/>
      </c>
      <c r="D10" s="4" t="inlineStr">
        <is>
          <r>
            <rPr>
              <rFont val="Carlito"/>
              <b val="1"/>
              <sz val="11"/>
            </rPr>
            <t>No.</t>
          </r>
          <r>
            <rPr>
              <rFont val="Carlito"/>
              <sz val="11"/>
            </rPr>
            <t xml:space="preserve">
No cap on local government spending growth. (Florida's constitutional revenue limit binds state government only.) Local budgets are constrained through the millage rules described under Levy and Rate limits.</t>
          </r>
        </is>
      </c>
      <c r="E10" s="4" t="inlineStr">
        <is>
          <r>
            <rPr>
              <rFont val="Carlito"/>
              <b val="1"/>
              <sz val="11"/>
            </rPr>
            <t>Yes.</t>
          </r>
          <r>
            <rPr>
              <rFont val="Carlito"/>
              <sz val="11"/>
            </rPr>
            <t xml:space="preserve">
Statutory "maximum millage" limit (2007, HB 1B): each year the most a county, city, municipal service taxing unit or independent special district may levy by majority vote is its rolled-back rate (the rate that raises last year's revenue from existing property). Until June 2026 that ceiling rose with growth in Florida per capita personal income; SB 4-F (2026 special session, signed June 24, 2026 and effective immediately) removed the adjustment. A higher rate requires a 2/3 vote of the governing body (up to 110% of the rolled-back rate), a unanimous vote or 3/4 vote of a board with nine or more members (above 110%), or a referendum. A rate adopted above the limit becomes the base going forward. Counties and cities may exceed the limit for one levy if total county or municipal taxes stay under the combined maximum. Excluded: voted millage (debt and referendum levies); school districts, which are governed by state-set school millage instead.
Authority: Fla. Stat. §200.065(5); §200.185; SB 4-F (2026).</t>
          </r>
        </is>
      </c>
      <c r="F10" s="4" t="inlineStr">
        <is>
          <r>
            <rPr>
              <rFont val="Carlito"/>
              <b val="1"/>
              <sz val="11"/>
            </rPr>
            <t>Yes.</t>
          </r>
          <r>
            <rPr>
              <rFont val="Carlito"/>
              <sz val="11"/>
            </rPr>
            <t xml:space="preserve">
Save Our Homes: the assessed value of a homestead may rise no more than 3% or the change in CPI, whichever is lower; it resets to market value on sale, but up to $500,000 of accumulated savings is "portable" to a new homestead purchased within three years. A "recapture" rule raises capped values toward market even when market values fall.
Non-homestead property (rentals, second homes, commercial): increases capped at 10% a year for non-school levies; school taxes use full just value.
Exclusions: new construction and improvements are added at market value (repairs after disasters excepted); change of ownership or control resets value.
Authority: Fla. Const. art. VII §4(d) (Save Our Homes, approved 1992, effective 1995) and §4(g)-(h) (Amendment 1, 2008; made permanent by Amendment 2, 2018); Fla. Stat. §193.155.</t>
          </r>
        </is>
      </c>
      <c r="G10" s="4" t="inlineStr">
        <is>
          <r>
            <rPr>
              <rFont val="Carlito"/>
              <b val="1"/>
              <sz val="11"/>
            </rPr>
            <t>Yes.</t>
          </r>
          <r>
            <rPr>
              <rFont val="Carlito"/>
              <sz val="11"/>
            </rPr>
            <t xml:space="preserve">
Constitutional caps of 10 mills each for county, municipal and school district operating taxes; a county providing municipal services may levy up to 10 more mills in unincorporated areas; special districts as set by law. Voters may approve millage above 10 mills for up to two years, or for debt. Schools: the state sets the Required Local Effort rate; boards may add up to 0.748 mill (discretionary operations as set in the appropriations act), 1.5 mills for capital outlay, and voter-approved operating millage for up to four years within the 10-mill cap.
Authority: Fla. Const. art. VII §9(b); Fla. Stat. §1011.71.</t>
          </r>
        </is>
      </c>
      <c r="H10" s="4" t="inlineStr">
        <is>
          <r>
            <rPr>
              <rFont val="Carlito"/>
              <b val="1"/>
              <sz val="11"/>
            </rPr>
            <t>Partial.</t>
          </r>
          <r>
            <rPr>
              <rFont val="Carlito"/>
              <sz val="11"/>
            </rPr>
            <t xml:space="preserve">
School districts are outside the maximum-millage levy limit and the 10% non-homestead cap (school taxes are figured on full just value for non-homestead property), but are bound by Save Our Homes, the 10-mill constitutional cap and state-set millage: the Legislature fixes the Required Local Effort rate each year, and the 2026 Amendment 3 would leave school levies untouched.</t>
          </r>
        </is>
      </c>
      <c r="I10" s="4" t="inlineStr">
        <is>
          <r>
            <rPr>
              <rFont val="Carlito"/>
              <b val="1"/>
              <sz val="11"/>
            </rPr>
            <t>Partial.</t>
          </r>
          <r>
            <rPr>
              <rFont val="Carlito"/>
              <sz val="11"/>
            </rPr>
            <t xml:space="preserve">
The Constitution bars any state ad valorem tax on real estate or tangible personal property. The Legislature does set the Required Local Effort school millage that every district must levy to receive state formula funds, so it works as a uniform state-set school levy collected locally.
Authority: Fla. Const. art. VII §1(a); Fla. Stat. §1011.62, 1011.71(1).</t>
          </r>
        </is>
      </c>
      <c r="J10" s="4" t="inlineStr">
        <is>
          <r>
            <rPr>
              <rFont val="Carlito"/>
              <b val="1"/>
              <sz val="11"/>
            </rPr>
            <t>Yes.</t>
          </r>
          <r>
            <rPr>
              <rFont val="Carlito"/>
              <sz val="11"/>
            </rPr>
            <t xml:space="preserve">
$25,000 of a homestead's assessed value is exempt from all taxes, and a second $25,000 (on value between $50,000 and $75,000) is exempt from non-school taxes; since 2025 the second exemption is indexed to inflation (Amendment 5, 2024). Local options: an additional exemption of up to $50,000 for low-income seniors, and a full exemption for long-time low-income seniors; statewide exemptions for disabled veterans, first responders and others.
Nov. 2026 Amendment 3 would raise the non-school homestead exemption to $150,000 (2027) and $250,000 (2028, indexed from 2029) and let the Legislature set a procedure for local governments to exempt homesteads entirely.
Authority: Fla. Const. art. VII §6; Fla. Stat. §196.031.</t>
          </r>
        </is>
      </c>
      <c r="K10" s="4" t="inlineStr">
        <is>
          <r>
            <rPr>
              <rFont val="Carlito"/>
              <b val="1"/>
              <sz val="11"/>
            </rPr>
            <t>No.</t>
          </r>
          <r>
            <rPr>
              <rFont val="Carlito"/>
              <sz val="11"/>
            </rPr>
            <t xml:space="preserve">
No circuit breaker or state rebate. Relief is delivered through exemptions, Save Our Homes and portability.</t>
          </r>
        </is>
      </c>
      <c r="L10" s="4" t="inlineStr">
        <is>
          <r>
            <rPr>
              <rFont val="Carlito"/>
              <b val="1"/>
              <sz val="11"/>
            </rPr>
            <t>Partial.</t>
          </r>
          <r>
            <rPr>
              <rFont val="Carlito"/>
              <sz val="11"/>
            </rPr>
            <t xml:space="preserve">
The state appropriates money each year to the 29 fiscally constrained counties to offset ad valorem revenue lost to constitutional exemptions and assessment limits, including the additional $25,000 homestead exemption, the $25,000 tangible personal property exemption, the 10% cap on nonhomestead assessments, conservation land exemptions and the 2024 inflation adjustment to the homestead exemption. The 2026-27 budget provides about $75.2 million for these offsets. Local governments in the other 38 counties receive no reimbursement. The FEFP, including the Required Local Effort set by the Legislature, is general school aid and does not count.
Authority: ss. 218.12, 218.125, 218.136 and 218.67, F.S. (reenacted in part by ch. 2026-240, Laws of Fla.); EDR, Property Taxes: Fiscally Constrained Counties (Sept. 2025).</t>
          </r>
        </is>
      </c>
      <c r="M10" s="4" t="inlineStr">
        <is>
          <r>
            <rPr>
              <rFont val="Carlito"/>
              <b val="1"/>
              <sz val="11"/>
            </rPr>
            <t>Yes.</t>
          </r>
          <r>
            <rPr>
              <rFont val="Carlito"/>
              <sz val="11"/>
            </rPr>
            <t xml:space="preserve">
Truth in Millage (TRIM), in place since 1980: the property appraiser mails every owner a parcel-specific notice showing taxes at last year's rate, at the rolled-back rate and at each taxing authority's proposed rate, with hearing dates. Each authority must hold two public hearings (the first item discussed must be the percent increase over the rolled-back rate), and advertise a quarter-page "Notice of Proposed Tax Increase" if its rate exceeds the rolled-back rate. Exceeding the maximum millage requires the supermajorities described under Levy limit.
Results: in 2025, 58 of 67 counties adopted operating millage above the rolled-back rate; statewide, local operating levies rose 7.9% over 2024 and came in $1.44 billion (4.9%) above what rolled-back rates would have raised (Florida Dept. of Revenue).
Authority: Fla. Stat. §§200.065, 200.069.</t>
          </r>
        </is>
      </c>
      <c r="N10" s="4" t="inlineStr">
        <is>
          <r>
            <rPr>
              <rFont val="Carlito"/>
              <b val="1"/>
              <sz val="11"/>
            </rPr>
            <t>Yes.</t>
          </r>
          <r>
            <rPr>
              <rFont val="Carlito"/>
              <sz val="11"/>
            </rPr>
            <t xml:space="preserve">
The rolled-back rate is computed every year and is the default ceiling for majority-vote adoption (with no adjustment for per capita income growth since SB 4-F, June 24, 2026); exceeding it triggers TRIM advertising and supermajority votes. Local governments still exceed it routinely (see TnT).</t>
          </r>
        </is>
      </c>
      <c r="O10" s="4" t="inlineStr">
        <is>
          <r>
            <rPr>
              <rFont val="Carlito"/>
              <b val="1"/>
              <sz val="11"/>
            </rPr>
            <t>Yes.</t>
          </r>
          <r>
            <rPr>
              <rFont val="Carlito"/>
              <sz val="11"/>
            </rPr>
            <t xml:space="preserve">
Governing body: 2/3 vote to set millage up to 110% of the rolled-back rate (SB 4-F, 2026); unanimous vote (or 3/4 of boards with nine or more members) above 110%, or a referendum; unanimous or 3/4 vote to impose a new dependent district or MSTU levy. Voters: majority for voted millage. State level: 2/3 of each house to impose or raise state taxes or fees (Amendment 5, 2018).
Authority: Fla. Stat. §200.065(5); Fla. Const. art. VII §19.</t>
          </r>
        </is>
      </c>
      <c r="P10" s="4" t="inlineStr">
        <is>
          <r>
            <rPr>
              <rFont val="Carlito"/>
              <b val="1"/>
              <sz val="11"/>
            </rPr>
            <t>Yes.</t>
          </r>
          <r>
            <rPr>
              <rFont val="Carlito"/>
              <sz val="11"/>
            </rPr>
            <t xml:space="preserve">
Most local tax referenda must be held at the November general election in even-numbered years. School millage referenda: "A referendum under this part shall be held only at a general election." County millage increases above the 10-mill limit: approval by majority vote "in a general election." Every local discretionary sales surtax (adoption, amendment or renewal) must also go to a general election. Florida law defines "general election" as the first Tuesday after the first Monday in November of even-numbered years. Not covered by these sections: municipal voted levies above the 10-mill municipal cap (Fla. Stat. §200.081 sets no election date).
Authority: Fla. Stat. §1011.73(3); §200.091; §212.055(10); §97.021(17).</t>
          </r>
        </is>
      </c>
      <c r="Q10" s="4" t="inlineStr">
        <is>
          <r>
            <rPr>
              <rFont val="Carlito"/>
              <b val="1"/>
              <sz val="11"/>
            </rPr>
            <t>Partial.</t>
          </r>
          <r>
            <rPr>
              <rFont val="Carlito"/>
              <sz val="11"/>
            </rPr>
            <t xml:space="preserve">
Today the general levy is unrestricted, though municipal service taxing units, special districts and voted millage are tied to their purposes and school capital millage (1.5 mills) is restricted to capital uses. Amendment 3 (Nov. 2026) would require local governments to spend remaining property tax revenue only on "core" services: public safety, education and schools, infrastructure and natural resources.</t>
          </r>
        </is>
      </c>
      <c r="R10" s="4" t="inlineStr">
        <is>
          <t>66 counties (plus consolidated Jacksonville-Duval); 412 municipalities; 67 county school districts; independent special districts with taxing power (water management districts, hospital districts, children's services councils, fire districts, mosquito control, library and others); dependent districts and municipal service taxing units; and hundreds of developer-created community development districts (CDDs), which levy non-ad valorem assessments. Census of Governments 2022: 1,947 local governments, including 1,374 special districts.</t>
        </is>
      </c>
      <c r="S10" s="4" t="inlineStr">
        <is>
          <t>Verdict: Partly. Property tax per person rose 21.4% after inflation from FY2002 to FY2024, against 25.9% for the U.S., and grew 13.5% from FY2019 to FY2024 while the U.S. figure fell 1.1%.
Why it leaks: The maximum millage limit (Fla. Stat. §200.065(5)) lets a 2/3 vote of the governing board set rates up to 110% of the rolled-back rate, and any rate adopted above the limit becomes the new base. Until SB 4-F in June 2026, the ceiling also rose with per capita personal income. School districts and voted millage sit outside the limit. Non-ad valorem assessments for fire and stormwater escape millage caps and TRIM.
How localities get around it: TRIM, Florida's truth-in-taxation law, offers transparency and accountability, yet 58 of 67 counties adopted rates above the rolled-back rate in 2025, raising $1.44 billion above rollback.
Full record:
Has it worked? For long-time homesteaders, partly; for property taxes as a whole, no. Save Our Homes holds their assessments down, but the rest of the system leaks.
The record (Census, BEA, ACS): state and local property tax was $2,003 per person in FY2024 (U.S. $2,132), 2.68% of personal income (26th-highest of 50; U.S. 2.89%). After inflation, collections per person (all state and local property tax divided by residents) rose 21.4% from FY2002 to FY2024 (U.S. +25.9%) and rose 13.5% from FY2019 to FY2024 (U.S. -1.1%). The median homeowner paid $2,993 in 2024 (U.S. $3,211); the median bill rose 16.2% after inflation from 2010 to 2024 (U.S. +9.3%). The Tax Foundation's 2026 ranking puts its effective property tax rate on owner-occupied homes at 0.78%, 24th-lowest of 50. By the same measure it was 0.94% in 2010 (U.S. 1.00% in 2010, 0.94% in 2024).
Florida TaxWatch puts FY2025-26 local property taxes at $59.2 billion, more than $20 billion of it paid by homeowners.
TRIM and maximum millage: in 2025, 58 of 67 counties adopted rates above the rolled-back rate ($1.44 billion statewide above rollback), each after the required TRIM notices and public hearings.
Burden shift: Save Our Homes shifts taxes onto new buyers, renters (through non-homestead property capped at 10%) and businesses; Florida TaxWatch estimates the shift from homestead to non-homestead property at more than $10 billion a year. Portability widens the gap between long-time and new owners. The "recapture" rule lets capped values rise even in falling markets.
Non-ad valorem assessments: fire, stormwater, solid waste and similar assessments appear on the tax bill but sit outside millage caps and TRIM; CDDs add assessments on new subdivisions.
Fees and sales taxes: charges and fees make up 44% of local own-source revenue (U.S.: 34%), and counties add local option sales surtaxes (average 0.98%).
Big counties: Broward County adopted a $9.2 billion FY2026-27 budget with a countywide general millage of 5.6658, presented as a modest rate cut (Caribbean National Weekly, Sept. 23, 2026); under TRIM a lower rate is still a tax increase whenever it exceeds the rolled-back rate.
State response: SB 4-F (signed June 24, 2026) ended the per capita income allowance in maximum millage, and HB 1329 requires cities and counties to publish quarterly employee compensation reports and run an annual budget-cutting exercise; the 2025-2026 "Florida DOGE" audits of local spending and Amendment 3, which the state's Revenue Estimating Conference says would cut local revenue about $12 billion a year.</t>
        </is>
      </c>
      <c r="T10" s="4" t="inlineStr">
        <is>
          <t>- James Madison Institute, "2026 Florida Amendment Guide" (Sept. 21, 2026). Plain-language guide to the three statewide amendments on the Nov. 3, 2026 ballot. It explains that Amendment 3 phases in a larger homestead exemption, sets a path toward ending non-school homestead taxes, limits local use of property tax revenue and lowers the non-homestead assessment cap. https://jamesmadison.org/2026-florida-amendment-guide/
- Florida TaxWatch, "Florida TaxWatch Unveils ‘Property Tax Resource Center’ to Provide Floridians Independent, Data-Driven Research on Amendment 3" (Aug. 21, 2026). Launches PropertyTaxFL.org, with a county-by-county database of Amendment 3's effects. TaxWatch calls the process that put Amendment 3 on the ballot "rushed" and asks the 2027 Taxation and Budget Reform Commission to vet the issue; its poll with Sachs Media found topline approval would drop to 42 percent, short of the 60 percent needed, if that argument holds with voters. https://floridataxwatch.org/?p=9214
- Tax Foundation, Nicole Fox, "The Real November Ballot Question: What Price Are Floridians Willing to Pay to “Save Their Homes?”" (June 3, 2026). Homestead property is 36.1% of Florida's taxable real property value, and legislative fiscal analysis estimates Amendment 3 would cut local revenue by $4.6 billion in the first year and $8.4 billion in the second, with no plan to replace it, so millage rates on the remaining base could rise. It concludes that "A well-structured property tax levy limit that limits the growth in property tax collections over time is a far more sustainable and structurally sound approach." https://taxfoundation.org/blog/florida-property-tax-proposal/
- James Madison Institute, Doug Wheeler, "Levy Caps for Property Tax Reform in Florida" (March 10, 2026). Collections exceed $55 billion a year, and total assessed value has tripled since 2000 while population grew about 45% and inflation about 70%. Argues for a levy cap tying growth in total property tax revenue to inflation plus population, since homestead exemptions and rebates give short-term relief without locking in control of total tax burdens. https://jamesmadison.org/levy-caps-for-property-tax-reform-in-florida/
- Florida Policy Project (Jeff Brandes, president), quoted in "‘We have a slogan, but we don’t have a policy’: Former Florida lawmaker criticizes property tax relief plan" (Feb. 10, 2026). Brandes, a former state senator, said of the push to cut homestead taxes, "I think what we have is a bumper sticker, we have a slogan, but we don't have a policy." https://www.wflx.com/2026/02/10/we-have-slogan-we-dont-have-policy-former-florida-lawmaker-criticizes-property-tax-relief-plan/
- Florida TaxWatch, "Save Our Taxpayers – Property Tax Relief Must be Accomplished Equitably" (Jan. 15, 2026). Local property taxes total $59.2 billion in FY2025-26, and the shift from homestead to non-homestead property already exceeds $10 billion. Warns against eliminating property taxes without restraining local spending and calls for a "Save Our Taxpayers" amendment capping assessment growth on all property at the Save Our Homes rate. https://floridataxwatch.org/?p=7093
- James Madison Institute, Vance Ginn and Joseph Johns, "Property Tax Relief in Florida: Challenges, Options, and the Path to True Homeownership" (Oct. 15, 2025). Finds that local spending growth has pushed property taxes up even with the Save Our Homes cap, and that any relief "risks being temporary" without a spending limit set at population growth plus inflation, citing Colorado's TABOR as a model. Reviews homestead exemptions, levy caps, surplus buydowns and sales tax swaps, and notes property taxes supply $13.7 billion of the $29.5 billion in statewide school funding. https://jamesmadison.org/property-tax-relief-in-florida-challenges-options-and-the-path-to-true-homeownership/
- Foundation for Government Accountability, Michael Greibrok, "Out-of-Control Spending by Local Governments Leads to Soaring Property Taxes" (Oct. 16, 2024). National report urging state lawmakers to rein in local spending and property taxes. Its Florida examples: Orlando's spending rose from $251 million in 2003 to $934 million in 2014 to $1.8 billion in 2024, and Broward County is building a $140 million, 29-story hotel the county will own. https://thefga.org/research/out-of-control-spending-leads-to-soaring-property-taxes/
Linked list: 10 items on the Analyses sheet (filter State = Florida); every source URL is linked on the Sources sheet.</t>
        </is>
      </c>
      <c r="U10" s="4" t="inlineStr">
        <is>
          <t>2008: Amendment 1 (portability, 10% non-homestead cap, second $25,000 exemption). 2018: Amendment 2 made the 10% cap permanent.
2024: Amendment 5 (index the second homestead exemption to inflation) passed.
2025: Governor DeSantis campaigned to eliminate homestead property taxes; the House passed several joint resolutions; the state launched DOGE audits of county and city budgets.
2026: in special session the Legislature passed HJR 1-F (with implementing SB 4-F), now Amendment 3 on the Nov. 3, 2026 ballot ("Save Our Homes From Excessive Property Taxes"): $150,000 then $250,000 non-school homestead exemption, a path to full exemption, core-services spending restriction, non-homestead cap cut from 10% to 5% for non-school levies, and a five-year residency requirement for new residents. Needs 60%. Also on the ballot: Amendment 2 (exempt agricultural tangible personal property).
June 24, 2026: Gov. DeSantis signed SB 4-F (House 75-27, Senate 30-8), which removes per capita personal income growth from the maximum millage calculation effective immediately, whatever happens to Amendment 3, and HB 1329 (local budget transparency: quarterly employee compensation reports and an annual budget-cutting exercise).</t>
        </is>
      </c>
      <c r="V10" s="4" t="inlineStr">
        <is>
          <t>24th (0.78% effective rate; 0.94% in 2010)</t>
        </is>
      </c>
      <c r="W10" s="4" t="inlineStr">
        <is>
          <t>Florida has three of four regimes: 10-mill rate caps, Save Our Homes and non-homestead assessment caps, and a statutory levy limit (maximum millage) backed by supermajority votes and the nation's most detailed TRIM notices. It has no local spending cap. Local governments still routinely adopt rates above rollback, and Save Our Homes shifts burden to newcomers and businesses. Amendment 3 (Nov. 2026) would be the largest homestead tax cut in the country if approved.</t>
        </is>
      </c>
      <c r="X10" s="4" t="inlineStr">
        <is>
          <t>http://www.leg.state.fl.us/statutes/index.cfm?App_mode=Display_Statute&amp;URL=0200-0299/0200/Sections/0200.065.html
http://www.leg.state.fl.us/statutes/index.cfm?App_mode=Display_Statute&amp;URL=1000-1099/1011/Sections/1011.71.html
https://floridarevenue.com/property/Documents/comp25.pdf
https://www.floridapolicy.org/posts/florida-property-tax-amendment-ballot-language-summary
https://taxfoundation.org/research/state-tax/2026-state-tax-ballot-measures/
https://www.lincolninst.edu/app/uploads/2024/12/assessment_limits_2022-3.xlsx
https://apps.lincolninst.edu/uploads/summary-tables/rate-limits-summary-tables/rate-limits-2022-4.xlsx
https://floridataxwatch.org/Research/Full-Library/truth-in-property-taxation-can-be-hard-to-come-by-3
https://www.flsenate.gov/Laws/Statutes/2025/1011.73
https://www.flsenate.gov/Laws/Statutes/2025/200.091
https://www.flsenate.gov/Laws/Statutes/2025/212.055
https://www.flsenate.gov/Laws/Statutes/2025/97.021
https://www.flsenate.gov/Laws/Statutes/2025/193.155
https://www.flsenate.gov/Laws/Statutes/2025/200.065
https://floridataxwatch.org/?p=7093
https://jamesmadison.org/2026-florida-amendment-guide/
https://www.flcities.com/wp-content/uploads/2026/06/Property-Tax-Legislative-Bill-Summaries-6.4.26.pdf
https://www.wusf.org/2026-06-24/desantis-signs-bills-tamp-down-local-taxes-what-to-know
https://www.clickorlando.com/news/local/2026/07/08/heres-what-to-know-about-floridas-new-property-tax-law/
https://www.caribbeannationalweekly.com/posts/broward-commissioners-approve-92-billion-budget-with-modest-millage-reduction
https://www.wflx.com/2026/02/10/we-have-slogan-we-dont-have-policy-former-florida-lawmaker-criticizes-property-tax-relief-plan/</t>
        </is>
      </c>
    </row>
    <row r="11" ht="409" customHeight="1">
      <c r="A11" s="13" t="inlineStr">
        <is>
          <t>Georgia</t>
        </is>
      </c>
      <c r="B11" s="4" t="inlineStr">
        <is>
          <r>
            <rPr>
              <rFont val="Carlito"/>
              <b val="1"/>
              <sz val="14"/>
            </rPr>
            <t>D.</t>
          </r>
          <r>
            <rPr>
              <rFont val="Carlito"/>
              <sz val="11"/>
            </rPr>
            <t xml:space="preserve">
Restriction points 7.5 of 18 (assessment cap 2; rate cap 1; truth in taxation 2; rollback 1; school districts covered 1; November-ballot rule 0.25; use restrictions 0.25). Deductions: built-in loopholes -1.5; workarounds in practice -1.5; state buydowns +0; data record -0.5. Total 4 = D (A 11+, B 8.5-10.9, C 5.5-8.4, D 3-5.4, F under 3).
Why: Built-in loopholes -1.5: governments exceed the rollback rate by ordinary vote after hearings; the cap limits assessed value only, so cities and counties (with no rate ceiling) can raise millage; non-homestead property is uncapped; and opted-out jurisdictions stay outside the cap until 2027 bills. Workarounds -1.5: 316 governments opted out of HB 581, including the five largest school systems; Atlanta seeks to extend its eight TADs to 2055 for a $5.5 billion plan; relief is shifting to sales taxes (FLOST, LHOST). Buydowns 0: the one-time 2023 $950 million Homeowner Tax Relief Grant is just under 5% of the $19.44 billion FY2024 total and is not recurring. Record -0.5: slow long-run growth per person (15% real, FY2002-FY2022, U.S. 23.4%) offset by fast recent growth (10.1%, FY2019-FY2024, U.S. -1.1%) and real homeowner bill growth of 22.7% since 2010 (U.S. 9.3%).</t>
          </r>
        </is>
      </c>
      <c r="C11" s="4">
        <f>((LEFT(D11,3)="Yes")+(LEFT(E11,3)="Yes")+(LEFT(F11,3)="Yes")+(LEFT(G11,3)="Yes"))&amp;" of 4 in force"&amp;IF(((LEFT(D11,7)="Partial")+(LEFT(E11,7)="Partial")+(LEFT(F11,7)="Partial")+(LEFT(G11,7)="Partial"))&gt;0," + "&amp;((LEFT(D11,7)="Partial")+(LEFT(E11,7)="Partial")+(LEFT(F11,7)="Partial")+(LEFT(G11,7)="Partial"))&amp;" partial","")&amp;CHAR(10)&amp;CHAR(10)&amp;IF(LEFT(D11,3)="Yes","✓",IF(LEFT(D11,7)="Partial","◐","✗"))&amp;" Spending limit"&amp;CHAR(10)&amp;IF(LEFT(E11,3)="Yes","✓",IF(LEFT(E11,7)="Partial","◐","✗"))&amp;" Levy limit"&amp;CHAR(10)&amp;IF(LEFT(F11,3)="Yes","✓",IF(LEFT(F11,7)="Partial","◐","✗"))&amp;" Assessment cap"&amp;CHAR(10)&amp;IF(LEFT(G11,3)="Yes","✓",IF(LEFT(G11,7)="Partial","◐","✗"))&amp;" Rate cap"</f>
        <v/>
      </c>
      <c r="D11" s="4" t="inlineStr">
        <is>
          <r>
            <rPr>
              <rFont val="Carlito"/>
              <b val="1"/>
              <sz val="11"/>
            </rPr>
            <t>No.</t>
          </r>
          <r>
            <rPr>
              <rFont val="Carlito"/>
              <sz val="11"/>
            </rPr>
            <t xml:space="preserve">
No cap on local budget or spending growth. A revenue cap (voter approval for property tax revenue growth above 3% or inflation) was in the House's 2026 bill (HB 1116) but is not in the enacted SB 33, according to the Georgia Municipal Association.</t>
          </r>
        </is>
      </c>
      <c r="E11" s="4" t="inlineStr">
        <is>
          <r>
            <rPr>
              <rFont val="Carlito"/>
              <b val="1"/>
              <sz val="11"/>
            </rPr>
            <t>No.</t>
          </r>
          <r>
            <rPr>
              <rFont val="Carlito"/>
              <sz val="11"/>
            </rPr>
            <t xml:space="preserve">
No limit on total property tax revenue growth. Local governments may raise millage above the rollback rate after the Taxpayer Bill of Rights notices and hearings (see TnT). School districts are limited by the 20-mill constitutional rate cap; cities and counties have no general rate ceiling.</t>
          </r>
        </is>
      </c>
      <c r="F11" s="4" t="inlineStr">
        <is>
          <r>
            <rPr>
              <rFont val="Carlito"/>
              <b val="1"/>
              <sz val="11"/>
            </rPr>
            <t>Yes.</t>
          </r>
          <r>
            <rPr>
              <rFont val="Carlito"/>
              <sz val="11"/>
            </rPr>
            <t xml:space="preserve">
Statewide "floating" homestead exemption (HB 581 of 2024, ratified by voters as Amendment 1 in Nov. 2024 with about 63%): the taxable value of a homestead may rise each year by no more than the prior year's inflation (CPI-U, as set by the Department of Revenue) from a 2024 base year (or the year the owner first claims it); new owners start a new base year, and improvements are added. As enacted it let each county, city and school district opt out by March 1, 2025, and 316 did (68% of school districts, 30% of counties, 26% of cities), including all five of the largest school systems. SB 33 (2026) makes the exemption mandatory for every county, city and school district; jurisdictions that were opted out in 2026 come under it for 2027 tax bills. Many counties also keep older county-specific freezes and floating exemptions adopted by local act. Non-homestead property has no cap.
Authority: HB 581 (2024), HB 92 (2025) and SB 33 (signed May 11, 2026); Georgia DOR Rule 560-11-2-.32 (CPI-U index); DOR Informational Bulletin 2025-01.</t>
          </r>
        </is>
      </c>
      <c r="G11" s="4" t="inlineStr">
        <is>
          <r>
            <rPr>
              <rFont val="Carlito"/>
              <b val="1"/>
              <sz val="11"/>
            </rPr>
            <t>Partial.</t>
          </r>
          <r>
            <rPr>
              <rFont val="Carlito"/>
              <sz val="11"/>
            </rPr>
            <t xml:space="preserve">
School districts may levy no more than 20 mills for operations (with some exceptions by local law or referendum); the statewide school average is about 15 mills. Counties and cities have no general constitutional or statutory millage ceiling.
Authority: Ga. Const. art. VIII §VI ¶I.</t>
          </r>
        </is>
      </c>
      <c r="H11" s="4" t="inlineStr">
        <is>
          <r>
            <rPr>
              <rFont val="Carlito"/>
              <b val="1"/>
              <sz val="11"/>
            </rPr>
            <t>Yes.</t>
          </r>
          <r>
            <rPr>
              <rFont val="Carlito"/>
              <sz val="11"/>
            </rPr>
            <t xml:space="preserve">
School systems are now covered by the mandatory floating homestead exemption (after SB 33 ended opt-outs) and the 20-mill cap, and must follow the Taxpayer Bill of Rights rollback notices and hearings. Two-thirds of school systems had opted out of HB 581 when it was optional.</t>
          </r>
        </is>
      </c>
      <c r="I11" s="4" t="inlineStr">
        <is>
          <r>
            <rPr>
              <rFont val="Carlito"/>
              <b val="1"/>
              <sz val="11"/>
            </rPr>
            <t>No.</t>
          </r>
          <r>
            <rPr>
              <rFont val="Carlito"/>
              <sz val="11"/>
            </rPr>
            <t xml:space="preserve">
Georgia phased out its small state property levy; it has levied no state property tax since 2016.
Authority: HB 386 (2012).</t>
          </r>
        </is>
      </c>
      <c r="J11" s="4" t="inlineStr">
        <is>
          <r>
            <rPr>
              <rFont val="Carlito"/>
              <b val="1"/>
              <sz val="11"/>
            </rPr>
            <t>Yes.</t>
          </r>
          <r>
            <rPr>
              <rFont val="Carlito"/>
              <sz val="11"/>
            </rPr>
            <t xml:space="preserve">
Statewide: $2,000 of assessed value (about $5,000 of market value at the 40% assessment ratio) exempt from county and school taxes, plus larger senior and disabled-veteran exemptions, plus the inflation-capped floating exemption above. Most relief is local: counties and cities adopt their own homestead exemptions and freezes by local act of the General Assembly and local referendum, producing hundreds of different exemptions.
Authority: O.C.G.A. §48-5-44; HB 581 (2024).</t>
          </r>
        </is>
      </c>
      <c r="K11" s="4" t="inlineStr">
        <is>
          <r>
            <rPr>
              <rFont val="Carlito"/>
              <b val="1"/>
              <sz val="11"/>
            </rPr>
            <t>Partial.</t>
          </r>
          <r>
            <rPr>
              <rFont val="Carlito"/>
              <sz val="11"/>
            </rPr>
            <t xml:space="preserve">
Homeowner Tax Relief Grant (HTRG): a state-funded credit on homestead tax bills, paid in 1999-2008 and revived in 2023 as a one-time $950 million credit (equal to taxes on $18,000 of assessed value). No permanent circuit breaker.</t>
          </r>
        </is>
      </c>
      <c r="L11" s="4" t="inlineStr">
        <is>
          <r>
            <rPr>
              <rFont val="Carlito"/>
              <b val="1"/>
              <sz val="11"/>
            </rPr>
            <t>Partial.</t>
          </r>
          <r>
            <rPr>
              <rFont val="Carlito"/>
              <sz val="11"/>
            </rPr>
            <t xml:space="preserve">
- Homeowner Tax Relief Grant: the amended FY2026 budget provides $850 million to pay counties and school districts the tax on $18,000 of assessed value of every homestead for the 2026 tax year, credited on the bill. It is a one-time appropriation; the grant was previously funded for the 2023 tax year.
- Forestland Protection Grants: the state reimburses local governments and school districts for revenue lost to the preferential assessment of large forest and timberland tracts; $34.9 million in FY2027.
FLOST and LHOST are local sales taxes and do not count.
Authority: Ga. Const. art. VII, § II-A; HB 973 (AFY2026), Homeowner Tax Relief Grants; O.C.G.A. § 48-5-7.7 and ch. 48-5A; HB 974 (FY2027), Department of Revenue, Forestland Protection Grants.</t>
          </r>
        </is>
      </c>
      <c r="M11" s="4" t="inlineStr">
        <is>
          <r>
            <rPr>
              <rFont val="Carlito"/>
              <b val="1"/>
              <sz val="11"/>
            </rPr>
            <t>Yes.</t>
          </r>
          <r>
            <rPr>
              <rFont val="Carlito"/>
              <sz val="11"/>
            </rPr>
            <t xml:space="preserve">
Taxpayer Bill of Rights: each year the governing body computes a rollback rate (the rate that raises last year's revenue from existing property); to adopt a higher rate it must advertise a "Notice of Property Tax Increase" stating the percentage increase and hold three public hearings. Since HB 581, assessment notices show an "estimated rollback rate," and if the adopted rate exceeds it the tax bill must say so.
Authority: O.C.G.A. §48-5-32.1 (enacted 1999; amended by HB 581, 2024).</t>
          </r>
        </is>
      </c>
      <c r="N11" s="4" t="inlineStr">
        <is>
          <r>
            <rPr>
              <rFont val="Carlito"/>
              <b val="1"/>
              <sz val="11"/>
            </rPr>
            <t>Yes.</t>
          </r>
          <r>
            <rPr>
              <rFont val="Carlito"/>
              <sz val="11"/>
            </rPr>
            <t xml:space="preserve">
The rollback rate is computed and advertised every year; a government may exceed it only after the required notices and three public hearings, by ordinary vote, with no supermajority or referendum.</t>
          </r>
        </is>
      </c>
      <c r="O11" s="4" t="inlineStr">
        <is>
          <r>
            <rPr>
              <rFont val="Carlito"/>
              <b val="1"/>
              <sz val="11"/>
            </rPr>
            <t>No.</t>
          </r>
          <r>
            <rPr>
              <rFont val="Carlito"/>
              <sz val="11"/>
            </rPr>
            <t xml:space="preserve">
Millage increases above rollback need only a majority of the governing body. Local acts creating or changing homestead exemptions need local legislation and a local referendum, and LHOST requires a local act plus a referendum.</t>
          </r>
        </is>
      </c>
      <c r="P11" s="4" t="inlineStr">
        <is>
          <r>
            <rPr>
              <rFont val="Carlito"/>
              <b val="1"/>
              <sz val="11"/>
            </rPr>
            <t>Partial.</t>
          </r>
          <r>
            <rPr>
              <rFont val="Carlito"/>
              <sz val="11"/>
            </rPr>
            <t xml:space="preserve">
SB 33 (2026) narrows the dates on which special elections to raise local revenue (including SPLOST and other sales tax referenda) may be held. Property tax millage itself is set by governing bodies; it does not go to a vote.</t>
          </r>
        </is>
      </c>
      <c r="Q11" s="4" t="inlineStr">
        <is>
          <r>
            <rPr>
              <rFont val="Carlito"/>
              <b val="1"/>
              <sz val="11"/>
            </rPr>
            <t>Partial.</t>
          </r>
          <r>
            <rPr>
              <rFont val="Carlito"/>
              <sz val="11"/>
            </rPr>
            <t xml:space="preserve">
General millage is unrestricted; school millage funds schools; voter-approved sales taxes are earmarked (SPLOST for capital projects, ESPLOST for school capital, FLOST/LHOST for property tax relief). Community improvement districts levy additional taxes on commercial property for infrastructure within the district.</t>
          </r>
        </is>
      </c>
      <c r="R11" s="4" t="inlineStr">
        <is>
          <t>159 counties (including consolidated city-county governments such as Athens-Clarke, Augusta-Richmond, Columbus-Muscogee and Macon-Bibb); 537 municipalities; 180 school districts; special taxing districts created by counties; community improvement districts (self-taxing commercial districts); hospital and development authorities (most authorities do not levy property tax). Census of Governments 2022: 1,379 local governments.</t>
        </is>
      </c>
      <c r="S11" s="4" t="inlineStr">
        <is>
          <t>Verdict: Failed. Property tax per person rose 27.5% after inflation from FY2002 to FY2024, against 25.9% for the U.S.
Why it leaks: Georgia has no levy limit or spending limit, and cities and counties face no rate ceiling; school operations are capped at 20 mills (Ga. Const. art. VIII, §VI, ¶I). A simple board majority can exceed the rollback rate after three hearings. The floating homestead exemption (HB 581, 2024) covers homesteads only. The one-time $950 million Homeowner Tax Relief Grant of 2023 counts against the state.
How localities get around it: In all, 316 local governments opted out of HB 581, including the five largest school systems, until SB 33 made it mandatory in 2026. Atlanta proposed extending its eight tax allocation districts to 2055 to steer $5.5 billion to the mayor's Neighborhood Reinvestment Initiative.
Full record:
Georgia had no binding limit on homeowners' bills until the 2024 floating exemption, and its homeowners saw the second-fastest growth in property tax bills in the country: the median bill rose 43.2% after inflation from 2014 to 2024 (American Community Survey; U.S. +13.3%).
The record (Census, BEA, ACS): state and local property tax was $1,735 per person in FY2024 (U.S. $2,132), 2.77% of personal income (23rd-highest of 50; U.S. 2.89%). After inflation, collections per person (all state and local property tax divided by residents) rose 27.5% from FY2002 to FY2024 (U.S. +25.9%) and rose 10.1% from FY2019 to FY2024 (U.S. -1.1%). The median homeowner paid $2,554 in 2024 (U.S. $3,211); the median bill rose 22.7% after inflation from 2010 to 2024 (U.S. +9.3%). The Tax Foundation's 2026 ranking puts its effective property tax rate on owner-occupied homes at 0.79%, 26th-lowest of 50. By the same measure it was 0.83% in 2010 (U.S. 1.00% in 2010, 0.94% in 2024).
The one-time $950 million Homeowner Tax Relief Grant (2023) lowered bills for a single year.
The 2024 reform then showed how local governments avoid limits when given the choice: 316 of them opted out of the floating homestead exemption, including about two-thirds of school districts and every one of the five largest school systems, together covering counties with 83% of the population (Tax Foundation). The Legislature responded in 2026 by making the cap mandatory.
Remaining gaps: (1) the cap applies to assessed value only, so governments can raise millage (cities and counties face no rate ceiling); (2) non-homestead property is uncapped; (3) the rollback rate is disclosure only, so governments exceed it after hearings; (4) revenue relief is increasingly delivered by shifting to sales taxes (SPLOST, ESPLOST, FLOST, LHOST); local sales taxes already supply 31.7% of local taxes (U.S.: 18.5%) and the average combined rate is 7.49%.
TIF: Atlanta proposed extending its eight tax allocation districts to 2055 to direct $5.5 billion to the mayor's Neighborhood Reinvestment Initiative, which would keep growth in the TAD tax base away from the general levies of the city, county and schools for three more decades (Center for Civic Innovation, Oct. 19, 2025); Fulton County commissioners opted the county out of the extension in July 2026 (AJC, July 2026).
Process: SB 33 was passed in the session's final minutes by inserting the failed HB 1116's language into an unrelated Senate hemp bill; critics argue it violates the constitutional rule that revenue bills originate in the House.</t>
        </is>
      </c>
      <c r="T11" s="4" t="inlineStr">
        <is>
          <t>- Georgia Public Policy Foundation, "Guide to the Issues 2026: Thirty years after the first edition" (Oct. 1, 2026). Says "rising assessments keep pushing bills higher even when no one votes to raise the rate" and recommends a levy limit: "A levy limit, which caps growth in a local government's total property tax revenue, would restrain that trend without shifting the burden onto new homeowners." https://www.georgiapolicy.org/news/guide-to-the-issues-2026-thirty-years-after-the-first-edition/
- Common Sense Institute Iowa, "Iowa Leads the Nation in Property Tax Relief: Ranking State Reforms of the Past Decade" (Aug. 6, 2026). Places Georgia's HB 581 and HR 1022 (2024) ninth nationally by net taxpayer savings per household among 2016-2026 property tax relief bills, counting savings without state backfills. https://archive.commonsenseinstituteus.org/iowa/research/taxes-and-fees/iowa-leads-the-nation-in-property-tax-relief-ranking-state-reforms-of-the-past-decade
- Tax Foundation, Janelle Fritts, "Georgia Tax Reform 2026: Property Tax Relief &amp; Income Tax Relief" (April 1, 2026). Backs HB 1116's 3% levy limit on property tax revenue growth, calling levy limits "the most economically efficient and structurally sound way of curtailing the growth of property tax bills over time," and warns that any tax swap that substantially reduces reliance on property taxes would make the tax code less efficient. https://taxfoundation.org/blog/georgia-tax-reform-income-taxes-property-taxes/
- Americans for Prosperity-Georgia, "AFP-GA Applauds Senate Passage of HB 1116" (March 31, 2026). Supports HB 1116's requirements that local governments give transparent notice of a proposed tax increase, hold a public hearing on it and put all property tax ballot measures on primary or general election dates. The final version of HB 1116 failed in the Senate on April 2, 2026, and much of it moved into SB 33. https://americansforprosperity.org/press-release/afp-ga-applauds-senate-passage-of-hb-1116/
- Georgia Public Policy Foundation, Chris Denson, "How Can We Cap Property Taxes in Georgia?" (Jan. 1, 2026). Notes that 123 of Georgia's 180 school districts (68%) opted out of the HB 581 floating homestead exemption even though 63% of voters approved it, and proposes a levy limit, such as 3% a year or inflation, that forces millage rollbacks when rising values push revenue past the cap, with a local referendum to override it. https://www.georgiapolicy.org/news/how-can-we-cap-property-taxes-in-georgia/
- Tax Foundation, "Localities Opt Out of Georgia's New Homestead Tax Exemption" (April 17, 2025). Documents the 316 opt-outs from Secretary of State data, warns that two parallel systems undermine simplicity and neutrality, and urges a uniform system with effective levy limits to prevent unauthorized increases in revenue and bills. https://taxfoundation.org/blog/georgia-property-tax-reform/
- Georgia Public Policy Foundation, "What the 2025 legislative session means for Georgia taxpayers" (April 3, 2025). Calls the school districts' opt-outs from the HB 581 floating exemption "troubling, if not ironic" because those districts hold about $6.5 billion in reserves; reviews HB 92's reopening of the opt-out window and the path to rescind it. https://www.georgiapolicy.org/news/what-the-2025-legislative-session-means-for-georgia-taxpayers/
- Georgia Center for Opportunity (State Policy Network affiliate): no property tax report since 2021 was found.
Linked list: 7 items on the Analyses sheet (filter State = Georgia); every source URL is linked on the Sources sheet.</t>
        </is>
      </c>
      <c r="U11" s="4" t="inlineStr">
        <is>
          <t>2023: one-time $950 million Homeowner Tax Relief Grant.
2024: HB 581 (floating homestead exemption with opt-out, FLOST, estimated rollback rate) and Amendment 1 (approved, about 63%).
2025: HB 92 reopened the opt-out window and added incentives for school systems to opt back in.
2026: HB 1116 (homestead tax elimination path, LHOST, 3%/inflation revenue cap) failed in the Senate 24-28; its core was added to SB 33, which passed on the final night and was signed May 11, 2026 without the revenue cap: mandatory floating exemption, LHOST, FLOST eligibility for all, new limits on special election dates.
June 17-23, 2026 special session: nearly 100 local acts creating LHOST-funded homestead exemptions were introduced so counties could hold referendums on Nov. 3; none won the two-thirds vote local acts need in a special session, so no LHOST question will be on the 2026 ballot (Georgia Municipal Association).
Nov. 3, 2026 ballot: Amendment 1 (HR 32, 2025; raise conservation-use acreage limit from 2,000 to 4,000 acres) is the only property tax question; Amendments 2 (nonpartisan probate judge elections) and 3 (Next Generation 9-1-1 fund) do not concern property tax.
2025-2026: Atlanta proposed extending its eight tax allocation districts to 2055 ($5.5 billion reinvestment plan); Fulton County commissioners opted the county out in July 2026.</t>
        </is>
      </c>
      <c r="V11" s="4" t="inlineStr">
        <is>
          <t>26th (0.79% effective rate; 0.83% in 2010)</t>
        </is>
      </c>
      <c r="W11" s="4" t="inlineStr">
        <is>
          <t>Georgia now has a mandatory statewide homestead assessment cap (inflation) and a disclosure-based rollback system, plus a 20-mill school rate cap. It has no levy limit and no local spending cap; the 2026 attempt at a 3%/inflation revenue cap was dropped. The opt-out episode is the clearest recent example of local governments using an escape hatch the moment one is offered.</t>
        </is>
      </c>
      <c r="X11" s="4" t="inlineStr">
        <is>
          <t>https://taxfoundation.org/blog/georgia-property-tax-reform/
https://billtracker.gacities.com/legislation/69550
https://www.gacities.com/articles/the-2026-session-in-review-what-passed-what-didnt-and-what-it-means
https://capitol-beat.org/2026/05/kemp-signs-legislation-to-cut-income-taxes-and-reduce-homeowner-property-tax-increases/
https://capitol-beat.org/2026/04/georgia-republicans-push-through-last-minute-income-and-property-tax-cuts/
https://georgiarecorder.com/2026/05/11/kemp-approves-property-tax-relief-for-georgia-homeowners-amid-concerns-over-local-revenues-process/
https://appealally.com/blog/article/georgia-property-tax-cap-sb-33
https://dor.georgia.gov/media/35186/download
https://atlantarealtors.com/resources/news/detail/georgia-property-owners-receive-tax-break
https://www.lincolninst.edu/app/uploads/2024/10/truth_in_taxation_2024.xlsx
https://law.justia.com/codes/georgia/title-48/chapter-5/article-2/part-1/section-48-5-44-2/
https://www.legis.ga.gov/api/document/docs/default-source/house-budget-and-research-office-document-library/newsandhighlights/2024/2024_policy_brief_hb_581_property_tax_reform.pdf
https://www.gacities.com/articles/general-assembly-concludes-special-session
https://www.georgiapolicy.org/news/what-the-2025-legislative-session-means-for-georgia-taxpayers/
https://www.georgiapolicy.org/news/guide-to-the-issues-2026-thirty-years-after-the-first-edition/
https://www.news4jax.com/voters-guide/2026/10/08/2026-voters-guide-georgia-constitutional-amendments/
https://civicatlanta.org/blog/2025-10-19-atlanta-weighs-tad-extension
https://www.ajc.com/news/2026/07/fulton-commissioners-opt-out-of-atlanta-mayors-tax-extension-plan/
https://www.gacities.com/articles/sb-33-the-homeownership-opportunity-and-market-equalization-act-of-2026</t>
        </is>
      </c>
    </row>
    <row r="12" ht="409" customHeight="1">
      <c r="A12" s="13" t="inlineStr">
        <is>
          <t>Hawaii</t>
        </is>
      </c>
      <c r="B12" s="4" t="inlineStr">
        <is>
          <r>
            <rPr>
              <rFont val="Carlito"/>
              <b val="1"/>
              <sz val="14"/>
            </rPr>
            <t>F.</t>
          </r>
          <r>
            <rPr>
              <rFont val="Carlito"/>
              <sz val="11"/>
            </rPr>
            <t xml:space="preserve">
Restriction points 0 of 18 (none). Deductions: built-in loopholes +0; workarounds in practice +0; state buydowns +0; data record -1. Total -1 = F (A 11+, B 8.5-10.9, C 5.5-8.4, D 3-5.4, F under 3).
Why: Built-in loopholes 0 and workarounds 0: there is no limit to evade, though councils shift the load onto non-owner-occupied, hotel and short-term rental classes every year (Maui raised those rates again for FY2027). Buydowns 0: the state pays no property tax relief to counties. Record -1: real per-person collections grew 99.3% FY2002-FY2022 (US 23.4%, worst in the country) and 8.0% FY2019-FY2024 (US -1.1%), and real homeowner bills grew 18.8% 2010-2024 (US 9.3%), offset only in part by the lowest effective rate (0.27%) and a below-average share of income (2.69%).</t>
          </r>
        </is>
      </c>
      <c r="C12" s="4">
        <f>((LEFT(D12,3)="Yes")+(LEFT(E12,3)="Yes")+(LEFT(F12,3)="Yes")+(LEFT(G12,3)="Yes"))&amp;" of 4 in force"&amp;IF(((LEFT(D12,7)="Partial")+(LEFT(E12,7)="Partial")+(LEFT(F12,7)="Partial")+(LEFT(G12,7)="Partial"))&gt;0," + "&amp;((LEFT(D12,7)="Partial")+(LEFT(E12,7)="Partial")+(LEFT(F12,7)="Partial")+(LEFT(G12,7)="Partial"))&amp;" partial","")&amp;CHAR(10)&amp;CHAR(10)&amp;IF(LEFT(D12,3)="Yes","✓",IF(LEFT(D12,7)="Partial","◐","✗"))&amp;" Spending limit"&amp;CHAR(10)&amp;IF(LEFT(E12,3)="Yes","✓",IF(LEFT(E12,7)="Partial","◐","✗"))&amp;" Levy limit"&amp;CHAR(10)&amp;IF(LEFT(F12,3)="Yes","✓",IF(LEFT(F12,7)="Partial","◐","✗"))&amp;" Assessment cap"&amp;CHAR(10)&amp;IF(LEFT(G12,3)="Yes","✓",IF(LEFT(G12,7)="Partial","◐","✗"))&amp;" Rate cap"</f>
        <v/>
      </c>
      <c r="D12" s="4" t="inlineStr">
        <is>
          <r>
            <rPr>
              <rFont val="Carlito"/>
              <b val="1"/>
              <sz val="11"/>
            </rPr>
            <t>No.</t>
          </r>
          <r>
            <rPr>
              <rFont val="Carlito"/>
              <sz val="11"/>
            </rPr>
            <t xml:space="preserve">
No limit on county spending growth. The state's constitutional spending ceiling applies only to the state general fund.</t>
          </r>
        </is>
      </c>
      <c r="E12" s="4" t="inlineStr">
        <is>
          <r>
            <rPr>
              <rFont val="Carlito"/>
              <b val="1"/>
              <sz val="11"/>
            </rPr>
            <t>No.</t>
          </r>
          <r>
            <rPr>
              <rFont val="Carlito"/>
              <sz val="11"/>
            </rPr>
            <t xml:space="preserve">
No state limit on county property tax revenue. Since 1978 the Constitution has given the four counties exclusive authority over the real property tax, and each county council sets rates by class every year.
Authority: Haw. Const. art. VIII §3.</t>
          </r>
        </is>
      </c>
      <c r="F12" s="4" t="inlineStr">
        <is>
          <r>
            <rPr>
              <rFont val="Carlito"/>
              <b val="1"/>
              <sz val="11"/>
            </rPr>
            <t>No.</t>
          </r>
          <r>
            <rPr>
              <rFont val="Carlito"/>
              <sz val="11"/>
            </rPr>
            <t xml:space="preserve">
No assessment growth cap. Property is assessed at market value annually by each county.</t>
          </r>
        </is>
      </c>
      <c r="G12" s="4" t="inlineStr">
        <is>
          <r>
            <rPr>
              <rFont val="Carlito"/>
              <b val="1"/>
              <sz val="11"/>
            </rPr>
            <t>No.</t>
          </r>
          <r>
            <rPr>
              <rFont val="Carlito"/>
              <sz val="11"/>
            </rPr>
            <t xml:space="preserve">
No state or constitutional rate cap. County councils set separate rates for each property class (owner-occupied, non-owner-occupied residential, apartment, commercial, hotel/resort, vacation rental and others) by ordinance each year.</t>
          </r>
        </is>
      </c>
      <c r="H12" s="4" t="inlineStr">
        <is>
          <r>
            <rPr>
              <rFont val="Carlito"/>
              <b val="1"/>
              <sz val="11"/>
            </rPr>
            <t>No.</t>
          </r>
          <r>
            <rPr>
              <rFont val="Carlito"/>
              <sz val="11"/>
            </rPr>
            <t xml:space="preserve">
Hawaii has a single statewide school district funded by the state general fund; there are no local school property taxes.</t>
          </r>
        </is>
      </c>
      <c r="I12" s="4" t="inlineStr">
        <is>
          <r>
            <rPr>
              <rFont val="Carlito"/>
              <b val="1"/>
              <sz val="11"/>
            </rPr>
            <t>No.</t>
          </r>
          <r>
            <rPr>
              <rFont val="Carlito"/>
              <sz val="11"/>
            </rPr>
            <t xml:space="preserve">
No state property tax; the real property tax belongs exclusively to the counties.</t>
          </r>
        </is>
      </c>
      <c r="J12" s="4" t="inlineStr">
        <is>
          <r>
            <rPr>
              <rFont val="Carlito"/>
              <b val="1"/>
              <sz val="11"/>
            </rPr>
            <t>Yes.</t>
          </r>
          <r>
            <rPr>
              <rFont val="Carlito"/>
              <sz val="11"/>
            </rPr>
            <t xml:space="preserve">
County home exemptions (owner-occupants, principal residence 270+ days a year):
Honolulu: $120,000 ($160,000 if 65+), rising to $140,000/$180,000 on July 1, 2027; exempt homes are taxed in the lower Residential Homeowner class.
Maui: $300,000, with homes taxed in the owner-occupied class.
Kauai: $220,000 ($240,000 at 60-69; $260,000 at 70+), plus an extra $120,000 for owners under 80% of county median income.
Hawaii County: $50,000 (rising with age from 60), plus 20% of assessed value up to $100,000.</t>
          </r>
        </is>
      </c>
      <c r="K12" s="4" t="inlineStr">
        <is>
          <r>
            <rPr>
              <rFont val="Carlito"/>
              <b val="1"/>
              <sz val="11"/>
            </rPr>
            <t>Yes.</t>
          </r>
          <r>
            <rPr>
              <rFont val="Carlito"/>
              <sz val="11"/>
            </rPr>
            <t xml:space="preserve">
County circuit breakers: Honolulu credits property tax above 3% of income for homeowners with income up to $80,000; Maui credits tax above 2% of income (up to $8,200; income up to $126,000); Kauai offers a very-low-income tax credit. All are county-funded.</t>
          </r>
        </is>
      </c>
      <c r="L12" s="4" t="inlineStr">
        <is>
          <r>
            <rPr>
              <rFont val="Carlito"/>
              <b val="1"/>
              <sz val="11"/>
            </rPr>
            <t>No.</t>
          </r>
          <r>
            <rPr>
              <rFont val="Carlito"/>
              <sz val="11"/>
            </rPr>
            <t xml:space="preserve">
Hawaii's four counties levy and keep all real property tax, and no state program reimburses counties for exemptions or pays part of property tax bills. The state pays for public schools directly from its own budget, which does not count under this test. Act 1 of the 2021 First Special Session ended the state's allocation of transient accommodations tax revenue to the counties and let each county levy its own tax of up to 3%.
Authority: Haw. Const. art. VIII, §3; Act 1, SLH 2021 First Special Session (HRS ch. 237D).</t>
          </r>
        </is>
      </c>
      <c r="M12" s="4" t="inlineStr">
        <is>
          <r>
            <rPr>
              <rFont val="Carlito"/>
              <b val="1"/>
              <sz val="11"/>
            </rPr>
            <t>No.</t>
          </r>
          <r>
            <rPr>
              <rFont val="Carlito"/>
              <sz val="11"/>
            </rPr>
            <t/>
          </r>
        </is>
      </c>
      <c r="N12" s="4" t="inlineStr">
        <is>
          <r>
            <rPr>
              <rFont val="Carlito"/>
              <b val="1"/>
              <sz val="11"/>
            </rPr>
            <t>No.</t>
          </r>
          <r>
            <rPr>
              <rFont val="Carlito"/>
              <sz val="11"/>
            </rPr>
            <t xml:space="preserve">
No rollback requirement after valuation increases.</t>
          </r>
        </is>
      </c>
      <c r="O12" s="4" t="inlineStr">
        <is>
          <r>
            <rPr>
              <rFont val="Carlito"/>
              <b val="1"/>
              <sz val="11"/>
            </rPr>
            <t>No.</t>
          </r>
          <r>
            <rPr>
              <rFont val="Carlito"/>
              <sz val="11"/>
            </rPr>
            <t xml:space="preserve">
County councils set rates by majority vote.</t>
          </r>
        </is>
      </c>
      <c r="P12" s="4" t="inlineStr">
        <is>
          <r>
            <rPr>
              <rFont val="Carlito"/>
              <b val="1"/>
              <sz val="11"/>
            </rPr>
            <t>No.</t>
          </r>
          <r>
            <rPr>
              <rFont val="Carlito"/>
              <sz val="11"/>
            </rPr>
            <t xml:space="preserve">
Property tax rates are not subject to referendum.</t>
          </r>
        </is>
      </c>
      <c r="Q12" s="4" t="inlineStr">
        <is>
          <r>
            <rPr>
              <rFont val="Carlito"/>
              <b val="1"/>
              <sz val="11"/>
            </rPr>
            <t>No.</t>
          </r>
          <r>
            <rPr>
              <rFont val="Carlito"/>
              <sz val="11"/>
            </rPr>
            <t xml:space="preserve">
County property tax revenue is general-fund revenue; counties may dedicate portions by ordinance (for example, Honolulu's affordable housing and clean water funds).</t>
          </r>
        </is>
      </c>
      <c r="R12" s="4" t="inlineStr">
        <is>
          <t>Four counties levy the property tax: the City and County of Honolulu, Maui County, Hawaii County and Kauai County (Kalawao County has no taxing authority). No municipalities, school districts or special districts levy property tax. Census of Governments 2022: 21 local governments (3 county governments plus Honolulu, and 17 special districts, almost all soil and water conservation districts with no taxing power).</t>
        </is>
      </c>
      <c r="S12" s="4" t="inlineStr">
        <is>
          <t>Verdict: Failed. Property tax per person rose 122.9% after inflation from FY2002 to FY2024, the fastest of any state, against 25.9% for the U.S.
Why it leaks: Hawaii sets no limit on county property taxes. Since 1978 the Constitution (art. VIII §3) has given the four counties exclusive authority over the real property tax, and each council sets rates by class every year by majority vote. Rates are not subject to referendum, and the state spending ceiling covers only the state general fund.
How localities get around it: With nothing to evade, counties load the burden onto non-owners. Maui's FY2027 rates cut owner-occupied tier 1 to $1.65 per $1,000 and raised non-owner-occupied tier 1 to $6.25. A Nov. 3, 2026 ballot measure would let counties issue "RISE" tax increment bonds that divert property tax growth to bondholders (SB 3219).
Full record:
Has it worked? There is nothing to evade: Hawaii has no state limits at all, and collections have grown faster than in any other state.
The record (Census, BEA, ACS): state and local property tax was $1,928 per person in FY2024 (U.S. $2,132), 2.69% of personal income (25th-highest of 50; U.S. 2.89%). After inflation, collections per person (all state and local property tax divided by residents) rose 122.9% from FY2002 to FY2024 (U.S. +25.9%) and rose 8.0% from FY2019 to FY2024 (U.S. -1.1%). The median homeowner paid $2,385 in 2024 (U.S. $3,211); the median bill rose 18.8% after inflation from 2010 to 2024 (U.S. +9.3%). The Tax Foundation's 2026 ranking puts its effective property tax rate on owner-occupied homes at 0.29%, 1st-lowest of 50. By the same measure it was 0.28% in 2010 (U.S. 1.00% in 2010, 0.94% in 2024).
One point of context: Hawaii is the only state that funds public schools without property tax, so the entire amount goes to the four counties.
Taxes stay low for owner-occupants (effective rate 0.27% in 2024, lowest in the country) because counties exempt large shares of home value and tax owner-occupied homes at low rates, then load the burden onto everyone else: non-owner-occupied homes ("Residential A" in Honolulu, with higher tiers above $1 million), hotels and resorts, and vacation rentals, which pay the highest class rates. That classification system is itself the main policy lever, and counties have widened the gaps since 2020. Counties also rely on a 0.5% general excise tax surcharge (Honolulu's funds rail transit) and on transient accommodations tax revenue.
Maui: for FY2027 (July 1, 2026) the council cut owner-occupied rates (tier 1 from $1.80 to $1.65 per $1,000) and raised them on everyone else: non-owner-occupied tier 1 from $5.87 to $6.25 and tier 2 from $8.60 to $9.00, with the $17.00 top tier now starting at $2.5 million (down from $3 million); short-term rental tiers rose to $13.00, $15.00 and $17.00 (from $12.50, $14.00 and $15.55). Maui collects the most per resident of the four counties ($4,139, Grassroot Institute).
Honolulu: FY2027 rates per $1,000 are $13.90 for hotels and resorts, $12.40 for commercial and industrial, $11.40 on Residential A value above $1 million and $11.50 on vacation rental value above $800,000, against $3.50 for homeowners (Honolulu Real Property Assessment Division, July 2026).
TIF: the Nov. 3, 2026 ballot asks voters to let counties issue "RISE" (tax increment) bonds repaid from the growth in property tax inside a redevelopment district (SB 3219, 2026). One example is Honolulu's Iwilei district on the rail line, where a 2023 report put the cost of infrastructure for new housing at $670 million (Hawaii Public Radio, Oct. 9, 2026). Approval would divert future property tax growth from county general funds to bondholders and give counties a borrowing route outside general obligation debt.</t>
        </is>
      </c>
      <c r="T12" s="4" t="inlineStr">
        <is>
          <t>- Grassroot Institute of Hawaii, Jonathan Helton, "Comparing county property taxes across Hawaii: Who pays the most?" (Sept. 23, 2026). Maui residents pay the most per person ($4,139) and Honolulu the least ($1,817); Hawaii County takes the largest share of total assessed value. A full-time Maui resident homeowner pays less than resident homeowners in other counties because of low tiered rates and a large home exemption, while Honolulu businesses pay the most. https://www.grassrootinstitute.org/2026/09/comparing-county-property-taxes-across-hawaii-who-pays-the-most/
- Tax Foundation of Hawaii, "Honolulu Special Funds" (Aug. 10, 2026). Six of the 20 Honolulu charter proposals on the Nov. 3, 2026 ballot concern special funds. Four of the five existing charter funds take an earmark of 0.5% of real property tax collections each, and one proposal adds a Food Security Fund on the same terms; the group warns that earmarks remove revenue from budgetary control by the mayor and council. https://www.tfhawaii.org/wordpress/blog/honolulu-special-funds/
- Grassroot Institute of Hawaii, Ted Kefalas, "Empty homes tax proposal is vague, legally risky and could raise prices" (July 9, 2026). Testimony opposing charter amendment P170, which would set an empty homes tax of at least 2% of assessed value, or $24,850 a year on a home at Oahu's $1.24 million median sales price. The Honolulu Charter Commission later declined to put the measure on the ballot. https://www.grassrootinstitute.org/2026/07/empty-homes-tax-proposal-is-vague-legally-risky-and-could-raise-prices/
- Grassroot Institute of Hawaii, Keli'i Akina, "No, we don't have low property taxes" (May 28, 2025). Rebuts the claim that Hawaii's property taxes are low: rates are nominally low but bills on very high values land near the middle of the pack, assessments rarely fall, and counties keep raising budgets (Maui's mayor sought a $116 million increase for 2026); urges councils to cut rates as values rise. https://www.grassrootinstitute.org/2025/05/no-we-dont-have-low-property-taxes/
- Grassroot Institute of Hawaii, Jonathan Helton, "How Hawaii's county lawmakers can provide tax relief to offset higher property assessments" (April 20, 2023). Policy toolkit for county councils; finds property tax revenue grew 19.81% in Hawaii County, 19.23% in Kauai, 12.4% in Maui and 9.14% in Honolulu in fiscal 2023, and recommends rate cuts, assessment circuit breakers, exemptions and indexing to break the link between rising valuations and higher bills. https://www.grassrootinstitute.org/2023/04/new-brief-outlines-how-counties-can-provide-property-tax-relief/
Linked list: 5 items on the Analyses sheet (filter State = Hawaii); every source URL is linked on the Sources sheet.</t>
        </is>
      </c>
      <c r="U12" s="4" t="inlineStr">
        <is>
          <t>2023-2025: counties raised home exemptions and expanded tiered rates on high-value and non-owner-occupied property; Honolulu approved increases to $140,000/$180,000 effective July 1, 2027.
Dec. 2025: Maui enacted Bill 9, phasing out thousands of short-term rentals in apartment districts after the Lahaina fire, which will move those units out of the highest-taxed vacation rental class.
2025: Honolulu Ordinance 25-042 (Bill 49, introduced June 27, 2025) raises the home exemption for owners 65 and older from $160,000 to $180,000 for tax years beginning July 1, 2027.
June 2026: Maui's FY2027 rate resolution lowered owner-occupied rates and raised non-owner-occupied and short-term rental rates, lowering the entry point of the top non-owner-occupied tier to $2.5 million.
Nov. 3, 2026 ballot: a legislatively referred constitutional amendment (SB 3219, 2026) would let the Legislature authorize counties to issue "RISE" housing infrastructure growth bonds, a form of tax increment financing repaid from increased property tax revenue in a district. The other statewide question concerns Senate action on judicial appointments.</t>
        </is>
      </c>
      <c r="V12" s="4" t="inlineStr">
        <is>
          <t>1st (0.29% effective rate; 0.28% in 2010)</t>
        </is>
      </c>
      <c r="W12" s="4" t="inlineStr">
        <is>
          <t>Hawaii has none of the four regimes. Property tax is entirely a county matter, controlled through large homeowner exemptions and steep classification of non-owner-occupied, resort and vacation rental property. Owner-occupants pay the lowest effective rates in the nation; the burden falls on investors, visitors and businesses.</t>
        </is>
      </c>
      <c r="X12" s="4" t="inlineStr">
        <is>
          <t>https://my.aarpfoundation.org/property-taxes/taxpayer-states/hawaii/
https://files.hawaii.gov/dbedt/economic/databook/2024-individual/21/211524.pdf
https://www.realpropertyhonolulu.com/state-reports/2025
https://www.realpropertyhonolulu.com/media/ugxijaid/residential-a-information-rev-june-2025.pdf
https://www.khon2.com/maui-county-news/bill-9-officially-passes-maui-county-council-phasing-out-thousands-of-short-term-rentals/amp/
https://www.grassrootinstitute.org/2026/09/comparing-county-property-taxes-across-hawaii-who-pays-the-most/
https://realproperty.honolulu.gov/media/b3pcwo2o/state-report-fy27-final_tax-rates.pdf
https://mauirealestate.com/maui-county-2026-2027-property-tax-rates/
https://files.amlegal.com/pdffiles/Honolulu/ORD25-042.pdf
https://www.hawaiipublicradio.org/local-news/2026-10-09/ballot-question-could-help-hawaiis-housing-shortage-supporters-say
https://data.capitol.hawaii.gov/sessions/session2026/bills/SB3219_HD2_.pdf
https://theballotbrief.com/measures/hawaii</t>
        </is>
      </c>
    </row>
    <row r="13" ht="409" customHeight="1">
      <c r="A13" s="13" t="inlineStr">
        <is>
          <t>Idaho</t>
        </is>
      </c>
      <c r="B13" s="4" t="inlineStr">
        <is>
          <r>
            <rPr>
              <rFont val="Carlito"/>
              <b val="1"/>
              <sz val="14"/>
            </rPr>
            <t>C.</t>
          </r>
          <r>
            <rPr>
              <rFont val="Carlito"/>
              <sz val="11"/>
            </rPr>
            <t xml:space="preserve">
Restriction points 8.25 of 18 (levy limit 4; rate cap 2; supermajority 1; school districts covered 0.5; November-ballot rule 0.25; use restrictions 0.5). Deductions: built-in loopholes -1; workarounds in practice -0.5; state buydowns -1.5; data record +1. Total 6.25 = C (A 11+, B 8.5-10.9, C 5.5-8.4, D 3-5.4, F under 3).
Why: Built-in loopholes -1: new construction and annexation add revenue outside the 3%, banked forgone balances ($133.3 million statewide in March 2026) can be drawn at 1% a year, and school levies sit outside the limit. Workarounds -0.5: Boise stacked 1% of forgone on the 3% maximum in FY2025 and FY2026, and the Ada County Highway District recovered $2.27 million of forgone revenue for FY2027. Buydowns -1.5: HB 292's first-year school levy and homeowner reductions (about $307 million) equal roughly 14% of FY2024 collections, with HB 521 and HB 74 adding more. Record +1: real per-person collections fell 7.7% FY2002-FY2022 and 21.1% FY2019-FY2024, homeowner bills grew less than the U.S., and the burden is low (1.73% of income; 0.43% effective rate).</t>
          </r>
        </is>
      </c>
      <c r="C13" s="4">
        <f>((LEFT(D13,3)="Yes")+(LEFT(E13,3)="Yes")+(LEFT(F13,3)="Yes")+(LEFT(G13,3)="Yes"))&amp;" of 4 in force"&amp;IF(((LEFT(D13,7)="Partial")+(LEFT(E13,7)="Partial")+(LEFT(F13,7)="Partial")+(LEFT(G13,7)="Partial"))&gt;0," + "&amp;((LEFT(D13,7)="Partial")+(LEFT(E13,7)="Partial")+(LEFT(F13,7)="Partial")+(LEFT(G13,7)="Partial"))&amp;" partial","")&amp;CHAR(10)&amp;CHAR(10)&amp;IF(LEFT(D13,3)="Yes","✓",IF(LEFT(D13,7)="Partial","◐","✗"))&amp;" Spending limit"&amp;CHAR(10)&amp;IF(LEFT(E13,3)="Yes","✓",IF(LEFT(E13,7)="Partial","◐","✗"))&amp;" Levy limit"&amp;CHAR(10)&amp;IF(LEFT(F13,3)="Yes","✓",IF(LEFT(F13,7)="Partial","◐","✗"))&amp;" Assessment cap"&amp;CHAR(10)&amp;IF(LEFT(G13,3)="Yes","✓",IF(LEFT(G13,7)="Partial","◐","✗"))&amp;" Rate cap"</f>
        <v/>
      </c>
      <c r="D13" s="4" t="inlineStr">
        <is>
          <r>
            <rPr>
              <rFont val="Carlito"/>
              <b val="1"/>
              <sz val="11"/>
            </rPr>
            <t>No.</t>
          </r>
          <r>
            <rPr>
              <rFont val="Carlito"/>
              <sz val="11"/>
            </rPr>
            <t xml:space="preserve">
No general local spending cap; Idaho limits the property-tax-funded portion of non-school budgets instead (see Levy limit). School district general fund spending is driven by the state formula plus voter-approved supplemental levies.</t>
          </r>
        </is>
      </c>
      <c r="E13" s="4" t="inlineStr">
        <is>
          <r>
            <rPr>
              <rFont val="Carlito"/>
              <b val="1"/>
              <sz val="11"/>
            </rPr>
            <t>Yes.</t>
          </r>
          <r>
            <rPr>
              <rFont val="Carlito"/>
              <sz val="11"/>
            </rPr>
            <t xml:space="preserve">
Each non-school taxing district (counties, cities, highway, fire, library, cemetery and other districts) may certify property taxes no greater than the highest amount certified in any of the prior three years, plus up to 3%, plus the levy rate times the value of new construction and 90% of annexed value. The total increase is capped at 8% (15% for fire and ambulance districts). Districts that take less than the full 3% may bank the "forgone" amount, but may use it for operations at no more than 1% of the budget per year (3% for capital projects).
Overrides: voters may exceed the limit for up to two years by majority vote, or permanently by 66 2/3%; cities levying under 0.4% may rise to 0.4% with 60% voter approval. Elections only on the May or November dates.
Excluded: school district levies; voter-approved bonds, overrides and supplemental levies; plant facilities levies; judgments.
HB 959 (2026) let fire protection and ambulance districts grow total property tax budgets up to 15% (from 8%), ends new forgone balances for those districts after tax year 2026, and lets their voters raise or lower district budgets by initiative.
Authority: Idaho Code §63-802 (1995 limit; tightened by HB 389, 2021; HB 959, Session Law ch. 316, signed April 10, 2026).</t>
          </r>
        </is>
      </c>
      <c r="F13" s="4" t="inlineStr">
        <is>
          <r>
            <rPr>
              <rFont val="Carlito"/>
              <b val="1"/>
              <sz val="11"/>
            </rPr>
            <t>No.</t>
          </r>
          <r>
            <rPr>
              <rFont val="Carlito"/>
              <sz val="11"/>
            </rPr>
            <t xml:space="preserve">
No assessment growth cap; property is assessed at market value annually. Homeowners are protected through the 50% homeowner's exemption.</t>
          </r>
        </is>
      </c>
      <c r="G13" s="4" t="inlineStr">
        <is>
          <r>
            <rPr>
              <rFont val="Carlito"/>
              <b val="1"/>
              <sz val="11"/>
            </rPr>
            <t>Yes.</t>
          </r>
          <r>
            <rPr>
              <rFont val="Carlito"/>
              <sz val="11"/>
            </rPr>
            <t xml:space="preserve">
Statutory maximum rates by district type and fund (for example, 0.9% for general city purposes and 0.26% or the amount needed to raise $250,000 for county general purposes, with separate caps for other county funds). School levies other than bonds require voter approval: supplemental levies (up to two years) by majority; plant facilities levies by 55% to 2/3 depending on the existing rate.
Authority: Idaho Code §50-235 (cities); §63-805 (counties); §33-802 (schools).</t>
          </r>
        </is>
      </c>
      <c r="H13" s="4" t="inlineStr">
        <is>
          <r>
            <rPr>
              <rFont val="Carlito"/>
              <b val="1"/>
              <sz val="11"/>
            </rPr>
            <t>Partial.</t>
          </r>
          <r>
            <rPr>
              <rFont val="Carlito"/>
              <sz val="11"/>
            </rPr>
            <t xml:space="preserve">
School districts are exempt from the 3% budget cap. Since 2006 their general maintenance-and-operations levy is gone (replaced by state sales tax), so school property taxes now consist mostly of voter-approved supplemental levies, plant facilities levies and bonds. State money from the School District Facilities Fund must be used first to pay down those levies and bonds.</t>
          </r>
        </is>
      </c>
      <c r="I13" s="4" t="inlineStr">
        <is>
          <r>
            <rPr>
              <rFont val="Carlito"/>
              <b val="1"/>
              <sz val="11"/>
            </rPr>
            <t>No.</t>
          </r>
          <r>
            <rPr>
              <rFont val="Carlito"/>
              <sz val="11"/>
            </rPr>
            <t xml:space="preserve">
No state property tax. In the 2006 special session the Legislature eliminated the school maintenance-and-operations property tax and raised the state sales tax from 5% to 6% to replace it.</t>
          </r>
        </is>
      </c>
      <c r="J13" s="4" t="inlineStr">
        <is>
          <r>
            <rPr>
              <rFont val="Carlito"/>
              <b val="1"/>
              <sz val="11"/>
            </rPr>
            <t>Yes.</t>
          </r>
          <r>
            <rPr>
              <rFont val="Carlito"/>
              <sz val="11"/>
            </rPr>
            <t xml:space="preserve">
Homeowner's exemption: 50% of the value of an owner-occupied primary residence and up to one acre, capped at $125,000 since 2021 (previously $100,000).
Authority: Idaho Code §63-602G.</t>
          </r>
        </is>
      </c>
      <c r="K13" s="4" t="inlineStr">
        <is>
          <r>
            <rPr>
              <rFont val="Carlito"/>
              <b val="1"/>
              <sz val="11"/>
            </rPr>
            <t>Yes.</t>
          </r>
          <r>
            <rPr>
              <rFont val="Carlito"/>
              <sz val="11"/>
            </rPr>
            <t xml:space="preserve">
Property Tax Reduction ("circuit breaker"): $250 to $1,500 off the home's tax bill for owners 65+, widowed, blind, disabled or former POWs with income (after medical expenses) of $40,030 or less (2027 program); state-funded. Homeowner Property Tax Relief Account credits (2023-2025) also appear on bills.
Authority: Idaho Code §63-701 et seq.</t>
          </r>
        </is>
      </c>
      <c r="L13" s="4" t="inlineStr">
        <is>
          <r>
            <rPr>
              <rFont val="Carlito"/>
              <b val="1"/>
              <sz val="11"/>
            </rPr>
            <t>Yes.</t>
          </r>
          <r>
            <rPr>
              <rFont val="Carlito"/>
              <sz val="11"/>
            </rPr>
            <t xml:space="preserve">
Idaho dedicates state sales tax revenue to cutting local property tax bills through standing appropriations:
- School District Facilities Fund (HB 292, 2023): 3.25% of sales tax revenue plus a $50 million annual transfer under HB 304 (2025). Districts must apply the money to existing bond and voter-approved levy payments and subtract it from the amount levied; school levy reductions totaled $215.2 million in 2025.
- Homeowner Property Tax Relief Account: 2.25% of sales tax revenue plus a $50 million annual transfer under HB 304, paid to counties and credited on the bills of homes with the homestead exemption; $112.8 million in 2025.
- Personal property tax replacement: the state reimburses taxing districts for the business personal property exemption (up to $250,000 of cost per taxpayer per county); $7.5 million was paid in the first four months of FY2026.
- Farm machinery replacement: the state replaces taxes on exempt agricultural equipment; $2.8 million was paid in the first four months of FY2026.
The 2006 shift of school maintenance and operation levies to the sales tax is now paid as general school aid and does not count.
Authority: Idaho Code §§33-911, 63-724, 63-602KK, 63-602EE, 63-3638(11), (13), (15), (18); HB 292 (2023); HB 304 (2025, ch. 175); HB 636 (2026, ch. 32); State Tax Commission, Market Values and Property Taxes for 2025 (Dec. 22, 2025).</t>
          </r>
        </is>
      </c>
      <c r="M13" s="4" t="inlineStr">
        <is>
          <r>
            <rPr>
              <rFont val="Carlito"/>
              <b val="1"/>
              <sz val="11"/>
            </rPr>
            <t>No.</t>
          </r>
          <r>
            <rPr>
              <rFont val="Carlito"/>
              <sz val="11"/>
            </rPr>
            <t/>
          </r>
        </is>
      </c>
      <c r="N13" s="4" t="inlineStr">
        <is>
          <r>
            <rPr>
              <rFont val="Carlito"/>
              <b val="1"/>
              <sz val="11"/>
            </rPr>
            <t>No.</t>
          </r>
          <r>
            <rPr>
              <rFont val="Carlito"/>
              <sz val="11"/>
            </rPr>
            <t xml:space="preserve">
No rollback rate. The 3% dollar cap on budgets means rates fall automatically when values rise faster than the allowed budget growth.</t>
          </r>
        </is>
      </c>
      <c r="O13" s="4" t="inlineStr">
        <is>
          <r>
            <rPr>
              <rFont val="Carlito"/>
              <b val="1"/>
              <sz val="11"/>
            </rPr>
            <t>Yes.</t>
          </r>
          <r>
            <rPr>
              <rFont val="Carlito"/>
              <sz val="11"/>
            </rPr>
            <t xml:space="preserve">
Voters: 66 2/3% to permanently exceed the 3% budget limit; 2/3 for school and municipal general obligation bonds (55% for some school plant facilities levies); 60% for cities rising to the 0.4% levy floor. Temporary two-year overrides need a majority.
Authority: Idaho Const. art. VIII §3; Idaho Code §63-802(1)(g)-(h).</t>
          </r>
        </is>
      </c>
      <c r="P13" s="4" t="inlineStr">
        <is>
          <r>
            <rPr>
              <rFont val="Carlito"/>
              <b val="1"/>
              <sz val="11"/>
            </rPr>
            <t>Partial.</t>
          </r>
          <r>
            <rPr>
              <rFont val="Carlito"/>
              <sz val="11"/>
            </rPr>
            <t xml:space="preserve">
Levy, override and bond elections may be held only on the May or November consolidated dates; HB 292 (2023) eliminated the March election date that school districts had used for bonds and levies.
Authority: Idaho Code §34-106.</t>
          </r>
        </is>
      </c>
      <c r="Q13" s="4" t="inlineStr">
        <is>
          <r>
            <rPr>
              <rFont val="Carlito"/>
              <b val="1"/>
              <sz val="11"/>
            </rPr>
            <t>Yes.</t>
          </r>
          <r>
            <rPr>
              <rFont val="Carlito"/>
              <sz val="11"/>
            </rPr>
            <t xml:space="preserve">
Taxing districts levy by fund with separate statutory rate caps (city general, streets, parks; county general, roads, justice, indigent and others). School facilities fund money must be used to retire bonds and levies; supplemental levies are limited to the purposes on the ballot.</t>
          </r>
        </is>
      </c>
      <c r="R13" s="4" t="inlineStr">
        <is>
          <t>44 counties; 199 cities; 118 school districts; a large number of single-purpose taxing districts: 183 cemetery, 155 fire protection, 63 highway, 57 library, plus recreation, hospital, ambulance, auditorium, flood control and others; urban renewal agencies capture increment. Census of Governments 2022: 1,168 local governments, including 807 special districts.</t>
        </is>
      </c>
      <c r="S13" s="4" t="inlineStr">
        <is>
          <t>Verdict: Worked. Property tax per person fell 15.1% after inflation from FY2002 to FY2024, the slowest of any state, against a 25.9% U.S. rise, and state sales tax money paid for part of that drop.
Why it leaks: Idaho Code §63-802 lets non-school districts raise property tax 3% a year plus new construction and 90% of annexed value, up to 8% (15% for fire and ambulance districts). Schools sit outside the cap, as do voter-approved bonds and overrides. Districts also bank unused "forgone" authority. The state buys down levies: HB 292 (2023) relief equaled roughly 14% of FY2024 collections.
How localities get around it: Boise raised its levy 4% in FY2025 and FY2026 by adding 1% of forgone to the 3%. The Ada County Highway District recovered $2.27 million of forgone revenue for FY2027.
Full record:
Has it worked? Mostly, with large help from the state budget. The 3% cap with an 8% ceiling has restrained non-school budgets, and state sales tax money now pays down school levies and homeowner bills.
The record (Census, BEA, ACS): state and local property tax was $1,059 per person in FY2024 (U.S. $2,132), 1.73% of personal income (45th-highest of 50; U.S. 2.89%). After inflation, collections per person (all state and local property tax divided by residents) fell 15.1% from FY2002 to FY2024 (U.S. +25.9%) and fell 21.1% from FY2019 to FY2024 (U.S. -1.1%). The median homeowner paid $1,912 in 2024 (U.S. $3,211); the median bill rose 8.8% after inflation from 2010 to 2024 (U.S. +9.3%). The Tax Foundation's 2026 ranking puts its effective property tax rate on owner-occupied homes at 0.50%, 6th-lowest of 50. By the same measure it was 0.68% in 2010 (U.S. 1.00% in 2010, 0.94% in 2024).
Nominal collections fell from $2.24 billion in FY2023 to $2.12 billion in FY2024 (Census), the first full year of HB 292's state-funded reductions.
State money: HB 292 (2023) put about $115 million into the School District Facilities Fund and about $192 million into homeowner reductions in its first year, together roughly 14% of FY2024 property tax collections.
Leaks:
Forgone balances: districts banked unused capacity for years; HB 389 (2021) limited how fast it can be used. Statewide forgone balances stood at $133.3 million in March 2026 (Tax Commission, via Idaho Freedom Foundation). Boise raised its levy 4% in FY2025 and FY2026 (3% plus 1% of forgone) and adopted 2.7% for FY2027; voters also approved a third open-space levy ($11 million).
Ada County: the county says it has left $33 million of allowed property tax uncollected since 2021, but in June 2026 its clerk told commissioners the FY2027 budget could require an increase (KIVI, June 16, 2026). The Ada County Highway District certified a levy of about $58.5 million for FY2027 and, in a separate unanimous vote, recovered $2.27 million of forgone revenue from prior years (CBS2, Aug. 26, 2026).
New construction and annexation: growth adds revenue outside the 3%, which fast-growing Treasure Valley districts rely on.
Schools: outside the cap, schools depend on supplemental levies that must pass every two years; the state now pays down those levies with sales tax.
Fire and ambulance districts: allowed up to 15% growth.
Fees: charges are 53% of local own-source revenue (U.S.: 34%), much of it from public hospitals and utilities; local sales taxes are limited to resort cities (average 0.03%).
Burden shift: rising home values relative to commercial property have shifted share onto homeowners, which drove the 2023-2025 relief bills.</t>
        </is>
      </c>
      <c r="T13" s="4" t="inlineStr">
        <is>
          <t>- Mountain States Policy Center, Chris Cargill, "New Study: What it would take to eliminate Idaho's local property taxes" (Sept. 30, 2026). Property taxes raise about $2.2 billion for local governments; replacing them through the sales tax would take about 5.4% more (11.4% in total), and the local rate needed ranges from 2.4% in Shoshone County to more than 30% in Boise County. Favors local choice, with any new local sales tax replacing property tax dollar for dollar, voter approval and rate limits, plus spending restraint and truth in taxation. https://www.mountainstatespolicy.org/post/new-study-what-it-would-take-to-eliminate-idaho-s-local-property-taxes
- Idaho Freedom Foundation, "The Ratchet Only Goes One Way: Boise's Ever Increasing Property Taxes" (July 14, 2026). Boise has raised property taxes every year since FY2021, including 4% in FY2025 and FY2026 by stacking the 3% maximum with 1% of forgone authority; urges ending the forgone mechanism. https://idahofreedom.org/the-ratchet-only-goes-one-way-boises-ever-increasing-property-taxes/
- Idaho Freedom Foundation, "Property Tax Relief Options Explained" (June 4, 2026). Property taxes are budget-driven, so lasting relief requires spending restraint at state and local levels; compares general cuts, carve-outs and shifts using Tax Commission projections, including eliminating the $125,000 homeowner's exemption cap, and concludes taxes will not fall until spending growth is reversed. https://idahofreedom.org/property-tax-relief-options-explained/
- Idaho Freedom Foundation, "The Property Tax: Expensive and Outdated" (May 19, 2026). Makes the case for abolishing property taxes, tracing them from the territorial era through the state's 1965 exit from the property tax. https://idahofreedom.org/the-property-tax-expensive-and-outdated/
- Idaho Freedom Foundation, "House Bill 959 — Initiative, budget limits" (bill rating, March 30, 2026). Scaled-back version of the failed HB 842; the 15% cap for fire and ambulance districts will raise taxes in fast-growing districts, while ending new forgone balances and allowing voter initiatives are improvements; reports $133.3 million in statewide forgone balances. https://idahofreedom.org/house-bill-959-initiative-budget-limits/
- Mountain States Policy Center, Jason Mercier, "Truth in Taxation proposed in Idaho to increase property tax transparency" (March 5, 2025). Backs HB 369, which would require taxing districts to publish and mail a Notice of Proposed Tax Increase; points to Utah, where "When values increase, the tax rate adjusts down to provide the taxing entity the same amount of revenue." https://www.mountainstatespolicy.org/post/truth-in-taxation-proposed-in-idaho-to-increase-property-tax-transparency
Linked list: 6 items on the Analyses sheet (filter State = Idaho); every source URL is linked on the Sources sheet.</t>
        </is>
      </c>
      <c r="U13" s="4" t="inlineStr">
        <is>
          <t>2006: Property Tax Relief Act (H 1, extraordinary session) eliminated the school M&amp;O levy, raised the sales tax to 6% and appropriated about $250.6 million to replace it; an advisory vote followed.
2021: HB 389 (90% annexation allowance, 8% overall cap, limits on forgone balances). The homeowner's exemption cap rose from $100,000 to $125,000 that year (Tax Commission history table).
2023: HB 292 (School District Facilities Fund, Homeowner Property Tax Relief Account, March election date eliminated).
2024: HB 521 (school facilities funding tied to levy reduction).
2025: HB 74 (additional $100 million of property tax relief). HB 329 (Session Law ch. 188, signed March 27, 2025): from 2026, rate-regulated electric and gas companies pay a kilowatt-hour and therm tax distributed to taxing districts in place of property tax (HB 722 of 2026 adjusted the levy calculation). HB 369 (Rep. Cannon, a truth-in-taxation notice and hearing requirement before budget increases from property tax) was referred to House Revenue and Taxation on March 6, 2025 and went no further.
2026: HB 959 enacted (fire and ambulance district budget limits and initiatives, see Levy limit). HB 842 (broader budget-limit changes, including faster use of forgone balances) failed in the House 28-41 on March 23; HB 670 (budget limits and new-construction values) passed the House 59-10 but stalled in the Senate; HB 886 (a state property tax) and HB 885 (homestead exemption changes) did not advance; HB 843 enacted (signed March 31, 2026; Session Law ch. 236, retroactive to Jan. 1, 2026), ending proration of the homeowner's exemption.
Nov. 3, 2026 ballot: HJR 4 (Legislature's sole power over psychoactive substances), HJR 6 (English as official language), Proposition 1 and a gun advisory question; none concerns property tax.</t>
        </is>
      </c>
      <c r="V13" s="4" t="inlineStr">
        <is>
          <t>6th (0.50% effective rate; 0.68% in 2010)</t>
        </is>
      </c>
      <c r="W13" s="4" t="inlineStr">
        <is>
          <t>Idaho relies on a strict statutory levy limit (3% plus new construction, 8% maximum, 2/3 vote for permanent overrides) and statutory rate caps, but has no assessment cap or spending cap, and schools sit outside the levy limit. Since 2006 the state has repeatedly used sales tax revenue to retire local school property taxes, a subsidy model the ATR brief warns against (Nebraska is the cited example).</t>
        </is>
      </c>
      <c r="X13" s="4" t="inlineStr">
        <is>
          <t>https://legislature.idaho.gov/statutesrules/idstat/Title63/T63CH8/SECT63-802/
https://tax.idaho.gov/taxes/property/homeowners/exemption/
https://tax.idaho.gov/taxes/property/homeowners/reduction/
https://adacounty.id.gov/wp-content/uploads/2023/04/HB292-Synopsis-for-home-page-04-18.pdf
https://legislature.idaho.gov/wp-content/uploads/sessioninfo/2025/legislation/H0074SOP.pdf
https://cdapress.com/news/2023/nov/22/idaho-homeowners-to-receive-192m-in-property-tax-reductions/
https://legislature.idaho.gov/sessioninfo/2006extra1/legislation/H0001
https://apps.lincolninst.edu/uploads/summary-tables/rate-limits-summary-tables/rate-limits-2022-4.xlsx
https://legislature.idaho.gov/sessioninfo/2026/legislation/H0959/
https://legislature.idaho.gov/sessioninfo/2025/legislation/H0329/
https://legislature.idaho.gov/sessioninfo/2026/legislation/H0842/
https://legislature.idaho.gov/sessioninfo/2026/legislation/H0670/
https://tax.idaho.gov/wp-content/uploads/pubs/EPR00112/EPR00112_05-05-2026.pdf
https://www.kivitv.com/news/local-news/in-your-neighborhood/ada-county/this-year-is-not-the-same-what-ada-countys-budget-crunch-could-mean-for-your-property-taxes
https://idahonews.com/news/local/ada-county-highway-district-approves-261-million-fiscal-2027-budget-in-5-0-vote
https://legislature.idaho.gov/sessioninfo/2026/legislation/H0843/
https://legislature.idaho.gov/sessioninfo/2025/legislation/H0369/
https://legislature.idaho.gov/proposed-amendment-to-the-idaho-constitution/
https://www.mountainstatespolicy.org/post/new-study-what-it-would-take-to-eliminate-idaho-s-local-property-taxes
https://www.mountainstatespolicy.org/post/truth-in-taxation-proposed-in-idaho-to-increase-property-tax-transparency</t>
        </is>
      </c>
    </row>
    <row r="14" ht="409" customHeight="1">
      <c r="A14" s="13" t="inlineStr">
        <is>
          <t>Illinois</t>
        </is>
      </c>
      <c r="B14" s="4" t="inlineStr">
        <is>
          <r>
            <rPr>
              <rFont val="Carlito"/>
              <b val="1"/>
              <sz val="14"/>
            </rPr>
            <t>F.</t>
          </r>
          <r>
            <rPr>
              <rFont val="Carlito"/>
              <sz val="11"/>
            </rPr>
            <t xml:space="preserve">
Restriction points 7.25 of 18 (levy limit 2; assessment cap 1; rate cap 1; truth in taxation 1; rollback 0.5; school districts covered 1; November-ballot rule 0.25; use restrictions 0.5). Deductions: built-in loopholes -2; workarounds in practice -2; state buydowns +0; data record -1. Total 2.25 = F (A 11+, B 8.5-10.9, C 5.5-8.4, D 3-5.4, F under 3).
Why: Built-in loopholes -2: home-rule units, including Chicago, Cook County and about 200 municipalities, sit outside PTELL; non-referendum debt fits inside each district's debt service extension base; backdoor-referendum bonds go forward unless 7.5% of voters petition; the Legislature carves out levies such as the CPS pension levy. Workarounds -2: Cook County TIFs captured a record $1.7 billion in tax year 2022, Chicago's median homeowner bill rose 16.7% for tax year 2024, CPS levied the full legal maximum for FY2026, and a megaprojects PILOT bill worth about $39 million a year to the Bears passed the House. Buydowns 0: the school Property Tax Relief Grant is far below 5% of collections. Record -1: real per-person collections grew 32.9% FY2002-FY2022 (US 23.4%) and 5.8% FY2019-FY2024 (US -1.1%), with the highest effective homeowner rate in the country (1.92%) and 3.99% of personal income.</t>
          </r>
        </is>
      </c>
      <c r="C14" s="4">
        <f>((LEFT(D14,3)="Yes")+(LEFT(E14,3)="Yes")+(LEFT(F14,3)="Yes")+(LEFT(G14,3)="Yes"))&amp;" of 4 in force"&amp;IF(((LEFT(D14,7)="Partial")+(LEFT(E14,7)="Partial")+(LEFT(F14,7)="Partial")+(LEFT(G14,7)="Partial"))&gt;0," + "&amp;((LEFT(D14,7)="Partial")+(LEFT(E14,7)="Partial")+(LEFT(F14,7)="Partial")+(LEFT(G14,7)="Partial"))&amp;" partial","")&amp;CHAR(10)&amp;CHAR(10)&amp;IF(LEFT(D14,3)="Yes","✓",IF(LEFT(D14,7)="Partial","◐","✗"))&amp;" Spending limit"&amp;CHAR(10)&amp;IF(LEFT(E14,3)="Yes","✓",IF(LEFT(E14,7)="Partial","◐","✗"))&amp;" Levy limit"&amp;CHAR(10)&amp;IF(LEFT(F14,3)="Yes","✓",IF(LEFT(F14,7)="Partial","◐","✗"))&amp;" Assessment cap"&amp;CHAR(10)&amp;IF(LEFT(G14,3)="Yes","✓",IF(LEFT(G14,7)="Partial","◐","✗"))&amp;" Rate cap"</f>
        <v/>
      </c>
      <c r="D14" s="4" t="inlineStr">
        <is>
          <r>
            <rPr>
              <rFont val="Carlito"/>
              <b val="1"/>
              <sz val="11"/>
            </rPr>
            <t>No.</t>
          </r>
          <r>
            <rPr>
              <rFont val="Carlito"/>
              <sz val="11"/>
            </rPr>
            <t xml:space="preserve">
No cap on local spending growth. Illinois limits property tax extensions for some units (PTELL) but not budgets.</t>
          </r>
        </is>
      </c>
      <c r="E14" s="4" t="inlineStr">
        <is>
          <r>
            <rPr>
              <rFont val="Carlito"/>
              <b val="1"/>
              <sz val="11"/>
            </rPr>
            <t>Partial.</t>
          </r>
          <r>
            <rPr>
              <rFont val="Carlito"/>
              <sz val="11"/>
            </rPr>
            <t xml:space="preserve">
Property Tax Extension Limitation Law (PTELL): for non-home-rule taxing districts (school districts, townships, park, library, fire and other districts, non-home-rule cities and counties) in Cook County, the five collar counties and counties that adopted it by referendum (33 counties as of 2024), the aggregate extension may grow by the lesser of 5% or the prior year's CPI, plus extensions on new property, annexations and expired TIF value.
Overrides: voters may raise a district's limiting rate or extension by majority referendum at a regular election.
Excluded: home-rule units (Chicago, Cook County government and roughly 200 home-rule municipalities); levies for voter-approved bonds and pre-PTELL debt; non-referendum bonds within each district's "debt service extension base"; several special levies the Legislature has carved out over time.
Authority: 35 ILCS 200/18-185 to 18-245 (P.A. 87-17, 1991 collar counties; extended to Cook County 1994).</t>
          </r>
        </is>
      </c>
      <c r="F14" s="4" t="inlineStr">
        <is>
          <r>
            <rPr>
              <rFont val="Carlito"/>
              <b val="1"/>
              <sz val="11"/>
            </rPr>
            <t>Partial.</t>
          </r>
          <r>
            <rPr>
              <rFont val="Carlito"/>
              <sz val="11"/>
            </rPr>
            <t xml:space="preserve">
No statewide assessment cap. Cook County offers a Long-Time Occupant Homestead Exemption (2021) that limits assessment growth to 7% or 10% a year for income-eligible owners of 10 years or more, and statewide the Senior Citizens Assessment Freeze holds a home's value at its base year for owners 65+ with household income of $65,000 or less through tax year 2025; Public Act 104-0452 (SB 642, signed December 2025) raises the limit to $75,000 for tax year 2026, $77,000 for 2027 and $79,000 from 2028. Residential property in Cook County is assessed at 10% of market value versus 25% for commercial (classification).
Authority: 35 ILCS 200/15-172 (senior freeze; P.A. 104-0452, 2025); 35 ILCS 200/15-177 (long-time occupant).</t>
          </r>
        </is>
      </c>
      <c r="G14" s="4" t="inlineStr">
        <is>
          <r>
            <rPr>
              <rFont val="Carlito"/>
              <b val="1"/>
              <sz val="11"/>
            </rPr>
            <t>Partial.</t>
          </r>
          <r>
            <rPr>
              <rFont val="Carlito"/>
              <sz val="11"/>
            </rPr>
            <t xml:space="preserve">
For non-home-rule units, most levies are capped by statute fund by fund (for example, separate maximum rates for a district's corporate, library, park or education funds), with increases allowed by referendum. Home-rule units have no rate limit except on debt service. There is no overall cap on combined rates.
Authority: 35 ILCS 200/18-* and the enabling act of each district type; Ill. Const. art. VII §6.</t>
          </r>
        </is>
      </c>
      <c r="H14" s="4" t="inlineStr">
        <is>
          <r>
            <rPr>
              <rFont val="Carlito"/>
              <b val="1"/>
              <sz val="11"/>
            </rPr>
            <t>Yes.</t>
          </r>
          <r>
            <rPr>
              <rFont val="Carlito"/>
              <sz val="11"/>
            </rPr>
            <t xml:space="preserve">
School districts are non-home-rule, so in PTELL counties they are under the 5%/CPI extension limit (including Chicago Public Schools), and they need referenda to raise limiting rates or issue most bonds. Exceptions: the Legislature has authorized special levies outside PTELL, such as Chicago Public Schools' teacher-pension property tax (2017). Districts outside PTELL counties are limited only by fund rate caps.</t>
          </r>
        </is>
      </c>
      <c r="I14" s="4" t="inlineStr">
        <is>
          <r>
            <rPr>
              <rFont val="Carlito"/>
              <b val="1"/>
              <sz val="11"/>
            </rPr>
            <t>No.</t>
          </r>
          <r>
            <rPr>
              <rFont val="Carlito"/>
              <sz val="11"/>
            </rPr>
            <t xml:space="preserve">
No state property tax since 1932. When the 1970 Constitution abolished the personal property tax on corporations and businesses, the state created the Personal Property Replacement Tax (1979), a state-collected tax on business income and invested capital distributed to local governments to replace the lost local revenue.</t>
          </r>
        </is>
      </c>
      <c r="J14" s="4" t="inlineStr">
        <is>
          <r>
            <rPr>
              <rFont val="Carlito"/>
              <b val="1"/>
              <sz val="11"/>
            </rPr>
            <t>Yes.</t>
          </r>
          <r>
            <rPr>
              <rFont val="Carlito"/>
              <sz val="11"/>
            </rPr>
            <t xml:space="preserve">
General homestead exemption (reduction in equalized assessed value): $10,000 in Cook County, $8,000 in the collar counties (DuPage, Kane, Lake, McHenry, Will), $6,000 elsewhere. Senior homestead: $8,000 in Cook and collar counties, $5,000 elsewhere. Plus the senior assessment freeze, persons-with-disabilities ($2,000), veterans' exemptions and a home improvement exemption (up to $75,000 of added value for four years).
Authority: 35 ILCS 200/15-175, 15-170, 15-168, 15-180.</t>
          </r>
        </is>
      </c>
      <c r="K14" s="4" t="inlineStr">
        <is>
          <r>
            <rPr>
              <rFont val="Carlito"/>
              <b val="1"/>
              <sz val="11"/>
            </rPr>
            <t>Yes.</t>
          </r>
          <r>
            <rPr>
              <rFont val="Carlito"/>
              <sz val="11"/>
            </rPr>
            <t xml:space="preserve">
State income tax credit equal to 5% of property tax paid on a principal residence (income limits $250,000 single / $500,000 joint). Senior Citizens Real Estate Tax Deferral (income under $65,000). The state's earlier circuit breaker grant was eliminated in 2012.
Authority: 35 ILCS 5/208.</t>
          </r>
        </is>
      </c>
      <c r="L14" s="4" t="inlineStr">
        <is>
          <r>
            <rPr>
              <rFont val="Carlito"/>
              <b val="1"/>
              <sz val="11"/>
            </rPr>
            <t>Yes.</t>
          </r>
          <r>
            <rPr>
              <rFont val="Carlito"/>
              <sz val="11"/>
            </rPr>
            <t xml:space="preserve">
- Personal Property Replacement Tax: Article IX, Section 5(c) of the Illinois Constitution required the state to abolish ad valorem personal property taxes and to replace all revenue lost by local governments and school districts. The state levies replacement income taxes on corporations, partnerships, trusts and S corporations and distributes the proceeds to about 6,500 taxing districts in proportion to each district's 1976 (Cook County) or 1977 (other counties) personal property tax collections. The Department of Revenue estimates FY2027 allocations at $2.366 billion, up from $1.941 billion in FY2026.
- Property Tax Relief Grant: the state pays part of the levy that high-tax school districts agree to abate, with $48.7 million in new grants for FY2027 after no funding in FY2026. It reaches only districts ranked highest by operating tax rate, and recipients must abate for three years.
Authority: Ill. Const. art. IX, §5(c); 35 ILCS 5/201(c)-(d); 30 ILCS 115/12; 105 ILCS 5/2-3.170; P.A. 100-465 (2017); P.A. 104-0466.</t>
          </r>
        </is>
      </c>
      <c r="M14" s="4" t="inlineStr">
        <is>
          <r>
            <rPr>
              <rFont val="Carlito"/>
              <b val="1"/>
              <sz val="11"/>
            </rPr>
            <t>Partial.</t>
          </r>
          <r>
            <rPr>
              <rFont val="Carlito"/>
              <sz val="11"/>
            </rPr>
            <t xml:space="preserve">
Truth in Taxation Law: if a district's proposed aggregate levy exceeds 105% of the prior year's extension, it must publish a notice of proposed property tax increase and hold a public hearing before adopting the levy.
Coded Partial because Illinois meets none of the three key truth-in-taxation requirements (a rollback rate calculation, mailed parcel-specific notices and a governing-body vote to exceed the rollback rate); its hearing is triggered only by a levy above 105% of the prior year.
Authority: 35 ILCS 200/18-55 to 18-100 (1981).</t>
          </r>
        </is>
      </c>
      <c r="N14" s="4" t="inlineStr">
        <is>
          <r>
            <rPr>
              <rFont val="Carlito"/>
              <b val="1"/>
              <sz val="11"/>
            </rPr>
            <t>Partial.</t>
          </r>
          <r>
            <rPr>
              <rFont val="Carlito"/>
              <sz val="11"/>
            </rPr>
            <t xml:space="preserve">
Under PTELL the limiting rate falls automatically when assessments rise faster than the allowed extension. Outside PTELL counties and for home-rule units there is no rollback.</t>
          </r>
        </is>
      </c>
      <c r="O14" s="4" t="inlineStr">
        <is>
          <r>
            <rPr>
              <rFont val="Carlito"/>
              <b val="1"/>
              <sz val="11"/>
            </rPr>
            <t>No.</t>
          </r>
          <r>
            <rPr>
              <rFont val="Carlito"/>
              <sz val="11"/>
            </rPr>
            <t xml:space="preserve">
Referenda to raise limiting rates, issue bonds or increase fund rates pass by simple majority. The Constitution requires a 3/5 vote of the General Assembly to deny or limit home-rule taxing power.
Authority: Ill. Const. art. VII §6(g).</t>
          </r>
        </is>
      </c>
      <c r="P14" s="4" t="inlineStr">
        <is>
          <r>
            <rPr>
              <rFont val="Carlito"/>
              <b val="1"/>
              <sz val="11"/>
            </rPr>
            <t>Partial.</t>
          </r>
          <r>
            <rPr>
              <rFont val="Carlito"/>
              <sz val="11"/>
            </rPr>
            <t xml:space="preserve">
Tax referenda may appear only at regularly scheduled elections (the consolidated election in April of odd years, primaries and the November general election).
Authority: 10 ILCS 5/28-2.</t>
          </r>
        </is>
      </c>
      <c r="Q14" s="4" t="inlineStr">
        <is>
          <r>
            <rPr>
              <rFont val="Carlito"/>
              <b val="1"/>
              <sz val="11"/>
            </rPr>
            <t>Yes.</t>
          </r>
          <r>
            <rPr>
              <rFont val="Carlito"/>
              <sz val="11"/>
            </rPr>
            <t xml:space="preserve">
Illinois levies are fund-specific: each district levies separately for its corporate (general), IMRF pension, Social Security, police and fire pension, library, tort liability, education, operations and maintenance, transportation and other funds, each with its own statutory authority and (for non-home-rule units) rate cap.</t>
          </r>
        </is>
      </c>
      <c r="R14" s="4" t="inlineStr">
        <is>
          <t>Illinois has more local governments than any other state: 102 counties, 1,295 municipalities, 1,425 townships, 890 school districts and 3,218 special districts in the Census count (894 drainage, 845 fire protection, 396 park, 360 library, plus sanitary, mosquito abatement, cemetery, airport, forest preserve and others). On top of these sit about 447 TIF districts in Cook County alone and numerous special service areas. Census of Governments 2022: 6,930 local governments.</t>
        </is>
      </c>
      <c r="S14" s="4" t="inlineStr">
        <is>
          <t>Verdict: Failed. Property tax per person rose 36.5% after inflation from FY2002 to FY2024, against 25.9% for the U.S.
Why it leaks: PTELL (35 ILCS 200/18-185) holds extensions to the lesser of 5% or CPI plus new property. It covers only non-home-rule districts in Cook County and the five collar counties, plus counties that adopted it by referendum. Home-rule units are exempt, including Chicago and Cook County government. Voter-approved bonds and debt within each district's debt service extension base sit outside the cap, and referenda to raise limiting rates pass by simple majority. Illinois has no local spending limit.
How localities get around it: Chicago, exempt as a home-rule city, enacted a $588 million property tax increase for pensions in 2015. Cook County TIF districts collected a record $1.7 billion in tax year 2022, which raises rates on everyone else.
Full record:
PTELL slowed property tax growth in the counties that adopted it (Dye and McGuire, 1997; Dye, McGuire and McMillen, 2005), but Illinois has the second-highest effective property tax rate in the country (1.88%, tied in rate with first-ranked New Jersey, Tax Foundation 2026 ranking).
The record (Census, BEA, ACS): state and local property tax was $3,016 per person in FY2024 (U.S. $2,132), 3.99% of personal income (5th-highest of 50; U.S. 2.89%). After inflation, collections per person (all state and local property tax divided by residents) rose 36.5% from FY2002 to FY2024 (U.S. +25.9%) and rose 5.8% from FY2019 to FY2024 (U.S. -1.1%). The median homeowner paid $5,399 in 2024 (U.S. $3,211); the median bill rose 1.1% after inflation from 2010 to 2024 (U.S. +9.3%). The Tax Foundation's 2026 ranking puts its effective property tax rate on owner-occupied homes at 1.88%, 49th-lowest of 50. By the same measure it was 1.56% in 2010 (U.S. 1.00% in 2010, 0.94% in 2024). The FY2024 Census figure is a sample estimate with a 13% coefficient of variation.
Illinois Department of Revenue extensions rose from $31.8 billion in 2018 to $40.37 billion in 2024 (Illinois Policy Institute), and tax year 2024 bills in Chicago rose a record 16.7% at the median (Cook County Treasurer).
Why: the cap has large holes:
Home rule: Chicago, Cook County and roughly 200 home-rule municipalities are exempt; Chicago enacted a $588 million property tax increase for pensions in 2015.
TIF: Cook County TIF districts collected a record $1.7 billion in tax year 2022, including $1.29 billion from Chicago's 127 districts, and the Illinois Policy Institute puts the cost to Cook County taxpayers at about $2 billion for tax year 2024; growth captured by TIFs raises rates on everyone else.
Chicago Public Schools: the board raised its FY2026 levy by $232 million in summer 2025, then added $25 million on Dec. 29, 2025 after an assessment showed the first increase fell "slightly less than the maximum increase allowed by Illinois law" (CBS Chicago). For FY2026 CPS took the full amount the law allows.
Abatements: HB 910, the "megaprojects" bill that passed the House 78-32 on April 22, 2026, would let developers investing $100 million or more negotiate payments in lieu of taxes that freeze their property tax bills for up to 40 years; the Cook County Treasurer estimated a Bears stadium in Arlington Heights would get a break of about $39 million a year, more than $1.5 billion over 40 years (WTTW, May 26, 2026). Senate passage was not confirmed in this check.
Pensions: the Illinois Policy Institute finds 75% of Cook County police and fire property taxes go to pensions (2026).
Debt: non-referendum bonds fit within each district's debt service extension base; "backdoor referendum" bonds are issued unless 7.5% of voters petition.
Carve-outs: the Legislature periodically authorizes levies outside PTELL (e.g., Chicago Public Schools' pension levy).
Referenda: suburban school districts routinely win referenda to raise limiting rates and issue bonds. On Nov. 3, 2026, Township High School District 214 seeks $295 million in bonds, Community School District 300 more than $355 million, East Maine School District about $120 million and Moraine Valley Community College $115 million (NBC Chicago, Sept. 22, 2026).
Revenue shift: home-rule cities add sales taxes (average local rate 2.71%, combined 8.96%); voters in Nov. 2024 approved an advisory question calling for a 3% surtax on income over $1 million to fund property tax relief.</t>
        </is>
      </c>
      <c r="T14" s="4" t="inlineStr">
        <is>
          <t>- Americans for Prosperity-Illinois, "AFP-IL Finds Statewide Pattern of Taxpayer-Funded Referendum Campaigning, Urges Investigation" (Oct. 5, 2026). Asks Attorney General Kwame Raoul and four county state's attorneys to investigate whether 24 local governments in Cook, DuPage, Lake and Will counties used public money on consultants to pass tax and bond referendums, which Illinois law prohibits. Says those measures represent a projected $3.4 billion in tax collections, including $2.2 billion in bonds. https://americansforprosperity.org/press-release/afp-il-finds-statewide-pattern-of-taxpayer-funded-referendum-campaigning-urges-investigation/
- Illinois Policy Institute, "Taxed out: 10 reforms to stop Illinois from losing people and jobs" (Sept. 29, 2026). Its property tax chapter says the Property Tax Extension Limitation Law, which since 1991 has capped growth in the total levy on existing property at the lesser of 5% or inflation, does not bind home-rule districts unless they opt in and excludes bond payments, some pension payments and TIF surpluses. Urges lawmakers to expand the cap so it permits few exclusions beyond new construction, with voter overrides kept for increases above it. https://www.illinoispolicy.org/reports/illinois-tax-reform-economic-growth/
- Illinois Policy Institute, "New data: Illinois homeowners pay country's highest property taxes" (May 27, 2026). Using 2024 Census data, Illinois ties New Jersey at a 1.88% average effective rate, more than double the 0.86% national average, about $5,452 on a $290,000 median home; Kendall, McHenry, Lake and DeKalb counties rank among the 12 highest-rate counties in the U.S. https://www.illinoispolicy.org/new-data-illinois-homeowners-pay-countrys-highest-property-taxes/
- Illinois Policy Institute, "Illinois property taxes up 27% under Pritzker" (April 13, 2026). Statewide property taxes rose from $31.8 billion in 2018 to $40.37 billion in 2024; blames state decisions, chiefly pension costs that consume nearly 40% of the state education budget and leave school districts leaning on local levies. https://www.illinoispolicy.org/illinois-property-taxes-up-27-under-pritzker/
- Illinois Policy Institute, "Chicago property taxes jump — but unevenly" (March 5, 2026). Cook County Treasurer data: the median Chicago homeowner bill rose a record 16.7% for tax year 2024, with increases of 75% or more in West Garfield Park, North Lawndale, Englewood and other South and West Side areas. https://www.illinoispolicy.org/chicago-property-taxes-jump-but-unevenly/
- Illinois Policy Institute, "Cook County TIFs cost taxpayers over $2 billion" (April 1, 2026). TIF districts freeze the base for other taxing bodies and push up everyone else's rates; Cook County taxpayers could have paid about $2 billion less last year. https://www.illinoispolicy.org/cook-county-tifs-cost-taxpayers-over-2-billion/
- Illinois House Republicans, "House Republicans Launch Property Tax Relief Conference, Issue Open Letter on Stadium Proposal" (April 9, 2026). Rep. Dan Ugaste and other members said any megaprojects or PILOT bill for the Chicago Bears must include "meaningful, statewide property tax relief for homeowners"; at a minimum they called for all property tax referendums to appear only on November ballots and an end to backdoor referendums, including bond rollovers without voter approval. https://repugaste.com/2026/04/09/house-republicans-launch-property-tax-relief-conference-issue-open-letter-on-stadium-proposal/
- Truth in Accounting, "Chicago's combined state and local taxpayer debt burden worst in the nation" (June 14, 2022). Chicago ranks last among the 10 largest cities at $135,700 of combined city and state debt per taxpayer, with 69% of the city's nearly $98 billion of debt owed to pensions and 6.7% to retiree health care. Says casino revenue will cover 9% of pension costs, leaving property taxes, which almost doubled in the past decade, as the most likely source of more money. https://www.truthinaccounting.org/news/detail/chicagos-combined-state-and-local-taxpayer-debt-burden-worst-in-the-nation
- Heartland Institute (State Policy Network associate): no Illinois property tax report since 2021 was found (its Sept. 5, 2026 release on a Chicago speech concerns Florida's property tax measure).
- Liberty Justice Center (State Policy Network associate): no property tax report since 2021 was found in its site search or its WordPress archives.
Linked list: 10 items on the Analyses sheet (filter State = Illinois); every source URL is linked on the Sources sheet.</t>
        </is>
      </c>
      <c r="U14" s="4" t="inlineStr">
        <is>
          <t>2017: Evidence-Based Funding law created the school Property Tax Relief Grant; CPS pension levy authorized.
2021: Cook County Long-Time Occupant Homestead Exemption expanded.
2022: law signed May 20, 2022 raised the collar-county general homestead exemption to $8,000 and senior exemption to $8,000, starting with levy year 2023.
Nov. 2024: statewide advisory referendum for a 3% income surtax on income over $1 million to fund property tax relief passed (no binding effect).
2025-2026: Chicago budget fights over property tax increases versus new business taxes; Cook County assessment shifts toward homeowners; tax year 2024 Chicago bills rose a record 16.7% at the median and were mailed late (due Dec. 15, 2025).
2026: HB 4537 (signed by Gov. Pritzker in July 2026, effective immediately) made Illinois the last state to comply with Tyler v. Hennepin County (2023): owners whose property is taken for unpaid taxes must receive the surplus equity.
Dec. 2025: SB 642 (Public Act 104-0452) raised the senior assessment freeze income limit from $65,000 to $75,000 for tax year 2026, $77,000 for 2027 and $79,000 from 2028.
April 2026: the House passed HB 910 (megaprojects PILOTs, 78-32 on April 22); Senate action was not confirmed. House Republicans formed a Property Tax Relief Conference (April 9, 2026) and conditioned support for any stadium or PILOT bill on statewide homeowner relief, November-only property tax referenda and an end to backdoor referenda; their own bills include HB 9 and HB 1323 (Rep. Ugaste).
Nov. 3, 2026: no statewide property tax measure. Cook County voters face an advisory question on a "Millionaire Amendment" (a 3% income surcharge on millionaires, half of the money for property tax relief); suburban districts seek large bond issues.</t>
        </is>
      </c>
      <c r="V14" s="4" t="inlineStr">
        <is>
          <t>49th (1.88% effective rate; 1.56% in 2010)</t>
        </is>
      </c>
      <c r="W14" s="4" t="inlineStr">
        <is>
          <t>Illinois has a levy limit (PTELL) that covers school districts and non-home-rule units in about a third of its counties, fund-specific rate caps and a truth-in-taxation law, but no spending cap and no general assessment cap. Its biggest governments (Chicago and Cook County) are exempt as home-rule units, TIF and debt carve-outs are large, and property taxes remain among the highest in the nation.</t>
        </is>
      </c>
      <c r="X14" s="4" t="inlineStr">
        <is>
          <t>https://tax.illinois.gov/localgovernments/property/ptell.html
https://tax.illinois.gov/content/dam/soi/en/web/tax/localgovernments/property/documents/ptellcounties.pdf
https://www.ilga.gov/legislation/ilcs/fulltext.asp?DocName=003502000K18-185
https://www.boonecountyil.gov/government/departments/assessment_office/tax_relief_exemptions.php
https://civicfed.org/blog/cook-county-tif-revenue-continues-record-growth
https://www.wglt.org/illinois/2024-11-06/illinois-voters-approve-an-advisory-referendum-calling-for-higher-taxes-on-income-over-1-million
https://www.lincolninst.edu/app/uploads/2025/01/levy_limits_2022.xlsx
https://www.lincolninst.edu/app/uploads/2024/10/truth_in_taxation_2024.xlsx
https://www.illinoispolicy.org/illinois-property-taxes-up-27-under-pritzker/
https://www.illinoispolicy.org/chicago-property-taxes-jump-but-unevenly/
https://www.illinoispolicy.org/illinois-lawmakers-finally-pass-bill-to-end-home-equity-theft/
https://edgarcountyillinois.com/low-income-senior-citizen-assessment-freeze-homestead-exemption-scafhe/
https://ilhousedems.com/2025/12/18/state-rep-larry-walsh-jr-celebrates-expansion-of-senior-property-tax-relief/
https://www.cbsnews.com/chicago/news/chicago-board-of-education-public-schools-property-tax-increase
https://www.nprillinois.org/illinois/2026-04-23/illinois-house-approves-megaprojects-bill-but-the-bears-want-changes
https://news.wttw.com/2026/05/26/megaprojects-bill-would-mean-39m-annual-property-tax-break-bears-cook-county-treasurer-s
https://www.fox32chicago.com/news/bears-mega-projects-bill-senate-pritzker
https://www.nbcchicago.com/illinois-election-2026/suburban-chicago-referendums-on-term-limits-school-bonds-on-election-ballot/3992419/
https://repugaste.com/2026/04/09/house-republicans-launch-property-tax-relief-conference-issue-open-letter-on-stadium-proposal/
https://www.truthinaccounting.org/news/detail/chicagos-combined-state-and-local-taxpayer-debt-burden-worst-in-the-nation
https://heartland.org/opinion/press-release-florida-gov-ron-desantis-speech-in-chicago-pushed-for-historic-property-tax-rollback/</t>
        </is>
      </c>
    </row>
    <row r="15" ht="409" customHeight="1">
      <c r="A15" s="13" t="inlineStr">
        <is>
          <t>Indiana</t>
        </is>
      </c>
      <c r="B15" s="4" t="inlineStr">
        <is>
          <r>
            <rPr>
              <rFont val="Carlito"/>
              <b val="1"/>
              <sz val="14"/>
            </rPr>
            <t>D.</t>
          </r>
          <r>
            <rPr>
              <rFont val="Carlito"/>
              <sz val="11"/>
            </rPr>
            <t xml:space="preserve">
Restriction points 8.5 of 18 (levy limit 4; rate cap 2; rollback 0.5; school districts covered 1; November-ballot rule 0.5; use restrictions 0.5). Deductions: built-in loopholes -1; workarounds in practice -1; state buydowns -1.5; data record +0. Total 5 = D (A 11+, B 8.5-10.9, C 5.5-8.4, D 3-5.4, F under 3).
Why: Built-in loopholes -1: debt service and voter-approved referendum levies sit outside both the levy limit and the caps, and the 4% levy-growth limit lapsed, so the quotient for 2027 taxes is 6.0%. Workarounds -1: debt and referendum levies grew much faster than capped levies in 2023-2025, a record 38 school districts seek about $500 million a year in referendum levies on Nov. 3, 2026 (Indianapolis alone about $90 million), and units used rolling short-term bonds until SEA 1. Buydowns -1.5 (coordinator to confirm): the 2008 reform replaced the school general fund levy with state tuition support paid from a higher sales tax, a levy replacement still in force; no current dollar figure was fetched. Record 0: real per-person collections fell 20.4% FY2002-FY2022, the best in the country, but rose 9.5% FY2019-FY2024 (US -1.1%) and real homeowner bills grew 20.1% 2010-2024 (US 9.3%); the level is below average (2.33% of income; 0.74% effective rate).</t>
          </r>
        </is>
      </c>
      <c r="C15" s="4">
        <f>((LEFT(D15,3)="Yes")+(LEFT(E15,3)="Yes")+(LEFT(F15,3)="Yes")+(LEFT(G15,3)="Yes"))&amp;" of 4 in force"&amp;IF(((LEFT(D15,7)="Partial")+(LEFT(E15,7)="Partial")+(LEFT(F15,7)="Partial")+(LEFT(G15,7)="Partial"))&gt;0," + "&amp;((LEFT(D15,7)="Partial")+(LEFT(E15,7)="Partial")+(LEFT(F15,7)="Partial")+(LEFT(G15,7)="Partial"))&amp;" partial","")&amp;CHAR(10)&amp;CHAR(10)&amp;IF(LEFT(D15,3)="Yes","✓",IF(LEFT(D15,7)="Partial","◐","✗"))&amp;" Spending limit"&amp;CHAR(10)&amp;IF(LEFT(E15,3)="Yes","✓",IF(LEFT(E15,7)="Partial","◐","✗"))&amp;" Levy limit"&amp;CHAR(10)&amp;IF(LEFT(F15,3)="Yes","✓",IF(LEFT(F15,7)="Partial","◐","✗"))&amp;" Assessment cap"&amp;CHAR(10)&amp;IF(LEFT(G15,3)="Yes","✓",IF(LEFT(G15,7)="Partial","◐","✗"))&amp;" Rate cap"</f>
        <v/>
      </c>
      <c r="D15" s="4" t="inlineStr">
        <is>
          <r>
            <rPr>
              <rFont val="Carlito"/>
              <b val="1"/>
              <sz val="11"/>
            </rPr>
            <t>No.</t>
          </r>
          <r>
            <rPr>
              <rFont val="Carlito"/>
              <sz val="11"/>
            </rPr>
            <t xml:space="preserve">
No cap on local budget growth as such. The Department of Local Government Finance (DLGF) reviews and certifies every unit's budget, levy and rate each year and may reduce, but not raise, them; the binding limits operate on levies and tax bills (see Levy limit and Rate limits).
Authority: IC 6-1.1-17-16 (state certification).</t>
          </r>
        </is>
      </c>
      <c r="E15" s="4" t="inlineStr">
        <is>
          <r>
            <rPr>
              <rFont val="Carlito"/>
              <b val="1"/>
              <sz val="11"/>
            </rPr>
            <t>Yes.</t>
          </r>
          <r>
            <rPr>
              <rFont val="Carlito"/>
              <sz val="11"/>
            </rPr>
            <t xml:space="preserve">
Maximum levies (in place since the 1973 reform): each civil taxing unit (county, city, town, township, library and special district) may raise its property tax levy each year by no more than the maximum levy growth quotient (MLGQ), a six-year average of Indiana nonfarm personal income growth computed by the State Budget Agency. HEA 1499 (2023) held the quotient to 4% for 2024 and 2025 taxes and SEA 1 (2025) extended the 4% limit to 2026 taxes (it would have been 5.6%). The limit then lapsed: the quotient for 2027 taxes is 6.0%. School operations fund levies grow under the same quotient.
Excluded: debt service levies; voter-approved referendum levies; cumulative (capital) funds, which have their own rate caps; and, until SEA 1 eliminated most of them, "excess levy appeals" granted by the DLGF.
Authority: IC 6-1.1-18.5-2 and -3 (civil units); IC 20-46-8 (school operations fund); HEA 1499-2023; SEA 1-2025 (P.L. 68-2025); State Budget Agency MLGQ memos (June 30, 2025; June 30, 2026).</t>
          </r>
        </is>
      </c>
      <c r="F15" s="4" t="inlineStr">
        <is>
          <r>
            <rPr>
              <rFont val="Carlito"/>
              <b val="1"/>
              <sz val="11"/>
            </rPr>
            <t>No.</t>
          </r>
          <r>
            <rPr>
              <rFont val="Carlito"/>
              <sz val="11"/>
            </rPr>
            <t xml:space="preserve">
No cap on assessed value growth; property is trended annually to market value and reassessed on a four-year cycle. Instead Indiana caps the tax bill itself (see Rate limits). Seniors 65+ under an income limit get an over-65 circuit breaker that keeps their homestead tax bill from rising more than 2% a year.
Authority: IC 6-1.1-20.6-8.5 (over-65 circuit breaker).</t>
          </r>
        </is>
      </c>
      <c r="G15" s="4" t="inlineStr">
        <is>
          <r>
            <rPr>
              <rFont val="Carlito"/>
              <b val="1"/>
              <sz val="11"/>
            </rPr>
            <t>Yes.</t>
          </r>
          <r>
            <rPr>
              <rFont val="Carlito"/>
              <sz val="11"/>
            </rPr>
            <t xml:space="preserve">
Constitutional tax caps ("circuit breakers"): a property's total tax bill from all units may not exceed 1% of gross assessed value for homesteads, 2% for other residential property, long-term care facilities and farmland, and 3% for all other real and personal property. Taxing units absorb the lost revenue (circuit breaker credits); the state does not reimburse it. Taxes approved by voters in a referendum are excluded from the caps. SEA 1's new deductions are calibrated so that homesteads and 2% property hit their caps when the combined district rate reaches about $3 per $100 of net assessed value. Individual funds (cumulative capital funds, for example) also carry statutory maximum rates.
Authority: Ind. Const. art. 10 §1 (amended Nov. 2010); IC 6-1.1-20.6 (HEA 1001-2008, caps phased in 2009-2010).</t>
          </r>
        </is>
      </c>
      <c r="H15" s="4" t="inlineStr">
        <is>
          <r>
            <rPr>
              <rFont val="Carlito"/>
              <b val="1"/>
              <sz val="11"/>
            </rPr>
            <t>Yes.</t>
          </r>
          <r>
            <rPr>
              <rFont val="Carlito"/>
              <sz val="11"/>
            </rPr>
            <t xml:space="preserve">
School corporations are inside the constitutional tax caps and lose revenue to circuit breaker credits like other units. Since the 2008 reform their general (classroom) fund is paid entirely by state tuition support, so school property taxes fund only the operations fund (capped by the MLGQ), debt service and voter-approved operating, safety and capital referendums. Referendum levies sit outside the caps, which is why schools account for almost all of Indiana's tax referendums.</t>
          </r>
        </is>
      </c>
      <c r="I15" s="4" t="inlineStr">
        <is>
          <r>
            <rPr>
              <rFont val="Carlito"/>
              <b val="1"/>
              <sz val="11"/>
            </rPr>
            <t>No.</t>
          </r>
          <r>
            <rPr>
              <rFont val="Carlito"/>
              <sz val="11"/>
            </rPr>
            <t xml:space="preserve">
Indiana levies no state property tax; all property tax revenue goes to local units. The state instead funds schools' general operations from state sales and income taxes (see State subsidies).</t>
          </r>
        </is>
      </c>
      <c r="J15" s="4" t="inlineStr">
        <is>
          <r>
            <rPr>
              <rFont val="Carlito"/>
              <b val="1"/>
              <sz val="11"/>
            </rPr>
            <t>Yes.</t>
          </r>
          <r>
            <rPr>
              <rFont val="Carlito"/>
              <sz val="11"/>
            </rPr>
            <t xml:space="preserve">
Homestead standard deduction (lesser of 60% of value or $48,000 before SEA 1), phased out by SEA 1 (years are taxes payable): $48,000 in 2026, $40,000 in 2027, $30,000 in 2028, $20,000 in 2029, $10,000 in 2030, zero from 2031. Supplemental homestead deduction on the remaining value (37.5% of the first $600,000 and 27.5% above in 2025) rising to 40% in 2026, 46% in 2027, 52% in 2028, 57% in 2029, 62% in 2030 and 66.7% from 2031, with total deductions capped at 75% of gross value. A new deduction for non-homestead residential property, long-term care property and farmland (2% cap property), with no application needed: 6% in 2026, 12% in 2027, 19% in 2028, 25% in 2029, 30% in 2030 and 33.4% from 2031. The over-65 and blind/disabled deductions became credits. HEA 1210-2026 made the totally disabled veteran deduction 100% with no value cap and replaced the other disabled veteran deductions with $250 and $350 credits.
Authority: IC 6-1.1-12-37 (standard deduction); IC 6-1.1-12-37.5 (supplemental); IC 6-1.1-12-47 (2% cap property); SEA 1-2025, sections 44, 45 and 52; HEA 1427-2025; HEA 1210-2026.</t>
          </r>
        </is>
      </c>
      <c r="K15" s="4" t="inlineStr">
        <is>
          <r>
            <rPr>
              <rFont val="Carlito"/>
              <b val="1"/>
              <sz val="11"/>
            </rPr>
            <t>Yes.</t>
          </r>
          <r>
            <rPr>
              <rFont val="Carlito"/>
              <sz val="11"/>
            </rPr>
            <t xml:space="preserve">
Circuit breaker credits under the 1%/2%/3% caps (unfunded; borne by local units). Supplemental homestead credit (SEA 1, from 2026): 10% of the remaining bill, up to $300, applied after the circuit breaker, also unfunded. New $150 credit for homeowners 65+ with income up to $60,000 ($70,000 joint) and $125 credit for blind or disabled homeowners. Over-65 circuit breaker (2% annual cap on the bill). Local income tax property tax relief credits in 59 counties (2025), which SEA 1 abolished from 2028 and HEA 1210-2026 now ends in 2029. State income tax deduction for property tax paid on a homestead (up to $2,500).
County option circuit breaker credit (2023 law): a county council may adopt an ordinance capping the yearly increase in a qualifying homeowner's bill at a percentage it chooses between 2% and 5%, inside one or more "neighborhood enhancement districts" (which may cover the whole county). Eligibility: homestead deduction this year and last, at least 10 years in the home, age 55 or older, and income under the county's limit. It cannot be combined with the over-65 circuit breaker, and SEA 163-2026 extended it one year, through taxes due by Dec. 31, 2028.
Authority: IC 6-1.1-20.6 (IC 6-1.1-20.6-7.7, homestead credit); IC 6-1.1-49 (county option credit, eff. July 1, 2023); SEA 1-2025; SEA 163-2026.</t>
          </r>
        </is>
      </c>
      <c r="L15" s="4" t="inlineStr">
        <is>
          <r>
            <rPr>
              <rFont val="Carlito"/>
              <b val="1"/>
              <sz val="11"/>
            </rPr>
            <t>No.</t>
          </r>
          <r>
            <rPr>
              <rFont val="Carlito"/>
              <sz val="11"/>
            </rPr>
            <t xml:space="preserve">
Indiana has no current state program that reimburses local units for property tax exemptions or credits or pays part of property tax bills. The 2008 reform (HEA 1001-2008) moved school general fund and county child welfare costs to the state and raised the sales tax to 7%; that cost shift is now paid as school tuition support and other state spending, which do not count. The state-funded homestead and property tax replacement credits ended with that reform. The homestead credit created by SEA 1 (2025) reduces the collections of the local units where it applies. The commercial vehicle excise tax, collected by the state and shared by each unit's frozen share of former vehicle assessed value, is a replacement tax paid by vehicle owners.
Authority: HEA 1001-2008; SEA 1-2025; IC 6-6-5.5-20.</t>
          </r>
        </is>
      </c>
      <c r="M15" s="4" t="inlineStr">
        <is>
          <r>
            <rPr>
              <rFont val="Carlito"/>
              <b val="1"/>
              <sz val="11"/>
            </rPr>
            <t>No.</t>
          </r>
          <r>
            <rPr>
              <rFont val="Carlito"/>
              <sz val="11"/>
            </rPr>
            <t/>
          </r>
        </is>
      </c>
      <c r="N15" s="4" t="inlineStr">
        <is>
          <r>
            <rPr>
              <rFont val="Carlito"/>
              <b val="1"/>
              <sz val="11"/>
            </rPr>
            <t>Partial.</t>
          </r>
          <r>
            <rPr>
              <rFont val="Carlito"/>
              <sz val="11"/>
            </rPr>
            <t xml:space="preserve">
No rollback rate. Because levies are capped in dollars, the DLGF sets rates to raise the allowed levy, so rates fall automatically when assessed values grow faster than the maximum levy (the statewide average rate fell from $2.56 per $100 in 2022 to $2.38 in 2025, per Larry DeBoer of Purdue). Debt service and referendum rates are outside that mechanism.</t>
          </r>
        </is>
      </c>
      <c r="O15" s="4" t="inlineStr">
        <is>
          <r>
            <rPr>
              <rFont val="Carlito"/>
              <b val="1"/>
              <sz val="11"/>
            </rPr>
            <t>No.</t>
          </r>
          <r>
            <rPr>
              <rFont val="Carlito"/>
              <sz val="11"/>
            </rPr>
            <t xml:space="preserve">
Operating, safety and capital referendums pass by simple majority. Governing bodies adopt budgets and levies by majority vote. Taxpayers can force a petition and remonstrance or a referendum on debt-financed "controlled projects" (see November ballot).
Authority: IC 6-1.1-20; IC 20-46-1.</t>
          </r>
        </is>
      </c>
      <c r="P15" s="4" t="inlineStr">
        <is>
          <r>
            <rPr>
              <rFont val="Carlito"/>
              <b val="1"/>
              <sz val="11"/>
            </rPr>
            <t>Yes.</t>
          </r>
          <r>
            <rPr>
              <rFont val="Carlito"/>
              <sz val="11"/>
            </rPr>
            <t xml:space="preserve">
Since July 1, 2025 every property tax referendum (school operating and safety levies and capital "controlled project" referendums) may appear only at a November general election, held in even-numbered years. SEA 1 also lowered the debt-rate triggers for controlled projects: for counties and cities, new property-tax-backed debt is subject to petition and remonstrance once the unit's debt service rate exceeds $0.25 per $100 and to a mandatory referendum above $0.40 (schools $0.40 and $0.70; other units $0.05 and $0.10). Ballot questions must now state the maximum rate, the maximum annual levy and the increase on a median-value home.
Authority: IC 3-10-9-3; IC 6-1.1-20-3.1, -3.5, -3.6 (SEA 1-2025, sections 1 and 65-70).</t>
          </r>
        </is>
      </c>
      <c r="Q15" s="4" t="inlineStr">
        <is>
          <r>
            <rPr>
              <rFont val="Carlito"/>
              <b val="1"/>
              <sz val="11"/>
            </rPr>
            <t>Yes.</t>
          </r>
          <r>
            <rPr>
              <rFont val="Carlito"/>
              <sz val="11"/>
            </rPr>
            <t xml:space="preserve">
Levies are fund-specific: school general funds may not be supported by property tax (state tuition support pays instruction); school property taxes go to the operations fund (transportation, facilities, technology), debt service, and referendum funds limited to the ballot purposes. Cumulative capital funds are restricted to capital uses with rate caps. SEA 1 bars units that issue general obligation bonds of under two years from issuing new short-term debt until a year after the old bonds expire.</t>
          </r>
        </is>
      </c>
      <c r="R15" s="4" t="inlineStr">
        <is>
          <t>92 counties (Marion County is consolidated with Indianapolis); 567 cities and towns; 1,004 townships (which levy for poor relief, fire protection and cemeteries); 290 school corporations; 696 special districts in the Census count, including 240 library districts, 98 sewer districts, 98 soil and water conservation districts, 71 solid waste management districts, 61 housing authorities, 38 drainage and conservancy districts, 10 park districts and 7 hospital districts; plus fire protection territories, public transportation corporations (IndyGo), airport authorities and redevelopment commissions that capture TIF. Census of Governments 2022: 2,648 local governments.</t>
        </is>
      </c>
      <c r="S15" s="4" t="inlineStr">
        <is>
          <t>Verdict: Worked. Property tax per person fell 12.1% after inflation from FY2002 to FY2024 against a 25.9% U.S. rise, but rose 9.5% from FY2019 to FY2024 while the U.S. fell 1.1%.
Why it leaks: Levies may grow by the MLGQ, an income-growth average (IC 6-1.1-18.5), which reached 6.0% for 2027 after SEA 1's 4% hold lapsed. Debt service and referendum levies sit outside the levy limit, and referendum levies also escape the bill caps. Referendums pass by simple majority. The state bought part of the decline, which counts against it: HEA 1001-2008 raised the sales tax to 7% to fund school general funds.
How localities get around it: A record 38 school districts put referendums on the Nov. 3, 2026 ballot worth about $500 million a year. Units also rolled short-term bonds to fund recurring costs outside the levy limit.
Full record:
The constitutional caps hold total bills to 1%/2%/3% of value and keep the level below average, and Indiana ranks 4th on the Tax Foundation's 2026 property tax index. Over the long run collections per person fell 12.1% after inflation from FY2002 to FY2024 (U.S. +25.9%), but since FY2019 they have risen 9.5% after inflation, well above the U.S. (-1.1%).
The record (Census, BEA, ACS): state and local property tax was $1,487 per person in FY2024 (U.S. $2,132), 2.33% of personal income (35th-highest of 50; U.S. 2.89%). After inflation, collections per person (all state and local property tax divided by residents) fell 12.1% from FY2002 to FY2024 (U.S. +25.9%) and rose 9.5% from FY2019 to FY2024 (U.S. -1.1%). The median homeowner paid $1,798 in 2024 (U.S. $3,211); the median bill rose 20.1% after inflation from 2010 to 2024 (U.S. +9.3%). The Tax Foundation's 2026 ranking puts its effective property tax rate on owner-occupied homes at 0.76%, 22nd-lowest of 50. By the same measure it was 0.98% in 2010 (U.S. 1.00% in 2010, 0.94% in 2024).
The pressure escapes through the excluded channels:
Referendums and debt: during the 2023-2025 assessment surge, levies under the maximum-levy limit grew about 5% a year, while debt service and referendum levies "grew much more" (Larry DeBoer, Purdue, 2025); total levies rose 8.8%, 5.6% and 6.2% in 2023-2025 versus 3.4% a year in 2012-2022. Referendum levies are outside the caps. Of 289 school referendums from Nov. 2008 to May 2025, 184 passed (63.7%); those held at November general elections passed 55.4% of the time versus 66.1% at other elections, the evidence behind SEA 1's November-only rule.
Referendums in 2026: a record 38 school districts put property tax referendums on the Nov. 3, 2026 ballot, mostly operating levies and 17 of them early renewals; together they would raise about $500 million a year. Districts that skipped this year cannot try again until November 2028 (Indiana Capital Chronicle, Aug. 4, 2026).
Indianapolis: on June 22, 2026 the new Indianapolis Public Education Corporation voted unanimously to ask voters for a four-year operating levy of 37.2 cents per $100 of assessed value, up to $95 million a year, split between Indianapolis Public Schools and about 60 charter schools (Chalkbeat's June estimate: $43.9 million each). The ballot puts the levy at $221 a year on a $150,000 home, about $105 more than the expiring 2018 levy of 19.6 cents. Even with it, IPS expects $20 million more in cuts by 2027-28 on top of $24 million announced in 2026.
Fort Wayne: city officials said SEA 1 cuts 2026 revenue by $25 million; the mayor's $244.8 million 2026 budget drew $8.8 million from cash reserves of more than $100 million (Journal Gazette, Sept. 26, 2025), evidence that the new limits bind.
Short-term debt: units issued rolling general obligation bonds of under two years to fund recurring costs outside the levy limit until SEA 1 required a waiting period.
Excess levy appeals: the DLGF could grant levy growth beyond the maximum; SEA 1 eliminated most of them.
Burden shift: rising home values pushed burden onto homeowners after 2020; SEA 1 shifts it toward business real property (business land and buildings: +$402 million in 2028 per the LSA fiscal note; business real property's share of net assessed value is projected to rise from 19% in 2025 to about 27% by 2031, per Policy Analytics). The fiscal note also projects TIF revenue rising $126 million because rates will climb, and Larry DeBoer projects the average rate rising above $3 per $100 by 2031.
Revenue shift: local income taxes supply 11.7% of local tax revenue (U.S.: 6.2%); counties added income tax rates for property tax relief after 2008, and SEA 1 rebuilds the local income tax, now from 2029 after HEA 1210-2026 delayed it a year, with county rates up to 2.9% and new municipal rates up to 1.2% for cities and towns of 3,500+. Charges and fees are 52.3% of local own-source revenue (U.S.: 34.3%), led by county hospitals and utilities.</t>
        </is>
      </c>
      <c r="T15" s="4" t="inlineStr">
        <is>
          <t>- Americans for Prosperity-Indiana, "AFP-IN Launches Campaign Urging Hoosiers to Vote NO on School Property Tax Referendums" (Aug. 21, 2026). Announces targeted digital ads in counties across Indiana urging NO votes on the November school property tax referendums, part of its "Hoosiers Reject Higher Taxes" campaign against "the wave of new and renewed" levies. https://americansforprosperity.org/press-release/afp-in-launches-campaign-urging-hoosiers-to-vote-no-on-school-property-tax-referendums/
- Common Sense Institute Iowa, "Iowa Leads the Nation in Property Tax Relief: Ranking State Reforms of the Past Decade" (Aug. 6, 2026). Ranks SEA 1 (2025) second nationally among 2016-2026 property tax relief bills by net taxpayer savings, about 0.14% of personal income and $1,429 per household over six years, counting only relief not paid for by the state. https://archive.commonsenseinstituteus.org/iowa/research/taxes-and-fees/iowa-leads-the-nation-in-property-tax-relief-ranking-state-reforms-of-the-past-decade
- Americans for Prosperity-Indiana, "AFP-IN and Community Partners Celebrate Victory for Taxpayers as Northwest Allen County Referendum Fails" (Nov. 4, 2025). Reports that special-election voters rejected the proposed $12 million Northwest Allen County operating referendum after AFP-IN volunteers and local partners campaigned against the property tax increase. https://americansforprosperity.org/press-release/afp-in-and-community-partners-celebrate-victory-for-taxpayers-as-northwest-allen-county-referendum-fails/
- Indiana House Republicans, "Northeast Indiana legislators: Legislation delivering robust property tax relief and reform to Hoosiers signed into law" (April 17, 2025). Says SEA 1 will save homeowners $1.3 billion over three years, with two-thirds of Hoosiers paying a lower bill in 2026 than in 2025, through a 10% homestead credit of up to $300 plus stackable credits for seniors and disabled veterans. Also cuts the local income tax cap from 3.75% to 2.9% and moves referenda to general elections. https://www.indianahouserepublicans.com/news/press-releases/northeast-indiana-legislators-legislation-delivering-robust-property-tax-relief-and-reform-to-hoosiers-signed-into-law/
- Indiana Policy Review Foundation, Mark Franke, "Franke: Property-Tax Misery" (March 3, 2025). Backs Gov. Mike Braun's property tax cut against local units' complaints, reporting that the author's net bill rose 52% in the five years from 2020 while his Social Security benefit rose 26%, and that increases in Allen County's most productive farm townships ranged from 28% to 76%. Says the 1% homestead and 2% farm caps do not stop rising net bills because assessed valuations drive them. https://inpolicy.org/franke-property-tax-misery/
- Tax Foundation (national), "Indiana Mulls Local Income and Property Tax Reforms" (March 26, 2025). Reviews Gov. Braun's plan and the House and Senate alternatives that became SEA 1; notes property taxes supplied about 83% of local tax revenue in 2022 and Indiana's property tax system ranks fifth on the State Tax Competitiveness Index, and warns of the risks of replacing property taxes with local income taxes. https://taxfoundation.org/blog/indiana-property-tax-reform-local-income-taxes/
- Indiana Farm Bureau, "Tax Facts: When it comes to property taxes, nothing is simple" (March 26, 2025). Explains the farmland base rate formula behind farm assessments as the 2025 session's property tax debate neared its end; DLGF figures show budgeted returns on a 1,000-acre corn-soybean farm with half the land rented ranged from a $140 per acre loss in 2015 to a $352 profit in 2021 and averaged a $90 loss in 2024, while the formula's return to owned land stayed positive nearly every year from 2013 to 2024. https://www.infarmbureau.org/news/news-article/2025/03/26/tax-facts-when-it-comes-to-property-taxes-nothing-is-simple
- EdChoice (State Policy Network associate): no Indiana property tax report since 2021 was found.
Linked list: 7 items on the Analyses sheet (filter State = Indiana); every source URL is linked on the Sources sheet.</t>
        </is>
      </c>
      <c r="U15" s="4" t="inlineStr">
        <is>
          <t>1973: Gov. Otis Bowen's reform froze local levies (the origin of today's maximum levy), raised the sales tax from 2% to 4% and created state property tax replacement credits.
2002: sales tax raised from 5% to 6% to replace the business inventory tax and expand replacement credits.
2008: HEA 1001-2008 created the 1%/2%/3% caps, moved school general fund and child-welfare costs to the state, raised the sales tax to 7% and required referendums for large capital projects and school operating levies.
2010: in November, voters wrote the caps into the Constitution (art. 10 §1).
2023: HEA 1499 limited the MLGQ to 4% for 2024-2025.
2025: SEA 1 (signed April 15, 2025; House 65-29, Senate 27-22) plus trailer HEA 1427: homestead deduction overhaul, 10%/$300 homestead credit, $2 million business personal property exemption (from 2027), 4% MLGQ for 2026, November-only referendums, tighter debt controls, local income tax overhaul. LSA's enrolled fiscal note scored SEA 1 at a $369 million homestead tax cut and a $686 million net local revenue loss in 2028 ($811 million before TIF gains); Gov. Braun had proposed resetting homeowner bills to pre-COVID levels and a 2-3% annual cap (the introduced bill: a homestead cut of about $1.7 billion by 2028), which the Legislature scaled back.
2026: HEA 1210 delayed SEA 1's local income tax overhaul to 2029 and replaced most disabled veteran deductions with credits. HEA 1406 put libraries whose budgets grow faster than half the MLGQ under binding county review and requires 2027 bills to show whether the tax fell. SEA 270 forces consolidation of qualifying townships from 2029, SEA 163 extended the county option circuit breaker through 2028 taxes, and HEA 1423 created the Indianapolis Public Education Corporation, which levies for Indianapolis Public Schools and its charter schools. The 4% MLGQ limit was not extended; the quotient for 2027 taxes is 6.0%.
No statewide property tax measure on the Nov. 2026 ballot. A record 38 school districts seek referendums on Nov. 3, 2026, including a 37-cent Indianapolis operating levy; Americans for Prosperity-Indiana is campaigning against them.</t>
        </is>
      </c>
      <c r="V15" s="4" t="inlineStr">
        <is>
          <t>22nd (0.76% effective rate; 0.98% in 2010)</t>
        </is>
      </c>
      <c r="W15" s="4" t="inlineStr">
        <is>
          <t>Indiana combines a levy limit (maximum levy growth since 1973) with a constitutional cap on each tax bill (1%/2%/3% of gross value since 2010), and the state funds schools' classroom costs. It has no assessment cap, no spending cap and no truth-in-taxation law. The weak points are the exclusions: referendum and debt levies, local income taxes and TIF. SEA 1 (2025) phases in large new deductions through 2031, moves referendums to November general elections and lets the 4% levy-growth limit lapse after 2026.</t>
        </is>
      </c>
      <c r="X15" s="4" t="inlineStr">
        <is>
          <t>https://www.in.gov/dlgf/files/2025-memos/250702-State-Budget-Agency-Memo-Maximum-Levy-Growth-Quotient.pdf
https://www.in.gov/dlgf/files/2026-memos/260701-State-Budget-Agency-Memo-Maximum-Levy-Growth-Quotient.pdf
https://www.in.gov/dlgf/files/2025-memos/250610-Cockerill-Memo-Legislative-Changes-to-Property-Tax-Referenda-and-Controlled-Projects.pdf
https://www.in.gov/dlgf/files/2026-memos/Legislation-Affecting-Local-Budgeting-Matters.pdf
https://www.in.gov/dlgf/files/2026-memos/260527-Cockerill-Memo-Legislation-Affecting-Deductions,-Credits,-and-Exemptions.pdf
https://indianacapitalchronicle.com/wp-content/uploads/2025/11/The-Indiana-Property-Tax-Reform-of-2025-Deboer-November-2025.pdf
https://iga.in.gov/pdf-documents/124/2025/senate/bills/SB0001/SB0001.05.ENRH.pdf
https://iga.in.gov/pdf-documents/124/2025/senate/bills/SB0001/fiscal-notes/SB0001.05.ENRH.FN001.pdf
https://www.in.gov/dlgf/files/2026-memos/Legislation-Affecting-Local-Income-Taxes.pdf
https://www.in.gov/dlgf/referendum-information/
https://aimindiana.org/wp-content/uploads/2025/07/Mini-Quick-Guide-SEA-1-Debt-Service-and-Controlled-Projects.pdf
https://fbtgibbons.com/updates-to-indianas-property-tax-process-now-in-effect/
https://iga.in.gov/legislative/2025/bills/senate/1
https://www.in.gov/dlgf/files/2025-memos/250728-Cockerill-Memo-County-Option-Circuit-Breaker-Tax-Credit.pdf
https://taxfoundation.org/blog/indiana-property-tax-reform-local-income-taxes/
https://indianacapitalchronicle.com/2026/08/04/36-indiana-school-districts-to-seek-referendums-this-fall/
https://www.chalkbeat.org/indiana/2026/06/22/ipec-approves-referendum-for-fall-ballot/
https://www.journalgazette.net/local/local-government/fort-wayne-officials-present-proposed-2026-budget-amid-tax-revenue-concerns/article_713632f7-e807-42bf-8209-df80c7c086e2.html
https://americansforprosperity.org/press-release/afp-in-launches-campaign-urging-hoosiers-to-vote-no-on-school-property-tax-referendums/
https://www.infarmbureau.org/news/news-article/2025/03/26/tax-facts-when-it-comes-to-property-taxes-nothing-is-simple</t>
        </is>
      </c>
    </row>
    <row r="16" ht="409" customHeight="1">
      <c r="A16" s="13" t="inlineStr">
        <is>
          <t>Iowa</t>
        </is>
      </c>
      <c r="B16" s="4" t="inlineStr">
        <is>
          <r>
            <rPr>
              <rFont val="Carlito"/>
              <b val="1"/>
              <sz val="14"/>
            </rPr>
            <t>B.</t>
          </r>
          <r>
            <rPr>
              <rFont val="Carlito"/>
              <sz val="11"/>
            </rPr>
            <t xml:space="preserve">
Restriction points 13.75 of 18 (spending limit 2; levy limit 4; assessment cap 1; rate cap 2; truth in taxation 2; rollback 1; supermajority 0.5; school districts covered 0.5; November-ballot rule 0.25; use restrictions 0.5). Deductions: built-in loopholes -2.5; workarounds in practice -1.5; state buydowns +0; data record -0.5. Total 9.25 = B (A 11+, B 8.5-10.9, C 5.5-8.4, D 3-5.4, F under 3).
Why: Built-in loopholes -2.5: employee benefits, debt service, liability insurance, school and community college levies stay outside the 2% cap; schools, the largest part of most bills, are limited only by the state formula; TIF and the 5%-7.5% utility franchise fee sit outside every limit; and the hard cap starts only in FY2028. Workarounds -1.5: Des Moines kept its FY2027 rate at $16.61 against a $15.25 effective rate, lifting its regular levy up to 8.9%, with its other employee benefits levy (outside the general fund limit) up 12.0%; school districts keep returning with PPEL and bond questions. Buydowns 0: state backfills ($125 million commercial reimbursement, mental health shift, state-paid credits) total under 5% of FY2024 collections ($6.80 billion), though the $175 million school levy buydown from FY2029 will push toward that line. Record -0.5: real per-person growth near the U.S. pace (24.9% FY2002-FY2022; -2.8% FY2019-FY2024), but real homeowner bills grew 23.6% 2010-2024 (US 9.3%) and the level is above average (3.24% of income; 1.29% effective rate).</t>
          </r>
        </is>
      </c>
      <c r="C16" s="4">
        <f>((LEFT(D16,3)="Yes")+(LEFT(E16,3)="Yes")+(LEFT(F16,3)="Yes")+(LEFT(G16,3)="Yes"))&amp;" of 4 in force"&amp;IF(((LEFT(D16,7)="Partial")+(LEFT(E16,7)="Partial")+(LEFT(F16,7)="Partial")+(LEFT(G16,7)="Partial"))&gt;0," + "&amp;((LEFT(D16,7)="Partial")+(LEFT(E16,7)="Partial")+(LEFT(F16,7)="Partial")+(LEFT(G16,7)="Partial"))&amp;" partial","")&amp;CHAR(10)&amp;CHAR(10)&amp;IF(LEFT(D16,3)="Yes","✓",IF(LEFT(D16,7)="Partial","◐","✗"))&amp;" Spending limit"&amp;CHAR(10)&amp;IF(LEFT(E16,3)="Yes","✓",IF(LEFT(E16,7)="Partial","◐","✗"))&amp;" Levy limit"&amp;CHAR(10)&amp;IF(LEFT(F16,3)="Yes","✓",IF(LEFT(F16,7)="Partial","◐","✗"))&amp;" Assessment cap"&amp;CHAR(10)&amp;IF(LEFT(G16,3)="Yes","✓",IF(LEFT(G16,7)="Partial","◐","✗"))&amp;" Rate cap"</f>
        <v/>
      </c>
      <c r="D16" s="4" t="inlineStr">
        <is>
          <r>
            <rPr>
              <rFont val="Carlito"/>
              <b val="1"/>
              <sz val="11"/>
            </rPr>
            <t>Partial.</t>
          </r>
          <r>
            <rPr>
              <rFont val="Carlito"/>
              <sz val="11"/>
            </rPr>
            <t xml:space="preserve">
School districts only. Each district's general fund spending is capped at its "maximum spending authority," set by the state's per-pupil foundation formula (1989): the state cost per pupil times enrollment, plus unspent authority carried forward. Districts that overspend must cut the next year's budget. Debt service, the physical plant and equipment levy (PPEL), the management levy and other funds sit outside the formula. Cities and counties have no cap on total spending; they are limited through levy rates instead (see levy limit).
New in 2026: SF 2472 caps unrestricted general fund reserves for cities, counties and other taxing bodies (35% of spending, per legislative summaries) starting in FY2028, with compliance checked in each audit.
Authority: Iowa Code ch. 257 (school foundation formula); §24.35 (reserve limit, SF 2472, 2026).</t>
          </r>
        </is>
      </c>
      <c r="E16" s="4" t="inlineStr">
        <is>
          <r>
            <rPr>
              <rFont val="Carlito"/>
              <b val="1"/>
              <sz val="11"/>
            </rPr>
            <t>Yes</t>
          </r>
          <r>
            <rPr>
              <rFont val="Carlito"/>
              <sz val="11"/>
            </rPr>
            <t xml:space="preserve"> (cities and counties, from FY2028).
2026 law (SF 2472): starting July 1, 2027, the city general fund levy and the county general basic and rural basic levies may raise no more than 102% of the prior year's property tax dollars, plus taxes on "new valuation" (new construction, additions and annexations). Through FY2030 this 2% formula sets the maximum rate; from FY2031 the maximum is the lower of the 2% formula and the old fixed caps ($8.10, $3.50 and $3.95 per $1,000). A second new rule (§444.25) holds every other levy that has a fixed statutory rate to 102% of the prior year's dollars, with no exclusion for new valuation, and the state's emergency "appeal board" authority can no longer suspend it.
Excluded from the 2% caps: school district levies (foundation levy, PPEL, bonds), community college levies, debt service, employee benefit and liability insurance levies, hospital levies, transit levies and self-supported improvement districts. A levy imposed for the first time, or a voter-approved rate increase, may start at its authorized rate.
Before the 2026 law: HF 718 (2023) merged most city levies into one "adjusted city general fund levy" and, for FY2025–FY2028, forced rate cuts when non-TIF taxable value grew 2.75% or more, allowing 1% to 3% revenue growth by tier (counties had a parallel adjusted general basic levy). That tier system was due to lapse in FY2029; SF 2472 replaces it.
Authority: Iowa Code §331.423 (counties), §384.1 (cities), §444.25 (rate-limited levies), as amended by SF 2472 (2026) and HF 718 (2023 Acts, ch. 71).</t>
          </r>
        </is>
      </c>
      <c r="F16" s="4" t="inlineStr">
        <is>
          <r>
            <rPr>
              <rFont val="Carlito"/>
              <b val="1"/>
              <sz val="11"/>
            </rPr>
            <t>Partial.</t>
          </r>
          <r>
            <rPr>
              <rFont val="Carlito"/>
              <sz val="11"/>
            </rPr>
            <t xml:space="preserve">
Iowa limits growth in taxable value for each property class statewide ("rollback," since the 1978 assessment year). There is no parcel-level cap. Each year the Department of Revenue sets an "assessment limitation" percentage so that statewide taxable value of residential and agricultural property grows no more than 3% a year from revaluation, with the two classes tied together; each property's taxable value equals its full assessed value times that percentage (54.65% for residential in 2022). A homeowner whose value jumps faster than the state average still sees a larger increase, and new construction and improvements are added in full. Commercial and industrial property: the first $150,000 of each unit's value is taxed at the residential percentage and the rest at 90% (since the 2022 assessment year; 90% on all value from 2014 to 2021 under the 2013 law). SF 2472 (2026) restores multiresidential property as its own class, phased to a percentage 6 points above the residential rollback.
Values are reset in a revaluation every two years.
Authority: Iowa Code §441.21(4)–(5) (as amended 2013 SF 295 and 2026 SF 2472).</t>
          </r>
        </is>
      </c>
      <c r="G16" s="4" t="inlineStr">
        <is>
          <r>
            <rPr>
              <rFont val="Carlito"/>
              <b val="1"/>
              <sz val="11"/>
            </rPr>
            <t>Yes.</t>
          </r>
          <r>
            <rPr>
              <rFont val="Carlito"/>
              <sz val="11"/>
            </rPr>
            <t xml:space="preserve">
Statutory maximum rates per $1,000 of taxable value: city general fund $8.10 (since 1972; a lower cap applies to agricultural land inside cities); county general basic $3.50 and rural basic $3.95 (1989). Many special levies carry their own fixed maximums (e.g., city emergency levy $0.27, county agricultural extension, assessor and hospital levies). School districts levy a uniform foundation tax of $5.40 per $1,000, which SF 2472 cuts to $5.10 for FY2029 and $4.90 from FY2030, with state aid replacing the revenue; additional school levies follow the formula. From FY2028, fixed rates are further limited by the 2% revenue rules (see levy limit). No overall cap on a property's total bill.
Authority: Iowa Code §384.1 (cities); §331.423 (counties); §257.3 (school foundation levy, as amended by SF 2472, 2026).</t>
          </r>
        </is>
      </c>
      <c r="H16" s="4" t="inlineStr">
        <is>
          <r>
            <rPr>
              <rFont val="Carlito"/>
              <b val="1"/>
              <sz val="11"/>
            </rPr>
            <t>Partial.</t>
          </r>
          <r>
            <rPr>
              <rFont val="Carlito"/>
              <sz val="11"/>
            </rPr>
            <t xml:space="preserve">
Schools escape the new 2% cap but are bound by the state funding formula, which limits general fund spending per pupil and sets the uniform foundation levy. Outside the formula: PPEL (up to $0.33 by board vote and up to $1.34 with voter approval), the instructional support levy (local option, up to 10% of regular program cost, partly payable through an income surtax), the management levy (insurance, judgments, early retirement) and bond levies (60% voter approval). These levies have driven much of the growth in school property taxes.</t>
          </r>
        </is>
      </c>
      <c r="I16" s="4" t="inlineStr">
        <is>
          <r>
            <rPr>
              <rFont val="Carlito"/>
              <b val="1"/>
              <sz val="11"/>
            </rPr>
            <t>Partial.</t>
          </r>
          <r>
            <rPr>
              <rFont val="Carlito"/>
              <sz val="11"/>
            </rPr>
            <t xml:space="preserve">
No meaningful state property tax for state operations (state property tax collections were about $2 million in FY2022, per Census). The state does require every school district to levy a uniform $5.40 per $1,000 foundation tax, which counts as the local share of the school formula and stays with the district. SF 2472 (2026) cuts that required levy to $5.10 (FY2029) and $4.90 (FY2030 on) and backfills schools with state aid, an estimated $175 million a year of property tax relief.
Authority: Iowa Code §257.3.</t>
          </r>
        </is>
      </c>
      <c r="J16" s="4" t="inlineStr">
        <is>
          <r>
            <rPr>
              <rFont val="Carlito"/>
              <b val="1"/>
              <sz val="11"/>
            </rPr>
            <t>Yes.</t>
          </r>
          <r>
            <rPr>
              <rFont val="Carlito"/>
              <sz val="11"/>
            </rPr>
            <t xml:space="preserve">
General homestead (from the 2026 assessment year): the old state-funded homestead credit, worth the tax on $4,850 of value, becomes an exemption of 10% of taxable value, at least $5,500 and at most $20,000 of taxable value, with the maximum indexed for inflation from 2027.
Age 65+: an additional exemption of $6,500 of taxable value (from FY2026; $3,250 in FY2025), created by HF 718 (2023) with no state reimbursement.
Military service exemption $4,000 of taxable value (unfunded since FY2025). Disabled veterans with a 100% rating receive a full credit for all tax on the homestead.
Authority: Iowa Code §425.1, §425.1A (SF 2472, 2026); HF 718 (2023) Div. V (65+); §426A.11 (military).</t>
          </r>
        </is>
      </c>
      <c r="K16" s="4" t="inlineStr">
        <is>
          <r>
            <rPr>
              <rFont val="Carlito"/>
              <b val="1"/>
              <sz val="11"/>
            </rPr>
            <t>Yes.</t>
          </r>
          <r>
            <rPr>
              <rFont val="Carlito"/>
              <sz val="11"/>
            </rPr>
            <t xml:space="preserve">
Elderly and Disabled Property Tax Credit and Rent Reimbursement: a state-funded, income-based credit (sliding scale) for homeowners and renters 65+ or totally disabled; amended by SF 2472 (2026).
Family farm tax credit: state-funded credit on agricultural land where the school general fund levy exceeds the foundation rate.
Authority: Iowa Code ch. 425, subch. II (§425.16–.40); ch. 425A.</t>
          </r>
        </is>
      </c>
      <c r="L16" s="4" t="inlineStr">
        <is>
          <r>
            <rPr>
              <rFont val="Carlito"/>
              <b val="1"/>
              <sz val="11"/>
            </rPr>
            <t>Yes.</t>
          </r>
          <r>
            <rPr>
              <rFont val="Carlito"/>
              <sz val="11"/>
            </rPr>
            <t xml:space="preserve">
In FY2026 and FY2027 Iowa pays these from the state general fund:
- Homestead tax credit: a credit on each homestead bill equal to the levy on the first $4,850 of value, paid from a standing unlimited appropriation (about $162.5 million in FY2026).
- Commercial and industrial replacement: $125 million a year reimburses local governments for taxes lost to the lower assessment limitation on the first $150,000 of commercial and industrial value (81.2% of claims were paid in FY2025).
- School property tax replacement payments: a per-pupil state payment that replaces part of the school additional levy ($136.7 million estimated for FY2026).
- Agricultural land and family farm credits: a $39.1 million standing appropriation credited on farmland bills.
SF 2472 (2026) ends the commercial and industrial payments after FY2027 and replaces the homestead credit with a $15,000 exemption, with transition payments in FY2028 and FY2029; it also cuts the school foundation levy to $5.10 in FY2029 and $4.90 from FY2030. The 2021 transfer of county mental health costs to state appropriations is program funding and does not count.
Authority: Iowa Code §§257.16B, 425.1, 441.21(5)(e), chs. 425A and 426; SF 2472 (2026) Divs. V, XX and XXIV; LSA Fiscal Note on SF 2472 (Apr. 23, 2026).</t>
          </r>
        </is>
      </c>
      <c r="M16" s="4" t="inlineStr">
        <is>
          <r>
            <rPr>
              <rFont val="Carlito"/>
              <b val="1"/>
              <sz val="11"/>
            </rPr>
            <t>Yes.</t>
          </r>
          <r>
            <rPr>
              <rFont val="Carlito"/>
              <sz val="11"/>
            </rPr>
            <t xml:space="preserve">
Each March the county auditor mails every owner a statement (marked "not a tax bill") comparing current city, county and school taxes on the parcel with the proposed amounts, with the percent change and the date of each body's hearing. Each city, county and school district must then hold a separate public hearing on its proposed property tax amount, on or after March 20, before adopting its budget; after the hearing it may lower the amount but cannot raise it. A city or county that misses the March 5 filing deadline is held to the prior year's budget amount. The 2019 law (SF 634) that required a 2/3 governing-body vote for growth above 2% was repealed by HF 718 in 2023.
Authority: Iowa Code §24.2A (HF 718, 2023; amended by SF 2472, 2026); Iowa Code §384.15A (repealed 2023).</t>
          </r>
        </is>
      </c>
      <c r="N16" s="4" t="inlineStr">
        <is>
          <r>
            <rPr>
              <rFont val="Carlito"/>
              <b val="1"/>
              <sz val="11"/>
            </rPr>
            <t>Yes.</t>
          </r>
          <r>
            <rPr>
              <rFont val="Carlito"/>
              <sz val="11"/>
            </rPr>
            <t xml:space="preserve">
Two mechanisms: the statewide assessment limitation ("rollback") holds aggregate residential and agricultural taxable growth to 3% a year, and from FY2028 the 2% revenue formulas automatically lower city and county maximum rates as values rise. From FY2025 to FY2028 HF 718's growth tiers forced rate reductions when non-TIF value grew 2.75% or more.
Authority: Iowa Code §441.21; §384.1; §331.423; §444.25.</t>
          </r>
        </is>
      </c>
      <c r="O16" s="4" t="inlineStr">
        <is>
          <r>
            <rPr>
              <rFont val="Carlito"/>
              <b val="1"/>
              <sz val="11"/>
            </rPr>
            <t>Partial.</t>
          </r>
          <r>
            <rPr>
              <rFont val="Carlito"/>
              <sz val="11"/>
            </rPr>
            <t xml:space="preserve">
Voters: bond issues by counties, cities, school districts and other local boards need at least 60% approval. Levies above fixed rates (for example a county levy increase, a voter-approved PPEL or an instructional support levy put to a vote) pass by simple majority. Governing bodies: the 2019 requirement of a 2/3 vote to adopt levies growing more than 2% was repealed in 2023.
Authority: Iowa Code §75.1 (60% for bonds); §384.15A (repealed).</t>
          </r>
        </is>
      </c>
      <c r="P16" s="4" t="inlineStr">
        <is>
          <r>
            <rPr>
              <rFont val="Carlito"/>
              <b val="1"/>
              <sz val="11"/>
            </rPr>
            <t>Partial.</t>
          </r>
          <r>
            <rPr>
              <rFont val="Carlito"/>
              <sz val="11"/>
            </rPr>
            <t xml:space="preserve">
Since July 1, 2023, every election on bonds or other indebtedness must be held on the November general or regular city/school election date (HF 718). Other tax questions may go on a short list of fixed special election dates: the first Tuesday in March, the second Tuesday in September, or the November date.
Authority: Iowa Code §75.1; §39.2(4).</t>
          </r>
        </is>
      </c>
      <c r="Q16" s="4" t="inlineStr">
        <is>
          <r>
            <rPr>
              <rFont val="Carlito"/>
              <b val="1"/>
              <sz val="11"/>
            </rPr>
            <t>Yes.</t>
          </r>
          <r>
            <rPr>
              <rFont val="Carlito"/>
              <sz val="11"/>
            </rPr>
            <t xml:space="preserve">
Iowa property taxes are levied fund by fund, and each levy may be spent only for its statutory purpose: city general fund; county general services and rural services (rural services and secondary roads); debt service; employee benefits; tort liability; PPEL (school buildings, equipment, technology); management levy; and special-purpose levies such as emergency medical services, agricultural extension and hospitals. The 2026 law adds a direct ban: from July 1, 2026, no taxing body may use bonds or other debt to pay for general operations such as salaries and benefits.
Authority: Iowa Code chs. 331, 384, 298; §444.26 (SF 2472, 2026).</t>
          </r>
        </is>
      </c>
      <c r="R16" s="4" t="inlineStr">
        <is>
          <t>99 counties (general and rural services, plus county hospitals, assessors, agricultural extension and emergency management levies); 940 cities; about 325 K-12 school districts (Census counted 342 independent school governments in 2022), plus 15 community colleges (merged areas) and area education agencies funded through school levies; townships (fire protection and cemeteries) and benefited fire districts; regional transit districts; sanitary and other special districts. Census of Governments 2022: 1,826 local governments, including 445 special districts (60 fire protection, 38 solid waste, 34 sewer; most of the 99 soil and water districts levy no property tax).</t>
        </is>
      </c>
      <c r="S16" s="4" t="inlineStr">
        <is>
          <t>Verdict: Partly. Property tax per person rose 23.0% after inflation from FY2002 to FY2024, against 25.9% for the U.S., then fell 2.8% from FY2019 to FY2024 against a 1.1% U.S. drop.
Why it leaks: Until HF 718 (2023), Iowa relied on rate caps with no levy limit, and the $8.10 city cap never covered employee benefits. The first dollar cap (SF 2472, 2026) starts in FY2028, adds taxes on new valuation and excludes school levies and debt service. State buy-downs count against Iowa: about $175 million a year for the school levy cut and $125 million for commercial backfill.
How localities get around it: Des Moines kept its FY2027 regular rate at $16.61 per $1,000 when $15.25 would have raised the same dollars, growing that levy up to 8.9%. Its employee benefits levy, outside the general fund limit, rises 12.0%.
Full record:
Has it worked? Growth has been near or below the national pace, but the level is high, and the strongest limits arrive only from FY2028.
The record (Census, BEA, ACS): state and local property tax was $2,104 per person in FY2024 (U.S. $2,132), 3.24% of personal income (12th-highest of 50; U.S. 2.89%). After inflation, collections per person (all state and local property tax divided by residents) rose 23.0% from FY2002 to FY2024 (U.S. +25.9%) and fell 2.8% from FY2019 to FY2024 (U.S. -1.1%). The median homeowner paid $2,937 in 2024 (U.S. $3,211); the median bill rose 23.6% after inflation from 2010 to 2024 (U.S. +9.3%). The Tax Foundation's 2026 ranking puts its effective property tax rate on owner-occupied homes at 1.33%, 42nd-lowest of 50. By the same measure it was 1.24% in 2010 (U.S. 1.00% in 2010, 0.94% in 2024).
Property taxes rose more than 10% in the two years before the 2026 law, faster than inflation and incomes (Gov. Reynolds), which drove the 2026 law. Iowa ranks 33rd on the Tax Foundation's 2026 property tax index.
Workarounds the rate caps left open:
- Levies outside the caps. The $8.10 city cap never covered employee benefits (the "trust and agency" levy), debt service, liability insurance or dozens of special levies, so cities shifted costs there. HF 718 (2023) folded many special levies into the general fund levy, but employee benefits, debt service and liability insurance remain outside the 2026 cap as well.
- Borrowing for operations. Debt service levies are unlimited, and many bonds need no vote. The 2026 law now bans using debt for general operations.
- Tax increment financing. Iowa cities capture large amounts of value in urban renewal (TIF) districts, outside the growth tiers; SF 2472 also amends the urban renewal law.
- Fees. Cities may charge utility franchise fees of up to 5% of gross utility sales "without regard to" regulatory cost (7.5% for cities over 200,000 since FY2025, with the extra 2.5% reserved for property tax relief), a tax collected through utility bills. Local revenue mix (Census FY2022): property tax is 85% of local taxes, but charges and fees are 44% of local own-source revenue (about 34% nationally). Local option sales taxes add up to 1%.
- Reserves. Some governments built large balances; the 2026 law caps general fund reserves.
- Class shifting. The rollback moves burden among classes as values diverge (the 2013 commercial rollback, the 2022 merger of multiresidential into residential, and SF 2472's new multiresidential class).
Des Moines: for FY2027 the city kept its regular rate at $16.61 per $1,000 although the rate that would have raised the same dollars was $15.25, so its regular property tax grows from $157.2 million to as much as $171.2 million (8.9%). The other employee benefits levy, which sits outside the general fund limit, rises 12.0% ($23.7 million to $26.6 million) and police and fire retirement 7.8% ($16.5 million to $17.8 million). The council approved that levy amount for the proposed budget on March 23, 2026, citing "Increased staffing, health care, insurance and retirement costs."
Cedar Rapids: the city manager's proposed FY2027 budget of $928 million (FY2026: $866 million) includes no increase in the city property tax rate (CBS2, Feb. 25, 2026).
Schools: PPEL and bond questions keep returning to voters. At the Sept. 8, 2026 special election Clarinda sought a new $0.50 voter-approved PPEL (about $200,000 a year) after voters rejected bonds in 2023 and PPELs in 2024, and South Winneshiek returned with a PPEL increase after voters rejected a $1.34 PPEL in March 2026; both blamed SF 2472's SAVE changes (ITR Foundation, Aug. 31, 2026).
Schools remain the largest piece of most bills and sit outside the new 2% cap.</t>
        </is>
      </c>
      <c r="T16" s="4" t="inlineStr">
        <is>
          <t>- Common Sense Institute Iowa, Andrzej Wieciorkowski and Dylan Mundt, "Counties, Cities, and the Cap—Iowa’s Local Payroll Growth Meets SF 2472" (Sept. 25, 2026). Local government payroll took 4.15% of Iowans' personal income in 2025, the seventh highest share in the nation, and a payroll burden at the national median would leave about $1.6 billion for other priorities or refunds. From 2019 to 2025 non-school local employment rose 10.8% (Midwest 4.8%) while school district employment fell 0.6%, and city and county non-school payrolls grew 39.5% against 28.4% growth in the property tax revenue that funds them, the pressure SF 2472's 2% cap meets from FY2028. https://commonsenseinstituteus.org/research/counties-cities-and-the-cap-iowas-local-payroll-growth-meets-sf-2472/
- ITR Foundation (Iowans for Tax Relief Foundation), Sarah Curry, "A Few Votes, Long-Term Consequences: Results from Iowa’s September 2026 Special Elections" (Sept. 11, 2026). Voters approved 22 of 26 measures on September 8, including 14 of 18 PPEL questions, with average turnout of 12.2%. Dubuque doubled its PPEL to the $1.34 maximum (about $7.2 million a year) less than a year after rejecting a $70 million bond, and Van Meter's renewal passed 152-150. https://itrfoundation.org/a-few-votes-long-term-consequences-results-from-iowas-september-2026-special-elections/
- ITR Foundation, "School Districts Blame SAVE Changes for Tax Hikes Already in the Works" (Aug. 31, 2026). Clarinda and South Winneshiek blamed SF 2472's redirection of SAVE sales tax money for September PPEL requests, but both had sought more property tax authority before the law (Clarinda's bonds failed in 2023 and its PPELs in 2024; South Winneshiek's $1.34 PPEL failed in March 2026); argues districts control spending and "Changes in revenue should not automatically result in higher taxes." https://itrfoundation.org/school-districts-blame-save-changes-for-tax-hikes-already-in-the-works/
- Common Sense Institute Iowa, "Iowa Leads the Nation in Property Tax Relief: Ranking State Reforms of the Past Decade" (Aug. 6, 2026). Full report ranking state property tax relief bills from 2016-2026 by net taxpayer savings, excluding relief paid by state budgets. SF 2472 (2026) ranks first (about 0.17% of personal income and $1,463 per household over six years) and HF 718 (2023) fourth by income share; New Jersey's ANCHOR, North Dakota's HB 1176 and Texas's 2023 package are excluded because the state pays for them. https://commonsenseinstituteus.org/iowa/research/iowa-leads-the-nation-in-property-tax-relief-ranking-state-reforms-of-the-past-decade/
- Common Sense Institute Iowa, "Iowa’s Largest Property Tax Reform in Decades Changes the U.S. Tax Burden Map" (June 5, 2026). Projects that SF 2472 and HF 718 move Iowa from the 20th to the 29th most burdened state for local taxes by FY2033, with a sharp drop in FY2028 and FY2029; the cut needed to make Iowa a median property tax state in FY2033 falls from $1.61 billion to $810 million, and the new homestead exemption is worth about $300 million a year. https://commonsenseinstituteus.org/iowa/research/taxes-and-fees/iowas-largest-property-tax-reform-in-decades-changes-the-us-tax-burden-map/
- ITR Foundation, "Taxpayers Come First as Iowa Wraps Up 2026 Legislative Session" (May 8, 2026). The governor and House Republicans sought a 2% "hard" cap while Senate Republicans proposed a 2% "soft" cap indexed to inflation that could have reached 5%; the final law caps many local levies at 2%, replaces the homestead credit with a 10% exemption ($5,500 minimum, $20,000 maximum, inflation-adjusted) and is projected to save more than $4 billion over six years. https://itrfoundation.org/taxpayers-come-first-as-iowa-wraps-up-2026-legislative-session/
- Iowans for Tax Relief, "New Law Puts Limits on Property Tax Levies in Iowa" (May 4, 2026). Calls SF 2472's 2% cap on city and county collections "very meaningful" but short of the hard across-the-board cap ITR sought: city debt service, unified law enforcement, insurance and employee benefits levies stay uncapped, new construction does not count, and "some local governments will exploit any available loopholes." The school foundation levy falls from $5.40 to $4.90, new TIF districts get a 23-year sunset, and the final bill left out the gas tax and local option sales tax increases in earlier Senate versions. https://itrfoundation.org/new-law-puts-limits-on-property-tax-levies-in-iowa/
- ITR Foundation, "From Waterloo to Keokuk: Where Property Taxes Hit Hardest in Iowa" (Sept. 5, 2025). Across Iowa's 100 largest cities the effective property tax rate on the median home averaged 1.8% (2023 consolidated levies), from under 1.3% in Eldridge and Le Mars to 2.1% in Waterloo and 2.4% in Keokuk; calls for "a firm limit on how fast local governments can grow their budgets." https://itrfoundation.org/from-waterloo-to-keokuk-where-property-taxes-hit-hardest-in-iowa/
- ITR Foundation, John Hendrickson, "Does Iowa Really Have a Truth-in-Taxation Law?" (July 17, 2025). Holds up Utah's 1985 law as the gold standard: each taxing entity gets the prior year's revenue plus new growth, and a levy above the certified rate requires mailed notice to every taxpayer and a recorded vote at a public hearing. Iowa has at best the transparency and accountability parts of the model: its 2019 and 2023 laws added hearings with a supermajority vote for budget growth above 2% and mailed budget statements, which officials called misleading because of their hypothetical $100,000 home with a 10% assessment increase. It calls for a revenue-driven limit or a levy cap with Minnesota- or Utah-style notices, and warns against using state General Fund dollars to lower local rates. https://itrfoundation.org/does-iowa-really-have-a-truth-in-taxation-law/
- Common Sense Institute Iowa, Ben Murrey and Andrzej Wieciorkowski, "Property Tax Reform: Targeting Iowa’s High Local Tax Burden" (April 9, 2025). Full report ranking Iowa 11th most burdensome for local property taxes and 19th for total local taxes; on the current trend property tax revenue grows 2.63% a year, and holding growth to 2% would bring Iowa to the U.S. median by 2033. It prefers that path to a one-time $400 million cut, which it calls "a rug pull for local governments." https://commonsenseinstituteus.org/iowa/research/taxes-and-fees/property-tax-reform-targeting-iowas-high-local-tax-burden/
- Tax Foundation, Jared Walczak, "Iowa Proposal to Rein in Property Taxes Misses the Mark" (Jan. 19, 2023). Argues HF 1's assessment limit follows California's Proposition 13 and would shift costs to newer, younger homeowners; recommends a county-level levy limit requiring voter approval for collections to grow above a set amount, with New York and Massachusetts as models. https://taxfoundation.org/blog/iowa-property-tax-reform/
Linked list: 11 items on the Analyses sheet (filter State = Iowa); every source URL is linked on the Sources sheet.</t>
        </is>
      </c>
      <c r="U16" s="4" t="inlineStr">
        <is>
          <t>2019: SF 634 created a truth-in-taxation hearing and required a 2/3 vote for city and county levies growing more than 2% (repealed 2023).
2021: SF 619 removed the county mental health levy, with the state funding mental health services from FY2023.
2023: HF 718 consolidated city levies, imposed growth-triggered rate cuts for FY2025–FY2028, added the 65+ exemption, required November dates for bond elections and created the combined property tax statement and hearing. 2024: SF 2442 adjusted HF 718.
2026: SF 2472 (passed on the last day of session; signed May 2026): 2% revenue cap on city and county general levies from FY2028 (with exclusions), 2% limit on all other fixed-rate levies, homestead exemption up to $20,000, school foundation levy cut to $4.90 with state backfill, reserve caps, a ban on borrowing for operations and a restored multiresidential class. Legislative Republicans project about $4.2 billion in property tax savings over six years. House Democrats offered a $100 rebate alternative.
Nov. 3, 2026 ballot: Amendment 1 would require a 2/3 legislative vote for state income tax increases (state level, no direct effect on local property taxes).</t>
        </is>
      </c>
      <c r="V16" s="4" t="inlineStr">
        <is>
          <t>42nd (1.33% effective rate; 1.24% in 2010)</t>
        </is>
      </c>
      <c r="W16" s="4" t="inlineStr">
        <is>
          <t>Iowa moved in 2026 from rate caps with large carve-outs to a 2% revenue cap on city and county general levies (from FY2028), on top of the class-wide 3% assessment limitation, the per-pupil school spending formula and a state buy-down of the school levy. The weak points to watch are the excluded levies (employee benefits, debt, liability insurance), school taxes outside the cap, TIF and utility franchise fees.</t>
        </is>
      </c>
      <c r="X16" s="4" t="inlineStr">
        <is>
          <t>https://www.legis.iowa.gov/legislation/BillBook?ga=91&amp;ba=SF2472
https://www.legis.iowa.gov/docs/publications/LGE/91/SF2472.pdf
https://www.thegazette.com/news/state/what-s-in-iowa-s-property-tax-legislation/article_bccdd01a-d59f-48d6-a0eb-dddecf8fc473.html
https://www.kmaland.com/news/governor-signs-iowa-property-tax-limitation-into-law/article_6dd323c4-87fe-4a0e-9754-ba8efdb8b750.html
https://iowacapitaldispatch.com/2026/05/18/gov-kim-reynolds-signs-property-tax-law-projected-to-save-4-2-billion-over-6-years/
https://iowaleague.org/resource/hf-718/
https://www.legis.iowa.gov/docs/code/2026/24.2A.pdf
https://www.legis.iowa.gov/docs/code/2026/384.15A.pdf
https://www.legis.iowa.gov/docs/code/2026/75.1.pdf
https://www.legis.iowa.gov/docs/code/2026/39.2.pdf
https://www.legis.iowa.gov/docs/code/2026/364.2.pdf
https://www.legis.iowa.gov/docs/code/2024/441.html
https://apps.lincolninst.edu/uploads/summary-tables/rate-limits-summary-tables/rate-limits-2022-4.xlsx
https://www.lincolninst.edu/app/uploads/2024/10/truth_in_taxation_2024.xlsx
https://www2.census.gov/programs-surveys/gov-finances/tables/2022/22slsstab1.xlsx
https://www.legis.iowa.gov/docs/code/2026/441.21.pdf
https://councildocs.dsm.city/resolutions/20260323/3.pdf
https://www.cbs2iowa.com/news/local/cedar-rapids-releases-928-million-budget-for-2027-fiscal-year-city-manager
https://itrfoundation.org/school-districts-blame-save-changes-for-tax-hikes-already-in-the-works/
https://itrfoundation.org/taxpayers-come-first-as-iowa-wraps-up-2026-legislative-session/</t>
        </is>
      </c>
    </row>
    <row r="17" ht="409" customHeight="1">
      <c r="A17" s="13" t="inlineStr">
        <is>
          <t>Kansas</t>
        </is>
      </c>
      <c r="B17" s="4" t="inlineStr">
        <is>
          <r>
            <rPr>
              <rFont val="Carlito"/>
              <b val="1"/>
              <sz val="14"/>
            </rPr>
            <t>D.</t>
          </r>
          <r>
            <rPr>
              <rFont val="Carlito"/>
              <sz val="11"/>
            </rPr>
            <t xml:space="preserve">
Restriction points 7 of 18 (spending limit 2; rate cap 1; truth in taxation 2; rollback 1; school districts covered 0.5; use restrictions 0.5). Deductions: built-in loopholes -1; workarounds in practice -1; state buydowns +0; data record -0.5. Total 4.5 = D (A 11+, B 8.5-10.9, C 5.5-8.4, D 3-5.4, F under 3).
Why: Built-in loopholes -1: a simple majority of the governing body can exceed the revenue neutral rate after the hearing, and general city and county levies carry no rate ceiling. Workarounds -1: the largest governments exceed the rate year after year (Johnson County at a flat 24.12 mills for 2027, Sedgwick County collecting about 4% more, the Kansas City, Kansas Unified Government voting Aug. 24, 2026 to exceed it), and 37.6% of taxing bodies exceeded it in 2025. Buydowns 0: the Local Ad Valorem Tax Reduction Fund has been unfunded since 2003 and the state refunds are means-tested. Record -0.5: slower long-run growth per person (19.4% real, FY2002-FY2022; U.S. 23.4%) but real homeowner bill growth of 20.8% since 2010 (U.S. 9.3%), a 3.07% share of income and the tenth-highest effective rate (1.25%).</t>
          </r>
        </is>
      </c>
      <c r="C17" s="4">
        <f>((LEFT(D17,3)="Yes")+(LEFT(E17,3)="Yes")+(LEFT(F17,3)="Yes")+(LEFT(G17,3)="Yes"))&amp;" of 4 in force"&amp;IF(((LEFT(D17,7)="Partial")+(LEFT(E17,7)="Partial")+(LEFT(F17,7)="Partial")+(LEFT(G17,7)="Partial"))&gt;0," + "&amp;((LEFT(D17,7)="Partial")+(LEFT(E17,7)="Partial")+(LEFT(F17,7)="Partial")+(LEFT(G17,7)="Partial"))&amp;" partial","")&amp;CHAR(10)&amp;CHAR(10)&amp;IF(LEFT(D17,3)="Yes","✓",IF(LEFT(D17,7)="Partial","◐","✗"))&amp;" Spending limit"&amp;CHAR(10)&amp;IF(LEFT(E17,3)="Yes","✓",IF(LEFT(E17,7)="Partial","◐","✗"))&amp;" Levy limit"&amp;CHAR(10)&amp;IF(LEFT(F17,3)="Yes","✓",IF(LEFT(F17,7)="Partial","◐","✗"))&amp;" Assessment cap"&amp;CHAR(10)&amp;IF(LEFT(G17,3)="Yes","✓",IF(LEFT(G17,7)="Partial","◐","✗"))&amp;" Rate cap"</f>
        <v/>
      </c>
      <c r="D17" s="4" t="inlineStr">
        <is>
          <r>
            <rPr>
              <rFont val="Carlito"/>
              <b val="1"/>
              <sz val="11"/>
            </rPr>
            <t>Partial.</t>
          </r>
          <r>
            <rPr>
              <rFont val="Carlito"/>
              <sz val="11"/>
            </rPr>
            <t xml:space="preserve">
School district local option budgets (LOB) are limited to 15% of the amount funded by the state through the Foundation Formula and may go up to 33% if voters organize a protest petition and approve it in an election. Cities, counties and other local governments have no spending cap. Lawmakers tried to enact a protest petition for spending above the higher of 3% or inflation in 2026, but the bill was vetoed (see Reforms below).
Authority: K.S.A. 72-5143 (LOB); K.S.A. 72-53,113 (capital outlay).</t>
          </r>
        </is>
      </c>
      <c r="E17" s="4" t="inlineStr">
        <is>
          <r>
            <rPr>
              <rFont val="Carlito"/>
              <b val="1"/>
              <sz val="11"/>
            </rPr>
            <t>No.</t>
          </r>
          <r>
            <rPr>
              <rFont val="Carlito"/>
              <sz val="11"/>
            </rPr>
            <t xml:space="preserve">
No limit on property tax revenue growth. Kansas had a "tax lid" from 2017 to 2021 (2015 SB 270), which required an election before a city or county could raise property tax revenue faster than inflation, with about two dozen exemptions. SB 13 (2021) repealed it and replaced it with Truth in Taxation, requiring a revenue-neutral rate-setting process.
Authority: K.S.A. 79-2925c (tax lid, repealed by SB 13, 2021); K.S.A. 79-2988.</t>
          </r>
        </is>
      </c>
      <c r="F17" s="4" t="inlineStr">
        <is>
          <r>
            <rPr>
              <rFont val="Carlito"/>
              <b val="1"/>
              <sz val="11"/>
            </rPr>
            <t>No.</t>
          </r>
          <r>
            <rPr>
              <rFont val="Carlito"/>
              <sz val="11"/>
            </rPr>
            <t xml:space="preserve">
No cap on growth in a parcel's appraised value; property is reappraised annually at market value. The Constitution fixes assessment ratios by class (residential 11.5% of appraised value; commercial and industrial 25%; agricultural land 30% of use value; vacant lots and nonprofit property 12%; public utilities 33%). This keeps homes taxed at a lower SHARE than businesses, but does nothing to limit overall increases. Proposed constitutional amendments to cap valuation growth failed in 2025 and 2026.
Authority: Kan. Const. art. 11 §1.</t>
          </r>
        </is>
      </c>
      <c r="G17" s="4" t="inlineStr">
        <is>
          <r>
            <rPr>
              <rFont val="Carlito"/>
              <b val="1"/>
              <sz val="11"/>
            </rPr>
            <t>Partial.</t>
          </r>
          <r>
            <rPr>
              <rFont val="Carlito"/>
              <sz val="11"/>
            </rPr>
            <t xml:space="preserve">
Fixed statewide rates: the school finance levy of 20 mills (renewed by the Legislature every two years; set for 2025-26 and 2026-27) and state building levies of 1 mill (higher education) and 0.5 mill (state institutions). Most local funds carry their own statutory mill limits (for example the school capital outlay levy, 8 mills), but the general county and city levies have no overall rate cap since the tax lid ended, and there is no cap on a property's total bill.
Authority: K.S.A. 72-5142; K.S.A. 76-6b01, 76-6b04.</t>
          </r>
        </is>
      </c>
      <c r="H17" s="4" t="inlineStr">
        <is>
          <r>
            <rPr>
              <rFont val="Carlito"/>
              <b val="1"/>
              <sz val="11"/>
            </rPr>
            <t>Partial.</t>
          </r>
          <r>
            <rPr>
              <rFont val="Carlito"/>
              <sz val="11"/>
            </rPr>
            <t xml:space="preserve">
School districts are subject to the revenue neutral rate process like any other taxing body, and their operating budgets are bounded by the foundation formula and the LOB cap. The 20-mill levy itself is excluded from a district's revenue neutral calculation when it is the only reason revenue rises. School bonds and the capital outlay levy are outside the operating limits.</t>
          </r>
        </is>
      </c>
      <c r="I17" s="4" t="inlineStr">
        <is>
          <r>
            <rPr>
              <rFont val="Carlito"/>
              <b val="1"/>
              <sz val="11"/>
            </rPr>
            <t>Yes.</t>
          </r>
          <r>
            <rPr>
              <rFont val="Carlito"/>
              <sz val="11"/>
            </rPr>
            <t xml:space="preserve">
1) A 20-mill levy on all property for schools (residential property exempt on the first $75,000 of appraised value since 2024). School districts levy it, but every dollar is remitted to the state treasurer and deposited in the State School District Finance Fund, so it works as a state tax that finances the school formula alongside state aid.
2) A 1.5-mill state tax for buildings at state universities (1 mill) and state institutions (0.5 mill), additional to all other levies.
Census FY2022 state property tax revenue: about $842 million.
Authority: K.S.A. 72-5142(c); K.S.A. 76-6b01, 76-6b04; K.S.A. 79-201x.</t>
          </r>
        </is>
      </c>
      <c r="J17" s="4" t="inlineStr">
        <is>
          <r>
            <rPr>
              <rFont val="Carlito"/>
              <b val="1"/>
              <sz val="11"/>
            </rPr>
            <t>Yes.</t>
          </r>
          <r>
            <rPr>
              <rFont val="Carlito"/>
              <sz val="11"/>
            </rPr>
            <t xml:space="preserve">
Exemption from the 20-mill statewide school levy for the first $75,000 of a home's appraised value (2024 special session, SB 1; previously $40,000, and $20,000 before 2022). There is no general exemption from local levies.
Authority: K.S.A. 79-201x.</t>
          </r>
        </is>
      </c>
      <c r="K17" s="4" t="inlineStr">
        <is>
          <r>
            <rPr>
              <rFont val="Carlito"/>
              <b val="1"/>
              <sz val="11"/>
            </rPr>
            <t>Yes.</t>
          </r>
          <r>
            <rPr>
              <rFont val="Carlito"/>
              <sz val="11"/>
            </rPr>
            <t xml:space="preserve">
All are state-funded refunds claimed through the Department of Revenue:
- Homestead Refund: a percentage of property tax paid, up to $700, for owners age 55+, blind or disabled, disabled veterans or with a dependent child; household income $43,389 or less (2025) and home value up to $350,000.
- SAFESR ("Property Tax Relief for Low Income Seniors"): 75% of property tax paid for owners 65+ with household income $25,380 or less.
- Property Tax Relief for Seniors and Disabled Veterans (K-40SVR, 2022): refunds any increase in homestead tax above a base year (2021 or later) for owners 65+ or disabled veterans with household income up to $58,041 (2025); in effect a tax freeze.
Authority: K.S.A. 79-4501 et seq. (Homestead Property Tax Refund Act).</t>
          </r>
        </is>
      </c>
      <c r="L17" s="4" t="inlineStr">
        <is>
          <r>
            <rPr>
              <rFont val="Carlito"/>
              <b val="1"/>
              <sz val="11"/>
            </rPr>
            <t>No.</t>
          </r>
          <r>
            <rPr>
              <rFont val="Carlito"/>
              <sz val="11"/>
            </rPr>
            <t xml:space="preserve">
Kansas makes no current state payment to local governments for property tax revenue lost to exemptions, and the state pays no credit on property tax bills. The Local Ad Valorem Tax Reduction Fund, the state's revenue-sharing program for local property tax reduction, has not been funded since 2003. In 2026 Gov. Kelly's proposal for $60 million to pay counties that kept property taxes low failed on the House floor, and the governor vetoed the Legislature's local property tax limit bill. The state's homestead refunds go to taxpayers and appear under Credits.
Authority: K.S.A. 79-2959 (LAVTRF); K.S.A. 79-4501 et seq. (homestead refund).</t>
          </r>
        </is>
      </c>
      <c r="M17" s="4" t="inlineStr">
        <is>
          <r>
            <rPr>
              <rFont val="Carlito"/>
              <b val="1"/>
              <sz val="11"/>
            </rPr>
            <t>Yes.</t>
          </r>
          <r>
            <rPr>
              <rFont val="Carlito"/>
              <sz val="11"/>
            </rPr>
            <t xml:space="preserve">
Revenue neutral rate (RNR), 2021: by June 15 the county clerk calculates for every taxing body the rate that would raise last year's property tax revenue on this year's total assessed value. New construction is included in the base, so even growth from new buildings requires the process. A body that wants to exceed its RNR must: notify the county clerk by July 20; publish notice at least 10 days before a hearing held between Aug. 20 and Sept. 20; and adopt a resolution by majority vote at that hearing. The county clerk mails every taxpayer a combined notice showing, for each taxing body, the tax at the RNR, the proposed tax and the hearing date. A body that skips the process must refund the excess, the county clerk must cut its levy to the RNR, and taxpayers can complain to the Board of Tax Appeals.
Measured results: in the first year (2021) 52.7% of about 3,700 taxing entities stayed at or below the RNR; in the 2025 cycle 62.4% did, while 37.6% exceeded it and 5.9% raised property tax revenue more than 20% (Kansas Policy Institute analysis of Department of Administration RNR reports).
Authority: K.S.A. 79-2988 (SB 13, 2021, as amended).</t>
          </r>
        </is>
      </c>
      <c r="N17" s="4" t="inlineStr">
        <is>
          <r>
            <rPr>
              <rFont val="Carlito"/>
              <b val="1"/>
              <sz val="11"/>
            </rPr>
            <t>Yes.</t>
          </r>
          <r>
            <rPr>
              <rFont val="Carlito"/>
              <sz val="11"/>
            </rPr>
            <t xml:space="preserve">
The revenue neutral rate functions as a no-new-revenue rate: rising values cannot add revenue unless the governing body holds the hearing and votes to exceed it (see Truth-in-taxation). There is no automatic rollback and no voter approval requirement.
Authority: K.S.A. 79-2988.</t>
          </r>
        </is>
      </c>
      <c r="O17" s="4" t="inlineStr">
        <is>
          <r>
            <rPr>
              <rFont val="Carlito"/>
              <b val="1"/>
              <sz val="11"/>
            </rPr>
            <t>No.</t>
          </r>
          <r>
            <rPr>
              <rFont val="Carlito"/>
              <sz val="11"/>
            </rPr>
            <t xml:space="preserve">
A simple majority of the governing body can exceed the revenue neutral rate. Property tax increases need no voter approval, and no supermajority applies to local tax measures. The vetoed 2026 bills would have let voters block budgets above the cap by petition (5% of registered voters under HB 2745; 10% of voters in the prior election under HB 2043).</t>
          </r>
        </is>
      </c>
      <c r="P17" s="4" t="inlineStr">
        <is>
          <r>
            <rPr>
              <rFont val="Carlito"/>
              <b val="1"/>
              <sz val="11"/>
            </rPr>
            <t>No.</t>
          </r>
          <r>
            <rPr>
              <rFont val="Carlito"/>
              <sz val="11"/>
            </rPr>
            <t xml:space="preserve">
Kansas has no November-only rule for local tax or bond elections; school bond questions are often decided in spring mail-ballot special elections.</t>
          </r>
        </is>
      </c>
      <c r="Q17" s="4" t="inlineStr">
        <is>
          <r>
            <rPr>
              <rFont val="Carlito"/>
              <b val="1"/>
              <sz val="11"/>
            </rPr>
            <t>Yes.</t>
          </r>
          <r>
            <rPr>
              <rFont val="Carlito"/>
              <sz val="11"/>
            </rPr>
            <t xml:space="preserve">
The Constitution requires every tax to be levied under a law that "distinctly state[s] the object of the same; to which object only such tax shall be applied." Local levies are therefore fund-specific (general, road and bridge, library, capital outlay, bond and interest and so on), each authorized by its own statute.
Authority: Kan. Const. art. 11 §5.</t>
          </r>
        </is>
      </c>
      <c r="R17" s="4" t="inlineStr">
        <is>
          <t>105 counties (Census counts 103 county governments; Wyandotte County and Greeley County are consolidated with their cities); 624 cities; 1,267 townships; 286 unified school districts and 19 community colleges (Census counts 306 independent school governments); 1,468 special districts in the Census count, including 675 cemetery districts, 279 rural water districts, 131 drainage districts, 26 library districts and 21 hospital districts, plus fire districts, watershed districts, recreation commissions, airport authorities and others. Census of Governments 2022: 3,768 local governments, among the most of any state.</t>
        </is>
      </c>
      <c r="S17" s="4" t="inlineStr">
        <is>
          <t>Verdict: Partly. Property tax per person rose 24.3% after inflation from FY2002 to FY2024, just below 25.9% for the U.S.
Why it leaks: Kansas has no levy limit. SB 13 (2021) repealed the 2017-2021 tax lid and left the revenue neutral rate process (K.S.A. 79-2988), which offers transparency and accountability, yet a governing body can exceed that rate by simple majority. In 2025, 37.6% of taxing bodies did. Cities and counties face no spending limit, and their general levies carry no rate cap.
How localities get around it: In 2023 Johnson County cut its mill rate from 24.608 to 24.358 against a revenue neutral rate of 22.118, so the advertised cut raised collections. Kansas City, Kansas set 2027 maximum mill levies one mill above current rates, allowing up to $11 million more, then voted to exceed the revenue neutral rate.
Full record:
Truth in taxation offers transparency and accountability, and more taxing bodies now hold to the revenue neutral rate, but homeowner bills have grown faster than the national average (the median bill rose 20.8% after inflation from 2010 to 2024, U.S. +9.3%, American Community Survey) and Kansas has no hard limit.
The record (Census, BEA, ACS): state and local property tax was $2,017 per person in FY2024 (U.S. $2,132), 3.07% of personal income (15th-highest of 50; U.S. 2.89%). After inflation, collections per person (all state and local property tax divided by residents) rose 24.3% from FY2002 to FY2024 (U.S. +25.9%) and fell 0.8% from FY2019 to FY2024 (U.S. -1.1%). The median homeowner paid $2,983 in 2024 (U.S. $3,211); the median bill rose 20.8% after inflation from 2010 to 2024 (U.S. +9.3%). The Tax Foundation's 2026 ranking puts its effective property tax rate on owner-occupied homes at 1.21%, 38th-lowest of 50. By the same measure it was 1.24% in 2010 (U.S. 1.00% in 2010, 0.94% in 2024). The FY2024 Census figure is a sample estimate with a 13% coefficient of variation.
The average homeowner's property tax rose 31% over four years while real per-capita personal income fell 1% (Kansas Policy Institute).
The revenue neutral rate has slowed growth and made increases visible: the share of taxing bodies staying at or below the RNR rose from 52.7% (2021) to 62.4% (2025). But more than a third still exceed it each year, by majority vote, often while advertising a "rate cut."
Example: in August 2023 Johnson County commissioners voted 5-2 to exceed the RNR. The county cut its combined mill rate by a quarter mill (24.608 to 24.358 mills), but the revenue neutral rate was 22.118 mills, so the "cut" still raised property tax collections. A homeowner at the hearing reported a 23% increase in one year. A state senator at the hearing said local governments were "thumbing their noses" at the RNR.
Big cities (2026): Johnson County approved its $1.9 billion 2027 budget 6-1 with a mill levy essentially flat at about 24.12 mills, which raises collections as values rise, after a revenue neutral rate hearing at which about 175 people came out to object; the commission chair said of the state's hearing requirement, "That's not in good faith" (Johnson County Post, Sept. 4, 2026).
Sedgwick County (Wichita): lowered its mill levy for a fourth year but will collect about 4% more on an assessed value increase of about 7%, which still exceeds the revenue neutral rate; the 2027 budget is $624 million (KWCH, Aug. 26, 2026). The City of Wichita held its mill levy flat for 29 years through 2023, so rising values raised its collections without a rate vote (KSN, Aug. 22, 2023).
Kansas City, Kansas: Unified Government commissioners voted 6-3 on July 16, 2026 to set maximum mill levies one mill above current rates (37.219 for the city, 36.704 for Wyandotte County), allowing up to $11 million more in property tax for 2027, and voted Aug. 24 to exceed the revenue neutral rate; the Unified Government collects about $280 million a year in property tax (Hoodline, July 21, 2026; KCTV5, Aug. 25, 2026).
History: Kansas has tried hard caps twice. The 2017-2021 tax lid had about two dozen exemptions (new construction, bonds, special assessments, public safety costs and more) and was repealed in 2021. A tax lid in the 1970s-1990s also lapsed.
Reserves: Kansas counties and the 25 largest cities began 2024 with about $6 billion in cash reserves ($4.2 billion budgeted, $1.8 billion in non-budgeted funds), 73% of a year's spending (Kansas Policy Institute).
Revenue shift: local sales taxes are high (2026 average combined rate 8.69%, 9th in the nation; local rates average 2.19%). Census FY2022: property tax is 74% of local taxes and sales taxes 24%; charges and fees are 39% of local own-source revenue (about 34% nationally). Kansas has no local income tax.
Valuation-driven growth: with annual reappraisal at market value and no assessment cap, rising values do most of the work; county property taxes grew about 7.5% a year in the five years before 2024 (Americans for Prosperity Kansas, citing Department of Revenue data).</t>
        </is>
      </c>
      <c r="T17" s="4" t="inlineStr">
        <is>
          <t>- Kansas Policy Institute, "Cities and counties have more than $6 billion in cash reserves, including $1.8 billion tucked away in non-budgeted funds" (Sept. 23, 2026). Counties and Class A cities held 73% of a year's spending in reserve at the start of 2024, a little more than twice the 36% school-district average, which it ties to excessive property taxation. https://kansaspolicy.org/6-billion-cash-reserves-1-8-billion-non-budgeted/
- Kansas Policy Institute, Dave Trabert, "Examining the issues and options for property tax relief in Kansas" (policy paper, Sept. 1, 2026). Full paper on the forces driving Kansas property tax increases and why none of the limit options became law in 2026; finds Kansas ag land's taxable value rose 89% from 2012 to 2024 while Oklahoma's 5% assessment limit held it to 9%, so Kansas ag property taxes rose 91% against 17% in Oklahoma. Says "the property appraisal and appeal system needs a complete overhaul." https://kansaspolicy.org/examining-issues-options-property-tax-relief/
- Kansas Policy Institute, Dave Trabert, "Options to eliminate property taxes" (July 16, 2026). Weighs replacing $7 billion in statewide property taxes and warns "Simply increasing one tax to offset the reduction or elimination of another has little impact on the overall tax burden"; replacing $2.9 billion in education property taxes (K-12, community colleges and other schools) would push the state sales tax from 6.5% to 11.9%. Recommends consolidating local services first: Kansas has 1,994 cities, counties and townships averaging 1,493 residents, and staffing at the national average would mean about 37,000 fewer local employees and $2.8 billion in savings. https://kansaspolicy.org/options-to-eliminate-property-taxes/
- Kansas Policy Institute, "Affordability issue #1: Property tax increases far exceed most Kansans' change in personal income" (June 22, 2026). Average taxable home value up 40% over four years and the average property tax bill up 31%, while real per-capita income fell 1%; the gap tops 50 points in 15 counties. https://kansaspolicy.org/affordability-issue-property-tax-increases/
- Kansas House Speaker Dan Hawkins (R), via WIBW, "Gov. Kelly vetoes property tax protest bill, Kansas House Speaker responds" (April 27, 2026). Called the vetoed HB 2043, a 3%-or-inflation cap enforced by protest petition, "a straightforward reform that empowered taxpayers by allowing them to push back when property tax collections grow faster than families can afford." https://www.wibw.com/2026/04/27/gov-kelly-vetoes-property-tax-protest-bill-kansas-house-speaker-responds/
- Tax Foundation, Katherine Loughead, "Kansas Property Tax Reform Should Prioritize Neutrality and Minimize Economic Distortions" (March 18, 2026). Argues SCR 1616's 3% assessment limit would open wide gaps between assessed and market value and disadvantage buyers of newer homes; calls HB 2745's 3% levy limit the sounder structure, but more permissive than many states' limits because it exempts schools and a budget over the limit takes effect unless 5% of voters sign a protest petition within 30 days. https://taxfoundation.org/blog/kansas-property-tax-reform/
- Kansas Policy Institute, "National group praises Kansas revenue-neutral system, says more must be done" (Feb. 25, 2026). Reports that ALEC calls the Kansas revenue-neutral truth-in-taxation system "the gold standard of state property tax transparency" and has adopted it as model policy; ALEC president Jonathan Williams says 62% of Kansas taxing authorities did not increase property taxes in 2024 and blames "local government overspending." https://kansaspolicy.org/alec-praises-revenue-neutral-says-more-is-needed/
- Kansas Policy Institute, Dave Trabert, "Revenue-neutral law is helping; additional property tax reform is needed" (Sept. 2, 2025). Nearly two-thirds of taxing entities (62%) held the revenue-neutral rate under the 2021 law, up from more than 50% in its first year, while average appraised home values rose more than 30% in three years; Wyandotte County raised residential property taxes 42% and Linn County 45%. Backs a fixed annual cap on taxable assessed value across real estate classes and lists voter approval at an August election for increases above the lesser of inflation or 4% among options. https://kansaspolicy.org/revenue-neutral-helps-more-tax-reform-needed/
- Americans for Prosperity-Kansas, "Americans for Prosperity-Kansas Issues Statement on School Bond Property Tax Vote" (Feb. 25, 2025). AFP-KS used mail, digital ads and its grassroots base to oppose the Wichita USD 259 school bond, which voters rejected; State Director Elizabeth Patton said families should not face "unaffordable property tax hikes" and called for budget accountability and property tax reform. https://americansforprosperity.org/press-release/americans-for-prosperity-kansas-issues-statement-on-school-bond-property-tax-vote/
Linked list: 9 items on the Analyses sheet (filter State = Kansas); every source URL is linked on the Sources sheet.</t>
        </is>
      </c>
      <c r="U17" s="4" t="inlineStr">
        <is>
          <t>2015: SB 270 created the property tax lid (effective 2017). 2021: SB 13 repealed the lid and created the revenue neutral rate.
2022: residential exemption from the 20-mill levy raised to $40,000; senior and disabled veteran tax-freeze refund (K-40SVR) created.
2024: special session SB 1 raised the residential exemption to $75,000. SB 536 (LAVTRF payments tied to staying at the RNR) did not pass.
2025: SCR 1611, a constitutional cap on valuation increases, fell one vote short in the Senate. A bill to repeal the RNR and pay subsidies for increases at or below inflation (HB 2396) was debated and did not pass.
2026: the valuation-cap amendment failed again in the House (March). Two valuation-limit amendments, SCR 1616 and SCR 1603, passed the Senate with veto-proof majorities but failed in the House; the conference version of SCR 1603 would have let the Legislature set valuation limits for any subclass of property from tax year 2028. Sen. Sub. for HB 2745 (3% cap on property tax revenue growth, with budgets above it blocked if 5% of voters petitioned by Sept. 15) passed 76-45 and 22-18 and was vetoed April 8. A reworked bill, HB 2043, capping city and county spending growth at 3% or inflation (whichever is lower) with a 10%-of-voters petition to block budgets above it, excluding new construction, expiring abatements and bond payments and exempting K-12 schools, passed 87-35 and 27-13 and was vetoed by Gov. Kelly on April 27; no override was possible because the Legislature had adjourned. The governor's alternative (a one-time $250 vehicle tax cut, doubling the $75,000 school levy exemption, and a $60 million county buy-down fund) was not adopted. Gov. Kelly opposed a special session on property tax, citing the election year.
No Kansas property tax measure is on the Nov. 3, 2026 ballot.</t>
        </is>
      </c>
      <c r="V17" s="4" t="inlineStr">
        <is>
          <t>38th (1.21% effective rate; 1.24% in 2010)</t>
        </is>
      </c>
      <c r="W17" s="4" t="inlineStr">
        <is>
          <t>Kansas relies on disclosure: the revenue neutral rate forces a hearing, a mailed notice and a recorded vote before any revenue increase, and it counts new construction. There is no levy cap, assessment cap or local spending cap, and repeated attempts to add one were vetoed or fell short in 2025-2026. Annual market reappraisal does most of the work of raising bills, and more than a third of taxing bodies vote each year to exceed the revenue neutral rate.</t>
        </is>
      </c>
      <c r="X17" s="4" t="inlineStr">
        <is>
          <t>https://www.ksrevisor.gov/statutes/chapters/ch79/079_029_0088.html
https://www.ksrevisor.gov/statutes/chapters/ch72/072_051_0042.html
https://www.ksrevisor.gov/statutes/chapters/ch79/079_002_0001x.html
https://www.ksrevisor.gov/statutes/chapters/ch76/076_006b_0001.html
https://www.ksrevisor.gov/statutes/chapters/ch76/076_006b_0004.html
https://www.ksrevenue.gov/perstaxtypeshs.html
https://kslegislature.gov/li/b2025_26/committees/ctte_s_assess_tax_1/documents/testimony/20250317_28.pdf
https://kansasreflector.com/2026/04/28/kansas-governor-rejects-legislatures-property-tax-bill-as-a-false-promise/
https://www.hppr.org/hppr-news/2026-04-30/gov-laura-kelly-vetoes-kansas-property-tax-relief-plan-as-lawmakers-efforts-falter-again
https://kansasreflector.com/2025/03/26/kansas-senate-falls-one-vote-short-of-approving-constitutional-amendment-on-property-taxes/
https://www.kwch.com/2026/03/13/kansas-house-fails-advance-property-tax-cap-amendment/
https://johnsoncountypost.com/2023/08/25/johnson-county-property-tax-rate-210731/
https://apps.lincolninst.edu/uploads/summary-tables/rate-limits-summary-tables/rate-limits-2022-4.xlsx
https://www2.census.gov/programs-surveys/gov-finances/tables/2022/22slsstab1.xlsx
https://taxfoundation.org/data/all/state/sales-tax-rates/
https://www.kctv5.com/2026/04/10/kansas-governor-vetoes-property-tax-bill-backs-alternative-plan
https://kansaspolicy.org/examining-issues-options-property-tax-relief/
https://kansaspolicy.org/alec-praises-revenue-neutral-says-more-is-needed/
https://johnsoncountypost.com/2026/09/04/johnson-county-2027-budget-295606/
https://www.kwch.com/2026/08/26/sedgwick-countys-budget-approval-includes-lowered-mill-levy-additional-ems-resources/
https://digital-release.ksn.com/news/local/no-property-tax-relief-for-most-with-new-wichita-budget
https://hoodline.com/2026/07/kck-pols-crack-open-door-to-11-million-property-tax-hit/
https://www.kctv5.com/2026/08/25/wyandotte-county-kansas-city-kansas-approve-possibility-property-tax-rate-hike-2027/
https://www.ksnt.com/capitol-bureau/could-kansas-lawmakers-call-a-special-session-to-reverse-property-tax-relief-failures/amp/
https://www.kla.org/news-center/news-releases/news/details/47721/kansas-legislature-wraps-up-2026-session
https://lawrencekstimes.com/2026/04/29/kelly-vetoes-property-tax-bill/
https://www.wibw.com/2026/04/27/gov-kelly-vetoes-property-tax-protest-bill-kansas-house-speaker-responds/
https://americansforprosperity.org/press-release/americans-for-prosperity-kansas-issues-statement-on-school-bond-property-tax-vote/</t>
        </is>
      </c>
    </row>
    <row r="18" ht="409" customHeight="1">
      <c r="A18" s="13" t="inlineStr">
        <is>
          <t>Kentucky</t>
        </is>
      </c>
      <c r="B18" s="4" t="inlineStr">
        <is>
          <r>
            <rPr>
              <rFont val="Carlito"/>
              <b val="1"/>
              <sz val="14"/>
            </rPr>
            <t>C.</t>
          </r>
          <r>
            <rPr>
              <rFont val="Carlito"/>
              <sz val="11"/>
            </rPr>
            <t xml:space="preserve">
Restriction points 8.5 of 18 (levy limit 2; rate cap 2; truth in taxation 2; rollback 1; school districts covered 1; use restrictions 0.5). Deductions: built-in loopholes -2; workarounds in practice -1; state buydowns +0; data record +0. Total 5.5 = C (A 11+, B 8.5-10.9, C 5.5-8.4, D 3-5.4, F under 3).
Why: Built-in loopholes -2: every governing body may take 4% more revenue on existing property each year with no vote, new property is outside the limit, recall needs signatures equal to 10% of presidential-year turnout within 45 days, a rejected rate still falls back to the 4% rate, and schools carry forward unused rate capacity plus Tier I and nickel levies outside recall. Workarounds -1: the largest school systems cut rates while taking more money (Jefferson County Public Schools $36.5 million more for 2025-26; Fayette County schools proposing the 4% rate for 2026), and SB 41 to require a vote died in the House. Buydowns 0: SEEK matching aid rewards higher local levies. Record 0: one of the lowest levels (1.92% of income, 0.71% effective rate) offset by fast growth (30% real per person FY2002-FY2022, U.S. 23.4%; homeowner bills up 18.3% real since 2010, U.S. 9.3%).</t>
          </r>
        </is>
      </c>
      <c r="C18" s="4">
        <f>((LEFT(D18,3)="Yes")+(LEFT(E18,3)="Yes")+(LEFT(F18,3)="Yes")+(LEFT(G18,3)="Yes"))&amp;" of 4 in force"&amp;IF(((LEFT(D18,7)="Partial")+(LEFT(E18,7)="Partial")+(LEFT(F18,7)="Partial")+(LEFT(G18,7)="Partial"))&gt;0," + "&amp;((LEFT(D18,7)="Partial")+(LEFT(E18,7)="Partial")+(LEFT(F18,7)="Partial")+(LEFT(G18,7)="Partial"))&amp;" partial","")&amp;CHAR(10)&amp;CHAR(10)&amp;IF(LEFT(D18,3)="Yes","✓",IF(LEFT(D18,7)="Partial","◐","✗"))&amp;" Spending limit"&amp;CHAR(10)&amp;IF(LEFT(E18,3)="Yes","✓",IF(LEFT(E18,7)="Partial","◐","✗"))&amp;" Levy limit"&amp;CHAR(10)&amp;IF(LEFT(F18,3)="Yes","✓",IF(LEFT(F18,7)="Partial","◐","✗"))&amp;" Assessment cap"&amp;CHAR(10)&amp;IF(LEFT(G18,3)="Yes","✓",IF(LEFT(G18,7)="Partial","◐","✗"))&amp;" Rate cap"</f>
        <v/>
      </c>
      <c r="D18" s="4" t="inlineStr">
        <is>
          <r>
            <rPr>
              <rFont val="Carlito"/>
              <b val="1"/>
              <sz val="11"/>
            </rPr>
            <t>No.</t>
          </r>
          <r>
            <rPr>
              <rFont val="Carlito"/>
              <sz val="11"/>
            </rPr>
            <t xml:space="preserve">
No cap on growth in county, city, school or special district spending. Local units adopt balanced budgets; revenue is restrained only through the property tax rate rules (see levy limit and rate limits).</t>
          </r>
        </is>
      </c>
      <c r="E18" s="4" t="inlineStr">
        <is>
          <r>
            <rPr>
              <rFont val="Carlito"/>
              <b val="1"/>
              <sz val="11"/>
            </rPr>
            <t>Partial.</t>
          </r>
          <r>
            <rPr>
              <rFont val="Carlito"/>
              <sz val="11"/>
            </rPr>
            <t xml:space="preserve">
The "4% rule" (HB 44, 1979 special session): each year every taxing body is told its compensating rate (the rate that raises last year's real property revenue from this year's assessments, excluding new property) and its "4% rate" (the rate that raises 4% more). A governing body may adopt any rate up to its statutory maximum by its own vote. The part of a rate that raises more than 4% above compensating-rate revenue is subject to recall: if voters file a petition with signatures equal to 10% of the votes cast in the last presidential election (for school districts, the lesser of 5,000 voters or 10%) within 45 days, the question goes to the voters. If the voters reject it, the body may still levy the 4% rate "without further approval." Revenue from new property is outside the limit entirely.
School districts face one more ceiling: their general tax rate may not raise more revenue (excluding net assessment growth) than the rate that "could have been levied" the prior year, so unused rate capacity carries forward.
Authority: KRS 132.010 (compensating rate), 132.017 (recall), 132.027 (cities, counties, special districts), 160.470 (school districts).</t>
          </r>
        </is>
      </c>
      <c r="F18" s="4" t="inlineStr">
        <is>
          <r>
            <rPr>
              <rFont val="Carlito"/>
              <b val="1"/>
              <sz val="11"/>
            </rPr>
            <t>No.</t>
          </r>
          <r>
            <rPr>
              <rFont val="Carlito"/>
              <sz val="11"/>
            </rPr>
            <t xml:space="preserve">
No cap on annual growth in a property's assessed value. Property valuation administrators assess at fair cash value; growth in value raises revenue only within the 4% rule above. A 2026 proposal (SB 51) for a constitutional amendment freezing taxable value for homeowners 65+ did not reach the ballot.
Authority: Ky. Const. §172 (fair cash value).</t>
          </r>
        </is>
      </c>
      <c r="G18" s="4" t="inlineStr">
        <is>
          <r>
            <rPr>
              <rFont val="Carlito"/>
              <b val="1"/>
              <sz val="11"/>
            </rPr>
            <t>Yes.</t>
          </r>
          <r>
            <rPr>
              <rFont val="Carlito"/>
              <sz val="11"/>
            </rPr>
            <t xml:space="preserve">
1) Constitutional maximums per $100 of assessed value: cities of 15,000+ residents $1.50; cities of 10,000-15,000 $1.00; smaller cities $0.75; counties $0.50 (with voter-approved additions for roads and some other purposes). School districts were given a statutory limit in 1946.
2) The state real property rate must be rolled back each year so state real property revenue grows no more than 4%: 10.9 cents per $100 in 2024, 10.6 cents in 2025 and 10.3 cents in 2026 (the sixth straight annual cut, with 2026 assessments up an estimated 6.48%).
3) School districts must levy at least a 30-cent equivalent rate (a floor, since 1990).
Authority: Ky. Const. §157; KRS 132.020; KRS 160.470(9).</t>
          </r>
        </is>
      </c>
      <c r="H18" s="4" t="inlineStr">
        <is>
          <r>
            <rPr>
              <rFont val="Carlito"/>
              <b val="1"/>
              <sz val="11"/>
            </rPr>
            <t>Yes.</t>
          </r>
          <r>
            <rPr>
              <rFont val="Carlito"/>
              <sz val="11"/>
            </rPr>
            <t xml:space="preserve">
School general tax rates are bound by the compensating rate, the 4% recall rule and the prior-year rate ceiling. Exceptions sit outside the recall: the "Tier I" equalization levy and facility "nickel" levies for buildings (both partly matched by state equalization aid), and the 30-cent minimum rate. School districts can also tax utility bills through a utility gross receipts license tax of up to 3%, which is outside the property tax rules.
Authority: KRS 160.470; 157.440; 157.621; 160.613.</t>
          </r>
        </is>
      </c>
      <c r="I18" s="4" t="inlineStr">
        <is>
          <r>
            <rPr>
              <rFont val="Carlito"/>
              <b val="1"/>
              <sz val="11"/>
            </rPr>
            <t>Yes.</t>
          </r>
          <r>
            <rPr>
              <rFont val="Carlito"/>
              <sz val="11"/>
            </rPr>
            <t xml:space="preserve">
An additional state tax that funds state government and does not replace local levies: a state real property tax of 10.3 cents per $100 (2026), plus state rates on tangible personal property and other classes. The real property rate is automatically lowered each year to hold growth to 4%. Census FY2022 state property tax revenue: about $725 million.
Authority: KRS 132.020.</t>
          </r>
        </is>
      </c>
      <c r="J18" s="4" t="inlineStr">
        <is>
          <r>
            <rPr>
              <rFont val="Carlito"/>
              <b val="1"/>
              <sz val="11"/>
            </rPr>
            <t>Yes.</t>
          </r>
          <r>
            <rPr>
              <rFont val="Carlito"/>
              <sz val="11"/>
            </rPr>
            <t xml:space="preserve">
Owners 65+ or totally disabled are exempt on the first $49,100 of assessed value (2025-2026), from state and local taxes. The amount is adjusted every two years for inflation (it was $46,350 in 2023-2024). In 2023 the exemption saved about $293 million for more than 474,000 owners. There is no general homestead exemption for owners under 65.
Authority: Ky. Const. §170; KRS 132.810.</t>
          </r>
        </is>
      </c>
      <c r="K18" s="4" t="inlineStr">
        <is>
          <r>
            <rPr>
              <rFont val="Carlito"/>
              <b val="1"/>
              <sz val="11"/>
            </rPr>
            <t>No.</t>
          </r>
          <r>
            <rPr>
              <rFont val="Carlito"/>
              <sz val="11"/>
            </rPr>
            <t xml:space="preserve">
No state circuit breaker, renter credit or property tax rebate. Relief comes through the senior/disability homestead exemption.</t>
          </r>
        </is>
      </c>
      <c r="L18" s="4" t="inlineStr">
        <is>
          <r>
            <rPr>
              <rFont val="Carlito"/>
              <b val="1"/>
              <sz val="11"/>
            </rPr>
            <t>No.</t>
          </r>
          <r>
            <rPr>
              <rFont val="Carlito"/>
              <sz val="11"/>
            </rPr>
            <t xml:space="preserve">
Kentucky has no state program that reimburses local governments for property tax exemptions or pays part of local property tax bills. School equalization aid (SEEK) does not count: the state matches part of the Tier I and facility levies that districts adopt, so higher local levies attract more state money. The state income tax credit for local property tax paid on inventory is nonrefundable and has no carryforward, so it does not cover the tax on that class of property and appears under Credits.
Authority: KRS 157.440; KRS 157.621; KRS 141.408.</t>
          </r>
        </is>
      </c>
      <c r="M18" s="4" t="inlineStr">
        <is>
          <r>
            <rPr>
              <rFont val="Carlito"/>
              <b val="1"/>
              <sz val="11"/>
            </rPr>
            <t>Yes.</t>
          </r>
          <r>
            <rPr>
              <rFont val="Carlito"/>
              <sz val="11"/>
            </rPr>
            <t xml:space="preserve">
A taxing body that proposes a rate above its compensating rate must advertise the compensating rate, the proposed rate, the revenue from each and the planned use of new revenue, and hold a public hearing before adopting it. If the adopted rate exceeds the 4% rate, it must publish within 7 days (for school boards, a display ad of at least 12 column inches) that the excess is subject to recall, with the county clerk's contact information for petitions. Kentucky's law dates to 1979.
Authority: KRS 132.027; KRS 160.470(7)-(8).</t>
          </r>
        </is>
      </c>
      <c r="N18" s="4" t="inlineStr">
        <is>
          <r>
            <rPr>
              <rFont val="Carlito"/>
              <b val="1"/>
              <sz val="11"/>
            </rPr>
            <t>Yes.</t>
          </r>
          <r>
            <rPr>
              <rFont val="Carlito"/>
              <sz val="11"/>
            </rPr>
            <t xml:space="preserve">
The compensating rate is certified for every taxing body each year. The state's own real property rate is rolled back automatically to hold revenue growth to 4%. Local bodies may exceed the compensating rate after advertising and a hearing, and the portion above 4% can be recalled by voters.
Authority: KRS 132.010; 132.020; 132.027; 160.470.</t>
          </r>
        </is>
      </c>
      <c r="O18" s="4" t="inlineStr">
        <is>
          <r>
            <rPr>
              <rFont val="Carlito"/>
              <b val="1"/>
              <sz val="11"/>
            </rPr>
            <t>No.</t>
          </r>
          <r>
            <rPr>
              <rFont val="Carlito"/>
              <sz val="11"/>
            </rPr>
            <t xml:space="preserve">
Recall questions are decided by simple majority, and governing bodies adopt rates by simple majority.</t>
          </r>
        </is>
      </c>
      <c r="P18" s="4" t="inlineStr">
        <is>
          <r>
            <rPr>
              <rFont val="Carlito"/>
              <b val="1"/>
              <sz val="11"/>
            </rPr>
            <t>No.</t>
          </r>
          <r>
            <rPr>
              <rFont val="Carlito"/>
              <sz val="11"/>
            </rPr>
            <t xml:space="preserve">
A recall question on a city, county or special district rate goes on the next regular election ballot (Kentucky holds regular elections in May and November). A school board may instead call a special election 35 to 45 days after the petition is certified.
Authority: KRS 132.017.</t>
          </r>
        </is>
      </c>
      <c r="Q18" s="4" t="inlineStr">
        <is>
          <r>
            <rPr>
              <rFont val="Carlito"/>
              <b val="1"/>
              <sz val="11"/>
            </rPr>
            <t>Yes.</t>
          </r>
          <r>
            <rPr>
              <rFont val="Carlito"/>
              <sz val="11"/>
            </rPr>
            <t xml:space="preserve">
The Constitution requires every tax law to "specify distinctly the purpose for which said tax is levied," and "no tax levied and collected for one purpose shall ever be devoted to another purpose." Local levies are therefore purpose-specific (general fund, roads, schools, library, health, extension and fire districts and others).
Authority: Ky. Const. §180.</t>
          </r>
        </is>
      </c>
      <c r="R18" s="4" t="inlineStr">
        <is>
          <t>120 counties (Census counts 118 county governments; Louisville-Jefferson County and Lexington-Fayette are merged governments); 417 cities; 171 school districts; 601 special districts in the Census count, including 144 fire protection districts, 108 library districts, 109 water districts, 44 health departments, 120 soil and water conservation districts and 8 hospital districts, plus extension, ambulance and other taxing districts. Census of Governments 2022: 1,307 local governments.</t>
        </is>
      </c>
      <c r="S18" s="4" t="inlineStr">
        <is>
          <t>Verdict: Failed. Property tax per person rose 32.6% after inflation from FY2002 to FY2024, against 25.9% for the U.S.
Why it leaks: The 4% rule (HB 44, 1979) lets a governing body take 4% more revenue from existing property by its own vote, and new property's revenue sits outside it. Voters can recall only the part above 4%, by petition of 10% of presidential turnout. Schools carry forward unused rate capacity and add Tier I and facility levies outside the recall, partly matched by state aid. Kentucky has no local spending limit.
How localities get around it: Lexington's Fayette County school staff recommended the "4 percent increase tax rate" for 2026, the most allowed without a recall vote. Louisville's Jefferson County Public Schools lowered its rate to 71.7 cents for 2025-26 and still brings in $36.5 million more a year.
Full record:
The level stays low, but growth has run above the national pace.
The record (Census, BEA, ACS): state and local property tax was $1,118 per person in FY2024 (U.S. $2,132), 1.92% of personal income (43rd-highest of 50; U.S. 2.89%). After inflation, collections per person (all state and local property tax divided by residents) rose 32.6% from FY2002 to FY2024 (U.S. +25.9%) and rose 2.4% from FY2019 to FY2024 (U.S. -1.1%). The median homeowner paid $1,611 in 2024 (U.S. $3,211); the median bill rose 18.3% after inflation from 2010 to 2024 (U.S. +9.3%). The Tax Foundation's 2026 ranking puts its effective property tax rate on owner-occupied homes at 0.74%, 20th-lowest of 50. By the same measure it was 0.73% in 2010 (U.S. 1.00% in 2010, 0.94% in 2024).
Local governments lean on occupational license taxes (see Revenue shift), which keeps the property tax share low.
The 4% rule has kept state real property rates falling for six straight years, but locally it has become an annual default: a governing body can take 4% revenue growth on existing property every year with no vote of the people, plus all revenue from new property, and voters can block only the part above 4%. Recall requires signatures equal to 10% of presidential-year turnout within 45 days, a high bar, and a failed levy still falls back to the 4% rate. A 2026 bill (SB 41) would have sent every rate above the 4% level straight to the ballot with no petition; it passed the Senate 26-9 and died in the House.
School districts can carry forward unused rate capacity and add Tier I and facility levies outside the recall, with state matching aid.
Lexington: the Fayette County school administration recommended the "4 percent increase tax rate," the most a school board can levy without a recall vote, for 2026; the compensating rate was 76.7 cents per $100 on real property against a current 79.8 cents, so the board could cut its rate and still take 4% more on existing property (the compensating rate alone raises about $348.4 million) (WKYT, Aug. 14, 2026).
Louisville: the Jefferson County Public Schools board lowered its rate to 71.7 cents per $100 for 2025-26, a change that with higher assessments brings in $36.5 million more a year (WAVE, Aug. 20, 2025).
Revenue shift: Kentucky localities lean on taxes other than property tax. Property tax is only 55% of local tax revenue (Census FY2022), well below the national share of about 70%; local income taxes (occupational license taxes on wages and net profits) supply 30% and other taxes most of the rest, including school utility gross receipts taxes of up to 3% on utility bills and local insurance premium taxes. Fees and charges are 31% of local own-source revenue.</t>
        </is>
      </c>
      <c r="T18" s="4" t="inlineStr">
        <is>
          <t>- Bluegrass Institute, Levi Anderson and Caleb O. Brown, "KY's flawed property tax system allows silent increases" (January 26, 2026). Rising assessments (at least 30% in reassessed Louisville neighborhoods; six straight years above 5% in Daviess County) let taxing bodies collect more without raising rates, as in Shelby County, and state law lets local governments raise revenue up to 4% a year without voter involvement, which compounds to a nearly 22% hike over five years. Urges Utah-style truth in taxation, where a certified rate holds revenue flat and any increase comes only after public notice, and asks lawmakers to eliminate the automatic 4% allowance. https://www.bluegrassinstitute.org/kys-flawed-property-tax-system-allows-silent-increases/
- Kentucky Senate Majority (Republican) Communications, "Boswell bill strengthening taxpayer protections passes Senate" (March 11, 2026). SB 41 by Sen. Gary Boswell would put most local tax increases above 4% over compensating-rate revenue to a recall vote, with the lower compensating rate taking effect automatically if voters reject the increase; Boswell: "Taxpayers deserve a meaningful voice when government proposes significant increases in property taxes." https://kysenaterepublicans.com/press-releases/2026/4/8/boswell-bill-strengthening-taxpayer-protections-passes-senate
- Tax Foundation, "Aligning Kentucky's Tax Code for Growth" (November 30, 2021). Finds Kentucky's real property tax collections modest "due in large part to rate and levy limits that have been in place for decades," while taxes on inventory, machinery and equipment add complexity and distortion. Recommends repealing the inventory tax, a de minimis exemption for tangible personal property and replacing the local recall provision with voter ratification of increases above the cap. https://taxfoundation.org/research/all/state/kentucky-tax-reform/
- KYFREE (State Policy Network associate): no property tax report since 2021 was found.
Linked list: 3 items on the Analyses sheet (filter State = Kentucky); every source URL is linked on the Sources sheet.</t>
        </is>
      </c>
      <c r="U18" s="4" t="inlineStr">
        <is>
          <t>1979: HB 44 (special session) created the compensating rate and 4% recall framework.
1990: the Kentucky Education Reform Act added the 30-cent minimum school rate and Tier I equalization.
2026: SB 41 (automatic vote on any rate above the 4% level) passed the Senate 26-9 on March 9 and died in the House. SB 51 (constitutional amendment freezing taxable value for homeowners 65+) did not reach the ballot.
2026: HB 233 (constitutional amendment to expand reassessment moratoriums under Section 172B) died in House committee.
No Kentucky property tax measure is on the Nov. 3, 2026 ballot; the only statewide question, Amendment 1, limits the governor's pardon power near elections.</t>
        </is>
      </c>
      <c r="V18" s="4" t="inlineStr">
        <is>
          <t>20th (0.74% effective rate; 0.73% in 2010)</t>
        </is>
      </c>
      <c r="W18" s="4" t="inlineStr">
        <is>
          <t>Kentucky's system is a soft levy limit: 4% annual revenue growth on existing property with no vote, more only if no one gathers enough signatures, and new property untouched. It sits alongside constitutional rate caps, an automatic rollback of the state rate and a senior/disability homestead exemption. Local governments raise far more from wage and other non-property taxes than most states.</t>
        </is>
      </c>
      <c r="X18" s="4" t="inlineStr">
        <is>
          <t>https://apps.legislature.ky.gov/law/Statutes/statute.aspx?id=57653
https://law.justia.com/codes/kentucky/chapter-132/section-132-017/
https://revenue.ky.gov/Property/Pages/2025-State-Real-Property-Tax-Rate-Drops-to-10.6-cents.aspx
https://www.wbko.com/2026/07/16/state-real-property-tax-rate-drops-6th-consecutive-year/
https://revenue.ky.gov/News/Pages/DOR-Sets-2025-2026-Homestead-Exemption.aspx
https://apps.legislature.ky.gov/record/26rs/sb41.html
https://apps.legislature.ky.gov/recorddocuments/note/26RS/sb41/LM.pdf
https://apps.legislature.ky.gov/recorddocuments/note/26RS/sb51/FN.pdf
https://apps.lincolninst.edu/uploads/summary-tables/rate-limits-summary-tables/rate-limits-2022-4.xlsx
https://www.lincolninst.edu/app/uploads/2024/10/truth_in_taxation_2024.xlsx
https://www2.census.gov/programs-surveys/gov-finances/tables/2022/22slsstab1.xlsx
https://www.bluegrassinstitute.org/kys-flawed-property-tax-system-allows-silent-increases/
https://www.wkyt.com/2026/08/14/fayette-county-board-education-consider-tax-rate-drop-that-still-boosts-total-revenue/
https://www.wave3.com/2025/08/20/jcps-board-approves-lower-property-tax-rate
https://kysenaterepublicans.com/press-releases/2026/4/8/boswell-bill-strengthening-taxpayer-protections-passes-senate
https://apps.legislature.ky.gov/record/26rs/hb233.html
https://www.fox19.com/2026/10/07/election-2026-explaining-kentucky-indianas-ballot-measures/</t>
        </is>
      </c>
    </row>
    <row r="19" ht="409" customHeight="1">
      <c r="A19" s="13" t="inlineStr">
        <is>
          <t>Louisiana</t>
        </is>
      </c>
      <c r="B19" s="4" t="inlineStr">
        <is>
          <r>
            <rPr>
              <rFont val="Carlito"/>
              <b val="1"/>
              <sz val="14"/>
            </rPr>
            <t>C.</t>
          </r>
          <r>
            <rPr>
              <rFont val="Carlito"/>
              <sz val="11"/>
            </rPr>
            <t xml:space="preserve">
Restriction points 9.5 of 18 (levy limit 2; assessment cap 1; rate cap 2; truth in taxation 1; rollback 1; supermajority 1; school districts covered 1; use restrictions 0.5). Deductions: built-in loopholes -1.5; workarounds in practice -1.5; state buydowns +0; data record -1. Total 5.5 = C (A 11+, B 8.5-10.9, C 5.5-8.4, D 3-5.4, F under 3).
Why: Built-in loopholes -1.5: a two-thirds vote of the governing body can roll millage forward to the prior maximum with no vote of the people, new property and newly voted millage sit outside the rollback, and ITEP exemptions are granted by a state board and one consolidated parish vote; pending Amendment 2 would preserve unused millage for later. Workarounds -1.5: millage stacking (parishwide rates averaging about 112 mills), renewals that return until they pass (East Baton Rouge library, about $60 million a year, June 2026), New Orleans' 2019 roll-forward push (nearly $100 million), more than $20 billion in ITEP breaks and the nation's highest combined sales tax rate. Buydowns 0 pending a cost figure: the inventory tax credit refunds local business property taxes from the state treasury (subsidies coded Yes); if its annual cost is at least $275 million (5% of $5.50 billion FY2024 collections) the coordinator should apply -1.5. Record -1: a low level (1.95% of income, 0.53% effective rate) but the fastest real homeowner bill growth in the nation since 2010 (38.7%, U.S. 9.3%) and real per-person growth of 47.6% FY2002-FY2022 (U.S. 23.4%).</t>
          </r>
        </is>
      </c>
      <c r="C19" s="4">
        <f>((LEFT(D19,3)="Yes")+(LEFT(E19,3)="Yes")+(LEFT(F19,3)="Yes")+(LEFT(G19,3)="Yes"))&amp;" of 4 in force"&amp;IF(((LEFT(D19,7)="Partial")+(LEFT(E19,7)="Partial")+(LEFT(F19,7)="Partial")+(LEFT(G19,7)="Partial"))&gt;0," + "&amp;((LEFT(D19,7)="Partial")+(LEFT(E19,7)="Partial")+(LEFT(F19,7)="Partial")+(LEFT(G19,7)="Partial"))&amp;" partial","")&amp;CHAR(10)&amp;CHAR(10)&amp;IF(LEFT(D19,3)="Yes","✓",IF(LEFT(D19,7)="Partial","◐","✗"))&amp;" Spending limit"&amp;CHAR(10)&amp;IF(LEFT(E19,3)="Yes","✓",IF(LEFT(E19,7)="Partial","◐","✗"))&amp;" Levy limit"&amp;CHAR(10)&amp;IF(LEFT(F19,3)="Yes","✓",IF(LEFT(F19,7)="Partial","◐","✗"))&amp;" Assessment cap"&amp;CHAR(10)&amp;IF(LEFT(G19,3)="Yes","✓",IF(LEFT(G19,7)="Partial","◐","✗"))&amp;" Rate cap"</f>
        <v/>
      </c>
      <c r="D19" s="4" t="inlineStr">
        <is>
          <r>
            <rPr>
              <rFont val="Carlito"/>
              <b val="1"/>
              <sz val="11"/>
            </rPr>
            <t>No.</t>
          </r>
          <r>
            <rPr>
              <rFont val="Carlito"/>
              <sz val="11"/>
            </rPr>
            <t xml:space="preserve">
No cap on growth in parish, municipal, school board or special district spending. The checks are on millage: constitutional rate limits, voter approval for special millages, and the reassessment rollback (see levy limit and rate limits).</t>
          </r>
        </is>
      </c>
      <c r="E19" s="4" t="inlineStr">
        <is>
          <r>
            <rPr>
              <rFont val="Carlito"/>
              <b val="1"/>
              <sz val="11"/>
            </rPr>
            <t>Partial.</t>
          </r>
          <r>
            <rPr>
              <rFont val="Carlito"/>
              <sz val="11"/>
            </rPr>
            <t xml:space="preserve">
Reassessment rollback (1974 Constitution; the "roll-up/roll-back" rule): after each reappraisal, every taxing body must adjust its millage so that the reappraisal, or a change in the homestead exemption, raises no more total revenue than the year before. New property on the rolls and newly voted millage are not affected. A body may then "roll forward" toward the prior year's maximum authorized millage without voter approval: an elected governing body needs a two-thirds vote of its total membership at a public hearing; an appointed board may roll forward only enough to raise collections 2.5%. Taxes for general obligation bonds are excluded from the adjustment.
Authority: La. Const. art. VII §23; La. R.S. 47:1705.</t>
          </r>
        </is>
      </c>
      <c r="F19" s="4" t="inlineStr">
        <is>
          <r>
            <rPr>
              <rFont val="Carlito"/>
              <b val="1"/>
              <sz val="11"/>
            </rPr>
            <t>Partial.</t>
          </r>
          <r>
            <rPr>
              <rFont val="Carlito"/>
              <sz val="11"/>
            </rPr>
            <t xml:space="preserve">
No annual cap on assessed value. Property is reappraised at least every four years at fair market value and assessed at fixed ratios: 10% for land and residential improvements, 15% for most other property, 25% for public service property (agricultural, marsh and timber land at 10% of use value).
Two limits apply to homes:
- Phase-in (2018 Amendment 6): when reappraisal raises a residential property's assessed value by more than 50%, the increase is phased in over four years, with no further reappraisal during the phase-in. The taxing body absorbs the lost revenue. The phase-in ends on sale, and increases from construction or improvements are excluded.
- Special assessment level (freeze): the assessed value of a homestead is frozen for owners 65+, permanently disabled owners, veterans with a 50%+ service-connected disability and certain surviving spouses, subject to an income limit (currently $100,000; a Nov. 2026 amendment would raise it to $150,000). Improvements raising value 25% or more reset it.
Authority: La. Const. art. VII §18 (incl. §18(F) four-year reappraisal and §18(G) freeze).</t>
          </r>
        </is>
      </c>
      <c r="G19" s="4" t="inlineStr">
        <is>
          <r>
            <rPr>
              <rFont val="Carlito"/>
              <b val="1"/>
              <sz val="11"/>
            </rPr>
            <t>Yes.</t>
          </r>
          <r>
            <rPr>
              <rFont val="Carlito"/>
              <sz val="11"/>
            </rPr>
            <t xml:space="preserve">
Constitutional maximums without a vote: parish general alimony tax 4 mills (lower inside municipalities; 5 in Jackson Parish and 7 in Orleans, plus up to 10 mills for police and fire there); municipal general alimony tax 7 mills (not New Orleans); school board maintenance tax 5 mills (13 in Orleans); pre-2006 levee districts 5 mills. Everything else is a special millage that voters must approve for a set term, usually up to 10 years (school taxes up to 70 mills above the maintenance tax, for 10 years or 20 for capital upkeep). Those voted millages pile up: the statewide average parishwide rate was about 112 mills in 2022.
Authority: La. Const. art. VI §§26, 27, 39; art. VIII §13(C); La. R.S. 39:812.</t>
          </r>
        </is>
      </c>
      <c r="H19" s="4" t="inlineStr">
        <is>
          <r>
            <rPr>
              <rFont val="Carlito"/>
              <b val="1"/>
              <sz val="11"/>
            </rPr>
            <t>Yes.</t>
          </r>
          <r>
            <rPr>
              <rFont val="Carlito"/>
              <sz val="11"/>
            </rPr>
            <t xml:space="preserve">
School board millage is subject to the reassessment rollback and the 2/3 roll-forward rule. Beyond the 5-mill constitutional maintenance tax, every school millage must be approved by voters for a limited term, and renewals return to the ballot.</t>
          </r>
        </is>
      </c>
      <c r="I19" s="4" t="inlineStr">
        <is>
          <r>
            <rPr>
              <rFont val="Carlito"/>
              <b val="1"/>
              <sz val="11"/>
            </rPr>
            <t>No.</t>
          </r>
          <r>
            <rPr>
              <rFont val="Carlito"/>
              <sz val="11"/>
            </rPr>
            <t xml:space="preserve">
The Constitution prohibits state property taxation. Property taxes go to parishes, municipalities, school boards, sheriffs, assessors and special districts.
Authority: La. Const. art. VII §19.</t>
          </r>
        </is>
      </c>
      <c r="J19" s="4" t="inlineStr">
        <is>
          <r>
            <rPr>
              <rFont val="Carlito"/>
              <b val="1"/>
              <sz val="11"/>
            </rPr>
            <t>Yes.</t>
          </r>
          <r>
            <rPr>
              <rFont val="Carlito"/>
              <sz val="11"/>
            </rPr>
            <t xml:space="preserve">
$7,500 of assessed value (equal to $75,000 of market value at the 10% ratio) is exempt from parish, school and special district taxes. It does not apply to municipal taxes, except in Orleans Parish, where it covers general city taxes. Additional exemptions apply for some disabled veterans and surviving spouses of first responders and service members killed in the line of duty. Nov. 2026 amendments would let parishes and municipalities offer, only after a local vote, an additional exemption for freeze-eligible owners 65+ rising with age from $6,000 to $30,000 of assessed value (Amendment 6, Act 274 of 2026, from 2028), and let disabled veterans' surviving spouses keep their exemption when they move (Amendment 1).
Authority: La. Const. art. VII §§20, 21.</t>
          </r>
        </is>
      </c>
      <c r="K19" s="4" t="inlineStr">
        <is>
          <r>
            <rPr>
              <rFont val="Carlito"/>
              <b val="1"/>
              <sz val="11"/>
            </rPr>
            <t>Partial.</t>
          </r>
          <r>
            <rPr>
              <rFont val="Carlito"/>
              <sz val="11"/>
            </rPr>
            <t xml:space="preserve">
Inventory tax credit: businesses receive a credit against state income tax for local property taxes paid on inventory, historically refundable, so the state pays a large share of local inventory taxes. For taxes paid on or after July 1, 2026, C corporations, estates and trusts may no longer earn it (credits from Jan. 1, 2025 to June 30, 2026 are nonrefundable with a 10-year carryforward); S corporations and other pass-throughs remain eligible.
No circuit breaker or rebate for homeowners; home relief comes through the exemption and the freeze.
Authority: La. R.S. 47:6006 (as amended 2024-2025).</t>
          </r>
        </is>
      </c>
      <c r="L19" s="4" t="inlineStr">
        <is>
          <r>
            <rPr>
              <rFont val="Carlito"/>
              <b val="1"/>
              <sz val="11"/>
            </rPr>
            <t>Yes.</t>
          </r>
          <r>
            <rPr>
              <rFont val="Carlito"/>
              <sz val="11"/>
            </rPr>
            <t xml:space="preserve">
The constitution sets aside $90 million a year from the state general fund for the Revenue Sharing Fund, and the money goes first to offset local tax losses from the homestead exemption. Parish tax collectors pay each tax recipient body its homestead exemption loss on millages authorized before 1978 (capped in some parishes at 1977 levels adjusted for homestead counts) before distributing any remainder. HB 314 of 2026 (Act 905) provides the full $90 million for FY2026-27. The refundable income tax credit for local inventory taxes now covers only part of that class: C-corporations cannot earn it on taxes paid on or after July 1, 2026, and refunds are limited for larger payers and manufacturers.
Authority: La. Const. art. VII, §26; HB 314 (2026 R.S., Act 905); La. R.S. 47:6006.</t>
          </r>
        </is>
      </c>
      <c r="M19" s="4" t="inlineStr">
        <is>
          <r>
            <rPr>
              <rFont val="Carlito"/>
              <b val="1"/>
              <sz val="11"/>
            </rPr>
            <t>Partial.</t>
          </r>
          <r>
            <rPr>
              <rFont val="Carlito"/>
              <sz val="11"/>
            </rPr>
            <t xml:space="preserve">
Before any roll-forward above the adjusted millage, a taxing body must publish notice twice, at least 30 days before the hearing, in its official journal (and online), stating that it will consider increasing millage without a vote of the people, with estimates of the revenue the increase would raise and how much of the change in taxes it causes. Notice is required only for roll-forwards. Revenue growth from new property and from voted millage triggers no notice.
Authority: La. R.S. 47:1705(B)(2)(c).</t>
          </r>
        </is>
      </c>
      <c r="N19" s="4" t="inlineStr">
        <is>
          <r>
            <rPr>
              <rFont val="Carlito"/>
              <b val="1"/>
              <sz val="11"/>
            </rPr>
            <t>Yes.</t>
          </r>
          <r>
            <rPr>
              <rFont val="Carlito"/>
              <sz val="11"/>
            </rPr>
            <t xml:space="preserve">
Millage rollback after every reappraisal is mandatory (see levy limit). Rolling forward requires a 2/3 vote of an elected governing body at a public hearing, and appointed boards may recover only a 2.5% increase.
Authority: La. Const. art. VII §23(B)-(C); La. R.S. 47:1705.</t>
          </r>
        </is>
      </c>
      <c r="O19" s="4" t="inlineStr">
        <is>
          <r>
            <rPr>
              <rFont val="Carlito"/>
              <b val="1"/>
              <sz val="11"/>
            </rPr>
            <t>Yes.</t>
          </r>
          <r>
            <rPr>
              <rFont val="Carlito"/>
              <sz val="11"/>
            </rPr>
            <t xml:space="preserve">
Governing bodies: a two-thirds vote of the total membership is required to roll millage forward after reassessment. Voters: new and renewed special millages and all local sales taxes pass by simple majority.
Authority: La. Const. art. VII §23(C); La. R.S. 47:1705(B)(1).</t>
          </r>
        </is>
      </c>
      <c r="P19" s="4" t="inlineStr">
        <is>
          <r>
            <rPr>
              <rFont val="Carlito"/>
              <b val="1"/>
              <sz val="11"/>
            </rPr>
            <t>No.</t>
          </r>
          <r>
            <rPr>
              <rFont val="Carlito"/>
              <sz val="11"/>
            </rPr>
            <t xml:space="preserve">
Local millage and sales tax propositions may go on the spring or fall election dates set in the election code; many renewals appear on spring ballots.</t>
          </r>
        </is>
      </c>
      <c r="Q19" s="4" t="inlineStr">
        <is>
          <r>
            <rPr>
              <rFont val="Carlito"/>
              <b val="1"/>
              <sz val="11"/>
            </rPr>
            <t>Yes.</t>
          </r>
          <r>
            <rPr>
              <rFont val="Carlito"/>
              <sz val="11"/>
            </rPr>
            <t xml:space="preserve">
Beyond the small general alimony taxes, nearly every Louisiana millage is a special tax voted for a stated purpose and term (schools, roads, drainage, fire, libraries, hospitals, sheriffs, levees), and its proceeds may be used only for that purpose.
Authority: La. Const. art. VI §§26-27; art. VIII §13(C); La. R.S. 39:812.</t>
          </r>
        </is>
      </c>
      <c r="R19" s="4" t="inlineStr">
        <is>
          <t>64 parishes (Census counts 60 parish governments; Orleans, East Baton Rouge, Lafayette and Terrebonne are consolidated with their cities); 304 municipalities; 69 school boards (parish and city systems); sheriffs (who levy law enforcement millage) and assessors; levee and drainage districts; fire, hospital, library, recreation, road and port districts. Census of Governments 2022: 534 local governments, including 101 special districts (many other taxing districts are counted as parts of parish governments).</t>
        </is>
      </c>
      <c r="S19" s="4" t="inlineStr">
        <is>
          <t>Verdict: Failed. Property tax per person rose 58.4% after inflation from FY2002 to FY2024, against 25.9% for the U.S.
Why it leaks: The reassessment rollback (La. Const. art. VII §23) leaves out new property and newly voted millage, and a two-thirds vote of a governing body can roll millage forward to the prior year's maximum with no vote of the people. Special millages pass by simple majority. Louisiana has no local spending limit. The state's inventory tax credit, which refunds local inventory taxes, counts against it.
How localities get around it: After the 2019 reassessment, the Cantrell administration in New Orleans pushed a roll-forward worth nearly $100 million to agencies; task force notes said it "screws people over" but is "good for budget." East Baton Rouge Parish's library millage failed in 2025, came back and passed on June 27, 2026.
Full record:
Has it worked? On the level, yes; on growth, no. The $75,000 homestead exemption, the 10% residential ratio, the reassessment rollback and voter-approved, time-limited millages keep homestead taxes low (Tax Foundation ranks Louisiana's property tax 22nd), but roll-forwards and new millages keep pushing bills up.
The record (Census, BEA, ACS): state and local property tax was $1,191 per person in FY2024 (U.S. $2,132), 1.95% of personal income (41st-highest of 50; U.S. 2.89%). After inflation, collections per person (all state and local property tax divided by residents) rose 58.4% from FY2002 to FY2024 (U.S. +25.9%) and rose 6.2% from FY2019 to FY2024 (U.S. -1.1%). The median homeowner paid $1,187 in 2024 (U.S. $3,211); the median bill rose 38.7% after inflation from 2010 to 2024 (U.S. +9.3%). The Tax Foundation's 2026 ranking puts its effective property tax rate on owner-occupied homes at 0.55%, 13th-lowest of 50. By the same measure it was 0.41% in 2010 (U.S. 1.00% in 2010, 0.94% in 2024).
The weak points:
- Roll-forwards. A two-thirds vote of a governing body can take back the revenue the rollback was meant to deny, up to the prior year's maximum millage, with no vote of the people. A Nov. 2026 amendment (Amendment 2) would base the maximum on the prior year's maximum authorized rate even when a body levied less, so unused millage could be revived later.
- Industrial exemption (ITEP). Manufacturers can receive an 80% property tax exemption for up to 10 years, approved at the state level. A 2016 executive order required local approval and job creation; Gov. Landry's 2024 order dropped the job requirement and replaced separate votes by each local body with a single vote of a consolidated parish industrial board. One analysis counts more than $20 billion in local tax breaks since 1998. Every exempted dollar shifts the burden to homes and small business.
- Shift to sales taxes. Louisiana has the highest average combined sales tax rate in the nation (10.11% in 2026; local rates average 5.11%). Local sales taxes supply 54% of local tax revenue and property taxes only 43% (Census FY2022). Fees and charges are 37% of local own-source revenue.
- Millage stacking. Each special millage needs a vote, but renewals pass routinely and new ones accumulate, producing parishwide rates averaging about 112 mills.
- New Orleans. After the 2019 reassessment the Cantrell administration pushed a roll-forward; keeping rates flat would have brought nearly $100 million in new revenue to New Orleans agencies, more than $20 million of it to the city, and administration task force notes said the roll-forward "screws people over" but is "good for budget" (The Lens, Sept. 24, 2019). Orleans voters were asked on May 3, 2025 to renew a 2.46-mill sheriff's tax (about $12.7 million in 2026) for 2026-2035, and Lake Vista residents a parcel fee of up to $220 per household for a crime prevention district (WWNO, April 29, 2025).
- Baton Rouge. Renewals return until they pass: the East Baton Rouge Parish Library millage (about $60 million a year) failed in late 2025 when bundled into the mayor-president's Thrive EBR plan, then passed with 64% on June 27, 2026, alongside BREC and Council on Aging renewals (68%) (WWNO, June 27, 2026).</t>
        </is>
      </c>
      <c r="T19" s="4" t="inlineStr">
        <is>
          <t>- Pelican Institute, "Pelican Institute's Guide to the Fall 2026 Constitutional Amendments" (September 23, 2026). Backs Amendment 2 on the Nov. 3 ballot, which lets local taxing authorities return to their voter-approved maximum millage after voluntarily lowering it, because the current roll-forward tied to the four-year reappraisal cycle pushes them to tax at the maximum "for the sake of not losing the ability to do so later on." Opposes the property tax carve-outs (Amendments 1, 6, 9 and 10, including raising the senior and disabled assessment-freeze income limit from $100,000 to $150,000), saying targeted exemptions narrow the base and shift the burden to everyone else. https://pelicanpolicy.org/local-government/fall2026constitutionalamendments/
- Pelican Institute, "YES on Constitutional Amendment 4: Begin to End the Inventory Tax" (March 30, 2026). Louisiana is one of the few states that taxes business inventory as property, so the tax grows with expansion regardless of profit; the state's inventory tax credit, offered for 35 years, shifts the cost to the state budget and is "essentially a state taxpayer subsidy to local government in the most expensive way possible." Urged letting parishes reduce or exempt inventory; voters rejected the amendment on May 16, 2026. https://pelicanpolicy.org/local-government/amendment4/
- Pelican Institute, "Fiscal Discipline: The Key to Lasting Tax Relief in Louisiana" (January 8, 2026). Calls for a government growth limit tying state spending to population and inflation so tax relief lasts, along with ending the personal income tax and giving parishes the option to exempt business inventory from property tax. https://pelicanpolicy.org/tax-budget/fiscal-discipline-the-key-to-lasting-tax-relief-in-louisiana/
- Pelican Institute, "Proposed Constitutional Amendment 2: Driving Greater Economic Prosperity for Louisiana" (March 25, 2025). Backed the 2025 fiscal overhaul, which would have let local governments opt out of taxing business inventory if the sheriff, school board and parish authority agree, kept the homestead exemption and barred property tax on prescription drugs; voters rejected it March 29, 2025. https://pelicanpolicy.org/tax-budget/proposed-constitutional-amendment-2-driving-greater-economic-prosperity-for-louisiana/
- Tax Foundation, Manish Bhatt, "Louisiana Considers Eliminating Corporate Franchise and Inventory Taxes" (May 25, 2023). Calls inventory taxes "highly distortionary" and finds that phasing out the inventory tax would lift Louisiana's property tax ranking on the State Business Tax Climate Index from 23rd to 12th, and from 23rd to 4th combined with franchise tax repeal; repeal is "far better than relying on an offset like the ITEP." https://taxfoundation.org/blog/louisiana-franchise-tax-reform/
- Pelican Institute, "Bringing Home the Bacon: The Relationship Between State and Local Government" (March 22, 2023). The state spends billions a year on local functions, including $90 million in constitutionally required revenue sharing distributed by number of homestead exemptions and over $4 billion through the school funding formula; these transfers take about 38% of the state general fund available for appropriation. Urges shifting the burden back to local governments so taxpayers can weigh in where the money is spent. https://pelicanpolicy.org/tax-budget/bringing-home-the-bacon-the-relationship-between-state-and-local-government/
- Louisiana Family Forum (State Policy Network associate): no property tax report since 2021 was found.
Linked list: 7 items on the Analyses sheet (filter State = Louisiana); every source URL is linked on the Sources sheet.</t>
        </is>
      </c>
      <c r="U19" s="4" t="inlineStr">
        <is>
          <t>2018: Amendment 6 phased in reappraisal increases of more than 50% on residential property over four years.
2024: Gov. Landry's executive order loosened ITEP (no job requirement; single consolidated local vote). Nov. 2024 special session tax overhaul (flat income tax, higher state sales tax); legislation in 2024-2025 ended the inventory tax credit for C corporations for taxes paid from July 1, 2026.
March 29, 2025: voters rejected all four constitutional amendments, including Amendment 2, the broad fiscal overhaul that would have let local governments exempt business inventory.
May 16, 2026: voters rejected all five amendments, including Amendment 4, which would have let parishes reduce or exempt business inventory from property tax (34% yes, 66% no; WWNO). The Pelican Institute had urged a yes vote.
Nov. 3, 2026 ballot (pending; 10 amendments, five on property tax): Amendment 1, a one-time transfer of the disabled veteran surviving spouse exemption; Amendment 2, let a taxing body levy less than its maximum millage without losing the ability to return to the prior year's maximum without a vote (from Jan. 1, 2027); Amendment 6, a local-option senior exemption of $6,000 to $30,000 of assessed value, effective in a parish or municipality only after local voter approval (Act 274 of 2026; from 2028); Amendment 9, raise the senior freeze income limit from $100,000 to $150,000 (from Jan. 1, 2027); Amendment 10, exemptions for rehabilitated blighted property.
June 27, 2026: East Baton Rouge voters renewed the library millage (64% yes; about $60 million a year for 10 years) after it failed in late 2025 when tied to the Thrive EBR plan; BREC and Council on Aging renewals also passed.</t>
        </is>
      </c>
      <c r="V19" s="4" t="inlineStr">
        <is>
          <t>13th (0.55% effective rate; 0.41% in 2010)</t>
        </is>
      </c>
      <c r="W19" s="4" t="inlineStr">
        <is>
          <t>Louisiana combines constitutional rate caps, a mandatory reassessment rollback and voter-approved, time-limited special millages with a generous homestead exemption and a senior freeze. The escape valves are the two-thirds roll-forward, the industrial exemption program and heavy reliance on local sales taxes, now the highest in the nation. One Nov. 2026 amendment would loosen the millage ceiling for governments.</t>
        </is>
      </c>
      <c r="X19" s="4" t="inlineStr">
        <is>
          <t>https://house.louisiana.gov/slg/PDF/Chapter%203%20Part%20D%20-%20Local%20Government%20Finance.pdf
https://legis.la.gov/legis/LawPrint.aspx?d=101336
https://legis.la.gov/Legis/LawPrint.aspx?d=102361
https://webiis08.mondaq.com/unitedstates/tax-authorities/1770732/ldr-issues-guidance-on-changes-to-the-inventory-tax-credit
https://710keel.com/whats-on-your-louisiana-ballot-2018-amendment-6/
https://lailluminator.com/2024/11/11/louisiana-wont-touch-generous-industrial-property-tax-break-amid-landrys-overhaul/
https://taxfoundation.org/research/state-tax/2026-state-tax-ballot-measures/
https://apps.lincolninst.edu/uploads/summary-tables/rate-limits-summary-tables/rate-limits-2022-4.xlsx
https://www.lincolninst.edu/app/uploads/2024/12/assessment_limits_2022-3.xlsx
https://www2.census.gov/programs-surveys/gov-finances/tables/2022/22slsstab1.xlsx
https://taxfoundation.org/data/all/state/sales-tax-rates/
https://www.wwno.org/politics/2026-05-16/may-16-election-results-louisiana-voters-reject-all-5-amendments-see-full-results
https://pelicanpolicy.org/local-government/amendment4/
https://websterparishjournal.com/2026/09/04/explaining-the-constitutional-amendments/
https://news.ballotpedia.org/2026/06/03/louisiana-voters-will-decide-on-10-legislatively-referred-ballot-measures-in-nov-2026/
https://www.liskow.com/insights/proposed-constitutional-amendment-would-expand-homestead-exemption-for-senior-pro-102mx4y/
https://www.wwno.org/2026-06-27/east-baton-rouge-voters-overwhelmingly-approve-funding-renewals-for-library-other-agencies
https://thelensnola.org/?p=473158
https://www.wwno.org/politics/2025-04-29/may-3-election-whats-on-the-ballot</t>
        </is>
      </c>
    </row>
    <row r="20" ht="409" customHeight="1">
      <c r="A20" s="13" t="inlineStr">
        <is>
          <t>Maine</t>
        </is>
      </c>
      <c r="B20" s="4" t="inlineStr">
        <is>
          <r>
            <rPr>
              <rFont val="Carlito"/>
              <b val="1"/>
              <sz val="14"/>
            </rPr>
            <t>F.</t>
          </r>
          <r>
            <rPr>
              <rFont val="Carlito"/>
              <sz val="11"/>
            </rPr>
            <t xml:space="preserve">
Restriction points 2 of 18 (spending limit 2). Deductions: built-in loopholes -0.5; workarounds in practice -0.5; state buydowns +0; data record +0.5. Total 1.5 = F (A 11+, B 8.5-10.9, C 5.5-8.4, D 3-5.4, F under 3).
Why: Built-in loopholes -0.5: counties exceed their limit by a majority of commissioners with the budget committee, and school units exceed EPS by a separate article and simple-majority validation referendum (80.8% of sampled units did in 2014). Workarounds -0.5: the largest cities raise taxes freely since the repeal (Portland 6% in 2024 and 4.9% for FY2027; Lewiston 9% in 2024 and an 11.3% rate increase discussed for FY2027). Buydowns 0: homestead and BETE reimbursements and the Property Tax Fairness Credit were judged under 5% of collections in the earlier pass (not re-measured). Record +0.5: slow real growth per person (4.3% FY2002-FY2022, U.S. 23.4%) and homeowner bills (3.4% real since 2010, U.S. 9.3%), against one of the highest shares of income (4.47%).</t>
          </r>
        </is>
      </c>
      <c r="C20" s="4">
        <f>((LEFT(D20,3)="Yes")+(LEFT(E20,3)="Yes")+(LEFT(F20,3)="Yes")+(LEFT(G20,3)="Yes"))&amp;" of 4 in force"&amp;IF(((LEFT(D20,7)="Partial")+(LEFT(E20,7)="Partial")+(LEFT(F20,7)="Partial")+(LEFT(G20,7)="Partial"))&gt;0," + "&amp;((LEFT(D20,7)="Partial")+(LEFT(E20,7)="Partial")+(LEFT(F20,7)="Partial")+(LEFT(G20,7)="Partial"))&amp;" partial","")&amp;CHAR(10)&amp;CHAR(10)&amp;IF(LEFT(D20,3)="Yes","✓",IF(LEFT(D20,7)="Partial","◐","✗"))&amp;" Spending limit"&amp;CHAR(10)&amp;IF(LEFT(E20,3)="Yes","✓",IF(LEFT(E20,7)="Partial","◐","✗"))&amp;" Levy limit"&amp;CHAR(10)&amp;IF(LEFT(F20,3)="Yes","✓",IF(LEFT(F20,7)="Partial","◐","✗"))&amp;" Assessment cap"&amp;CHAR(10)&amp;IF(LEFT(G20,3)="Yes","✓",IF(LEFT(G20,7)="Partial","◐","✗"))&amp;" Rate cap"</f>
        <v/>
      </c>
      <c r="D20" s="4" t="inlineStr">
        <is>
          <r>
            <rPr>
              <rFont val="Carlito"/>
              <b val="1"/>
              <sz val="11"/>
            </rPr>
            <t>Partial.</t>
          </r>
          <r>
            <rPr>
              <rFont val="Carlito"/>
              <sz val="11"/>
            </rPr>
            <t xml:space="preserve">
LD 1 (2005) limits growth in county appropriations funded by the county tax to a "growth limitation factor": average statewide personal income growth over 10 years plus local property growth from new construction. A county may exceed it for extraordinary circumstances or by vote of a majority of the county commissioners together with the budget committee; any excess collections go to a tax relief fund. For school units, LD 1 sets a target of 100% of the state's Essential Programs and Services (EPS) cost model, and spending above EPS must be approved in a separate article and, in most units, a budget validation referendum. Municipal spending itself is unlimited (see levy limit).
Authority: 30-A M.R.S. §706-A (counties); 20-A M.R.S. §15690 (school budgets above EPS); P.L. 2005, ch. 2 (LD 1).</t>
          </r>
        </is>
      </c>
      <c r="E20" s="4" t="inlineStr">
        <is>
          <r>
            <rPr>
              <rFont val="Carlito"/>
              <b val="1"/>
              <sz val="11"/>
            </rPr>
            <t>No.</t>
          </r>
          <r>
            <rPr>
              <rFont val="Carlito"/>
              <sz val="11"/>
            </rPr>
            <t xml:space="preserve">
Repealed in 2024. LD 1 (2005) had capped growth in each municipality's property tax levy at a "growth limitation factor" (10-year average statewide personal income growth plus local property growth), with school and county taxes excluded and a simple-majority override. LD 2102 (P.L. 2023, ch. 603, an emergency measure signed April 9, 2024) repealed the municipal levy limit. A 2025 bill to restore it (LD 542, Rep. Jeffrey Adams) died: the House accepted the Ought Not to Pass report 79-62 on May 13, 2025, and the Senate rejected the Ought to Pass report on May 20, 2025. The county appropriations limit and the school EPS target remain (see Spending limit).
Authority: former 30-A M.R.S. §5721-A (LD 1, P.L. 2005, ch. 2), repealed by P.L. 2023, ch. 603 (LD 2102, 2024).</t>
          </r>
        </is>
      </c>
      <c r="F20" s="4" t="inlineStr">
        <is>
          <r>
            <rPr>
              <rFont val="Carlito"/>
              <b val="1"/>
              <sz val="11"/>
            </rPr>
            <t>No.</t>
          </r>
          <r>
            <rPr>
              <rFont val="Carlito"/>
              <sz val="11"/>
            </rPr>
            <t xml:space="preserve">
No cap on assessed value growth; municipalities assess at just value, with periodic revaluations. A senior property tax "stabilization" freeze for owners 65+ ran for one year (2023) and was repealed (see Reforms).</t>
          </r>
        </is>
      </c>
      <c r="G20" s="4" t="inlineStr">
        <is>
          <r>
            <rPr>
              <rFont val="Carlito"/>
              <b val="1"/>
              <sz val="11"/>
            </rPr>
            <t>No.</t>
          </r>
          <r>
            <rPr>
              <rFont val="Carlito"/>
              <sz val="11"/>
            </rPr>
            <t xml:space="preserve">
No statewide limit on municipal, county or school mill rates.</t>
          </r>
        </is>
      </c>
      <c r="H20" s="4" t="inlineStr">
        <is>
          <r>
            <rPr>
              <rFont val="Carlito"/>
              <b val="1"/>
              <sz val="11"/>
            </rPr>
            <t>No.</t>
          </r>
          <r>
            <rPr>
              <rFont val="Carlito"/>
              <sz val="11"/>
            </rPr>
            <t xml:space="preserve">
School property taxes were always excluded from the municipal LD 1 levy limit (itself repealed in 2024). The only school constraint is the EPS-based target, which units may exceed through a separate budget article and validation referendum; in the 2014 state report, 80.8% of sampled school units spent above EPS.</t>
          </r>
        </is>
      </c>
      <c r="I20" s="4" t="inlineStr">
        <is>
          <r>
            <rPr>
              <rFont val="Carlito"/>
              <b val="1"/>
              <sz val="11"/>
            </rPr>
            <t>Partial.</t>
          </r>
          <r>
            <rPr>
              <rFont val="Carlito"/>
              <sz val="11"/>
            </rPr>
            <t xml:space="preserve">
No statewide property tax on organized municipalities (a uniform statewide school property tax enacted in 1973 was repealed by voters in 1977). The state does levy property taxes in the Unorganized Territory (about half the state's land area, with no local government), through the Unorganized Territory Educational and Services Tax, which pays for schools and county-provided services there. Census FY2022 state property tax revenue: about $45 million.
Authority: 36 M.R.S. §1601 et seq.</t>
          </r>
        </is>
      </c>
      <c r="J20" s="4" t="inlineStr">
        <is>
          <r>
            <rPr>
              <rFont val="Carlito"/>
              <b val="1"/>
              <sz val="11"/>
            </rPr>
            <t>Yes.</t>
          </r>
          <r>
            <rPr>
              <rFont val="Carlito"/>
              <sz val="11"/>
            </rPr>
            <t xml:space="preserve">
$25,000 of just value is exempt for a permanent Maine resident who has owned the home for at least 12 months. The state reimburses municipalities 76% of the lost tax (since April 1, 2023; it was 50% before 2018). Veterans: $6,000 (pre-WWII service up to $7,000); paraplegic veterans with specially adapted housing up to $47,500; blind residents $4,000.
Authority: 36 M.R.S. §§653, 654-A, 683, 685.</t>
          </r>
        </is>
      </c>
      <c r="K20" s="4" t="inlineStr">
        <is>
          <r>
            <rPr>
              <rFont val="Carlito"/>
              <b val="1"/>
              <sz val="11"/>
            </rPr>
            <t>Yes.</t>
          </r>
          <r>
            <rPr>
              <rFont val="Carlito"/>
              <sz val="11"/>
            </rPr>
            <t xml:space="preserve">
Property Tax Fairness Credit: a refundable state income tax credit for homeowners and renters whose property tax (or rent equivalent) is high relative to income. Since 2023, for residents 65+ it caps the bill at 4% of income with a maximum benefit of $2,000 (raised from $1,500); younger filers get a smaller maximum. Towns may also run local senior tax relief and "work-off" programs.
Authority: 36 M.R.S. §5219-KK.</t>
          </r>
        </is>
      </c>
      <c r="L20" s="4" t="inlineStr">
        <is>
          <r>
            <rPr>
              <rFont val="Carlito"/>
              <b val="1"/>
              <sz val="11"/>
            </rPr>
            <t>Yes.</t>
          </r>
          <r>
            <rPr>
              <rFont val="Carlito"/>
              <sz val="11"/>
            </rPr>
            <t xml:space="preserve">
- Homestead exemption reimbursement: the state repays municipalities 76% of the tax lost to the $25,000 homestead exemption. In 2024, 323,697 homesteads claimed $7.3 billion in exempt value.
- Business Equipment Tax Exemption (BETE) reimbursement: the state repays at least 50% of the tax lost on exempt business equipment, with higher rates in municipalities where personal property is a large share of value. Exempt BETE value was $7.1 billion in 2024.
Municipal revenue sharing and state school aid under Essential Programs and Services do not count. Lawmakers repealed the senior property tax stabilization program in 2023.
Authority: 36 M.R.S. §§683, 685, 691-700-B; Maine Revenue Services, 2024 Municipal Valuation Return Statistical Summary.</t>
          </r>
        </is>
      </c>
      <c r="M20" s="4" t="inlineStr">
        <is>
          <r>
            <rPr>
              <rFont val="Carlito"/>
              <b val="1"/>
              <sz val="11"/>
            </rPr>
            <t>No.</t>
          </r>
          <r>
            <rPr>
              <rFont val="Carlito"/>
              <sz val="11"/>
            </rPr>
            <t/>
          </r>
        </is>
      </c>
      <c r="N20" s="4" t="inlineStr">
        <is>
          <r>
            <rPr>
              <rFont val="Carlito"/>
              <b val="1"/>
              <sz val="11"/>
            </rPr>
            <t>No.</t>
          </r>
          <r>
            <rPr>
              <rFont val="Carlito"/>
              <sz val="11"/>
            </rPr>
            <t xml:space="preserve">
No certified rollback rate, and since the 2024 repeal of the municipal levy limit there is no dollar cap that forces rates down when values rise. A revaluation raises revenue unless the town chooses to lower its rate.</t>
          </r>
        </is>
      </c>
      <c r="O20" s="4" t="inlineStr">
        <is>
          <r>
            <rPr>
              <rFont val="Carlito"/>
              <b val="1"/>
              <sz val="11"/>
            </rPr>
            <t>No.</t>
          </r>
          <r>
            <rPr>
              <rFont val="Carlito"/>
              <sz val="11"/>
            </rPr>
            <t xml:space="preserve">
County limit overrides and school budget validation referenda pass by simple majority (as did municipal levy limit overrides before the 2024 repeal).</t>
          </r>
        </is>
      </c>
      <c r="P20" s="4" t="inlineStr">
        <is>
          <r>
            <rPr>
              <rFont val="Carlito"/>
              <b val="1"/>
              <sz val="11"/>
            </rPr>
            <t>No.</t>
          </r>
          <r>
            <rPr>
              <rFont val="Carlito"/>
              <sz val="11"/>
            </rPr>
            <t xml:space="preserve">
Town meetings are usually held in the spring, and school budget validation referenda are commonly held in June; no November-only rule.</t>
          </r>
        </is>
      </c>
      <c r="Q20" s="4" t="inlineStr">
        <is>
          <r>
            <rPr>
              <rFont val="Carlito"/>
              <b val="1"/>
              <sz val="11"/>
            </rPr>
            <t>No.</t>
          </r>
          <r>
            <rPr>
              <rFont val="Carlito"/>
              <sz val="11"/>
            </rPr>
            <t xml:space="preserve">
The municipal property tax is a general tax; no statewide restriction on what it may fund.</t>
          </r>
        </is>
      </c>
      <c r="R20" s="4" t="inlineStr">
        <is>
          <t>16 counties (funded by a county tax collected through municipalities); 23 cities and 461 towns and plantations (Census counts); the Unorganized Territory, taxed by the state; 101 regional school units and school administrative districts plus 162 municipal school systems (Census counts); 227 special districts in the Census count (81 water, 39 sewer, 22 combined water and sewer, 16 soil and water, 12 solid waste and others), most funded mainly by user charges. Census of Governments 2022: 828 local governments.</t>
        </is>
      </c>
      <c r="S20" s="4" t="inlineStr">
        <is>
          <t>Verdict: Worked, through FY2023. Property tax per person rose 3.2% after inflation from FY2002 to FY2023 (U.S. +25.9% through FY2024); Maine's FY2024 Census figure is a sample estimate with a 27% coefficient of variation and is not used. The record predates the 2024 repeal of the municipal levy limit.
Why it leaks: LD 1 (2005) capped municipal levies but excluded school and county taxes, the largest parts of bills, and a simple majority could override it. LD 2102 repealed the municipal limit in 2024. School units may spend above the EPS target through a simple-majority validation referendum, and state homestead and BETE reimbursements buy down local taxes, which counts against Maine.
How localities get around it: In 2014, 31% of municipalities exceeded the LD 1 limit. Westbrook taxes rose 13% in 2024, the first year without it, and Portland's FY2027 budget lifts the rate 4.9%.
Full record:
The municipal levy limit no longer exists: the Legislature repealed it in 2024 and refused to restore it in 2025.
The record (Census, BEA, ACS): state and local property tax was $2,578 per person in FY2024 (U.S. $2,132), 3.96% of personal income (6th-highest of 50; U.S. 2.89%). After inflation, collections per person (all state and local property tax divided by residents) rose 3.2% from FY2002 to FY2024 (U.S. +25.9%) and fell 17.1% from FY2019 to FY2024 (U.S. -1.1%). The median homeowner paid $3,103 in 2024 (U.S. $3,211); the median bill rose 3.4% after inflation from 2010 to 2024 (U.S. +9.3%). The Tax Foundation's 2026 ranking puts its effective property tax rate on owner-occupied homes at 0.98%, 32nd-lowest of 50. By the same measure it was 1.02% in 2010 (U.S. 1.00% in 2010, 0.94% in 2024). Maine's latest year is FY2023: the Census FY2024 figure is a sample estimate with a 27% coefficient of variation and conflicts with state data. Figures labeled FY2024 above are FY2023.
Municipal property tax commitments rose from $2.74 billion in 2019 to $3.41 billion in 2024 (Maine Revenue Services). Census's FY2024 estimate for Maine ($4.32 billion, a 20% one-year jump) carries a 27% coefficient of variation and conflicts with the state's commitment data, so this guide's record for Maine uses FY2023 as the latest Census year.
The state's own 2014 LD 1 progress report found that 31% of municipalities exceeded their levy limit that year (one-quarter to one-third in most years, 40% in 2006), 80.8% of sampled school units spent above the EPS target, and 6 of 16 counties exceeded their limit. Aggregate municipal property tax commitments grew 3.6% in 2014 versus 5.3% to 7.0% a year before LD 1, but the report concluded the law "has not spurred significant movement towards efficiency or regionalization."
Design gaps: schools and county taxes, the largest parts of most bills, sit outside the municipal limit, and a simple majority can override it. The limit is a percentage of each year's levy, so an override raises the base for every later year.
Revenue mix: Maine localities have almost no other tax sources (property tax is 98.7% of local tax revenue, Census FY2022; fees and charges are 20% of own-source revenue), so the pressure lands on property, and the Tax Foundation ranks Maine's property tax 45th.
Big cities after the repeal: in the first year without the levy limit (2024), Portland residents saw a 6% property tax increase, Lewiston and Gorham 9% and Westbrook 13% (Maine Republican radio address, Rep. David Haggan, Sept. 2, 2024). Portland's FY2027 budget, passed June 1, 2026, raises the tax rate 4.9% with the school budget included, about $305 a year on a median $561,000 home, on a municipal levy of more than $121 million (Spectrum News, June 2, 2026). In Lewiston's FY2027 budget talks, a councilor said that even with eight layoffs the tax rate would still rise 11.3% (Spectrum News, April 16, 2026).
Relief by subsidy: the state's answer has been larger reimbursements and credits, with local spending left unchecked; the 2022 senior "stabilization" freeze had no income limit, cost projections rose to "upwards of $25 million," and it was repealed after one year.</t>
        </is>
      </c>
      <c r="T20" s="4" t="inlineStr">
        <is>
          <t>- Maine Senate Republicans, Sen. Bruce Bickford, "Maine can’t become more affordable by taking more from taxpayers" (Sept. 11, 2026). The state budget topped $12 billion, 40% more than five years ago, and property taxes are "out of control despite record payments being sent to municipalities" through revenue sharing; a bipartisan bill raising the homestead exemption from $25,000 to $50,000 won unanimous support in both chambers but was not funded and died at adjournment. https://mesenategop.com/2026/09/11/maine-cant-become-more-affordable-by-taking-more-from-taxpayers/
- Maine Policy Institute, Montana Towers, "Maine's Teacher Salary Mandate Comes at Taxpayers' Expense" (Aug. 28, 2026). The 2026 supplemental budget's statewide teacher minimum salary ($45,000 in 2027-28, rising to $50,000 in 2029-30) lands on a property tax burden ranked fifth in the nation, with about 68% of property taxes going to education (Maine Municipal Association, 2016) and $1.29 billion, almost all from property taxes, to be raised locally for schools in 2026-27. Argues any additional state aid should come with spending restraint and safeguards ensuring it lowers local property tax commitments. https://mainepolicy.org/maine-teacher-salary-mandate/
- Maine Policy Institute, Harris Van Pate, "The Good, Bad, and Ugly of 2nd Session Bill Requests" (Oct. 27, 2025). Backed LR 2740 to reestablish levy limits for large towns as guardrails on the growth of local government, which the Legislative Council rejected 4-6; opposed tripling the homestead exemption (rejected 1-9) as shifting property taxes from one household to the next. https://mainepolicy.org/the-good-bad-and-ugly-of-2nd-session-bill-requests/
- Maine Policy Institute, Harris Van Pate, "Testimony in Support of LD 542: “An Act Regarding Municipal Property Tax Levy Limits”" (March 17, 2025). Maine's property tax burden is among the highest in the nation; repealing the LD 1 levy limit in 2024 "removed an essential safeguard, allowing local budgets to grow at unsustainable rates," a problem worsened by municipal revenue sharing policies; urges restoring the limit. The bill died in May 2025. https://legislature.maine.gov/testimony/resources/SLG20250317Van%20Pate133864749170285597.pdf
- Maine Senate Republicans, Rep. David Haggan, "Property taxes are becoming an existential threat to Maine’s homeowners" (Sept. 2, 2024). Republican radio address: the state now funds 55% of school budgets and shares more revenue with towns than ever, yet "towns and cities simply took the money and ran"; cites 2024 increases of 6% in Portland, 9% in Lewiston and Gorham and 13% in Westbrook, and faults the LD 2102 repeal. https://mesenategop.com/2024/09/02/property-taxes-are-becoming-an-existential-threat-to-maines-homeowners/
- Maine House Republicans, Assistant Republican Leader Rep. Amy Arata, "LD 2102 WILL RAISE PROPERTY TAXES" (March 16, 2024). Testimony opposing the levy limit repeal; defends the LD 1 limit as a 2005 bipartisan compromise that ties property tax growth to average personal income growth plus new property: "taxes should not increase faster than your income does." https://mainehousegop.org/newsroom/ld-2102-will-raise-property-taxes/
- Maine Policy Institute, Jacob Posik, "Testimony: Protecting Property Taxpayers from Unsustainable Increases (LD 2102)" (Feb. 22, 2024). Called LD 2102 "perhaps the most harmful bill admitted into the Legislature’s Second Session" and warned that repealing the municipal levy limit would bring "uncontrolled, runaway spending at the municipal level" with higher property taxes on seniors on fixed incomes. Notes towns could already exceed the limit with residents' consent at a referendum election and were in no funding emergency after millions in federal pandemic aid. https://mainepolicy.org/testimonies/testimony-protecting-property-taxpayers-from-unsustainable-increases-ld-2102/
- Maine Policy Institute, Libby Palanza, "Property tax stabilization program shifts burden to state taxpayers" (July 25, 2022). The LD 290 senior property tax freeze has no income eligibility requirement, and about 16% of Mainers could qualify. The fiscal note projects state reimbursements to towns of $2.6 million in FY 2023, $7 million in FY 2024 and $14 million in FY 2025, a cost passed along to other state taxpayers. Argues "Smarter municipal spending would help reduce the property tax burden across the board," pointing to school administrative spending, and favors charitable aid for seniors in need. https://mainepolicy.org/property-tax-stabilization-program-shifts-burden-to-state-taxpayers/
Linked list: 8 items on the Analyses sheet (filter State = Maine); every source URL is linked on the Sources sheet.</t>
        </is>
      </c>
      <c r="U20" s="4" t="inlineStr">
        <is>
          <t>2005: LD 1 (P.L. 2005, ch. 2) created state, county, municipal and school spending and levy limits.
2022: Property Tax Stabilization Program (freeze for owners 65+ with 10 years of ownership, no income test) enacted in August, effective for 2023.
2023: stabilization repealed in July; Property Tax Fairness Credit expanded (4%-of-income cap for 65+, maximum $2,000). Homestead reimbursement rose to 76%.
2024: LD 2102 (P.L. 2023, ch. 603, signed April 9, 2024) repealed the municipal property tax levy limit as an emergency measure. A bill to reimburse municipalities for unpaid stabilization costs (about $15 million).
2025: LD 542 to restore the levy limit died (House 79-62 for Ought Not to Pass, May 13; Senate rejected Ought to Pass, May 20). The Legislature created the Real Estate Property Tax Relief Task Force (chair Sen. Nicole Grohoski), which began a 15-month study in September 2025.
2026: LD 140 (raise the homestead exemption by $5,000 a year from April 1, 2026 until it reaches $50,000) passed the House to be enacted on June 9, 2025 but died in the Senate when the Legislature adjourned on April 29, 2026; the exemption stays at $25,000.
No Maine property tax measure is on the Nov. 3, 2026 ballot.</t>
        </is>
      </c>
      <c r="V20" s="4" t="inlineStr">
        <is>
          <t>32nd (0.98% effective rate; 1.02% in 2010)</t>
        </is>
      </c>
      <c r="W20" s="4" t="inlineStr">
        <is>
          <t>Maine repealed its municipal property tax levy limit in 2024 (LD 2102) and rejected restoring it in 2025, leaving only a soft county appropriations limit and a school spending target that a simple majority can exceed. With almost no local sales or income taxes, the property tax carries nearly all local revenue, and the state has leaned on reimbursements and refundable credits to relieve bills.</t>
        </is>
      </c>
      <c r="X20" s="4" t="inlineStr">
        <is>
          <t>https://lldc.mainelegislature.org/Open/Rpts/kf6784_z99m254_2014.pdf
https://legislature.maine.gov/statutes/36/title36sec685.html
https://legislature.maine.gov/statutes/36/title36sec683.html
https://mainemorningstar.com/2024/02/13/legislature-trying-to-reimburse-municipalities-after-repeal-of-failed-senior-tax-relief-program/
https://kennebunkmaine.us/470/Exemptions-and-Tax-Credits
https://www.lincolninst.edu/app/uploads/2024/12/levy_limits_2022.xlsx
https://www2.census.gov/programs-surveys/gov-finances/tables/2022/22slsstab1.xlsx
https://lldc.mainelegislature.org/Open/Meta/LegHist/131/lh131-LD-2102.pdf
https://legislature.maine.gov/LawMakerWeb/summary.asp?LD=542&amp;SessionID=16
https://www.maine.gov/revenue/sites/maine.gov.revenue/files/inline-files/2024%20Municipal%20Valuation%20Return%20Statistical%20Summary%20Report.pdf
https://www.maine.gov/revenue/sites/maine.gov.revenue/files/inline-files/2019mvrstats.pdf
https://spectrumlocalnews.com/me/maine/politics/2025/09/12/new-maine-task-force-looks-to-find-ways-lower-property-taxes
https://spectrumlocalnews.com/me/maine/news/2026/06/02/portland-taxpayers-to-bear-5-7--increase-after-council-approves-municipal-budget
https://spectrumlocalnews.com/me/maine/news/2026/04/16/lewiston-considers-layoffs--hiring-freezes-to-lower-budget
https://mainehousegop.org/newsroom/ld-2102-will-raise-property-taxes/
https://mesenategop.com/2024/09/02/property-taxes-are-becoming-an-existential-threat-to-maines-homeowners/
https://legislature.maine.gov/LawMakerWeb/summary.asp?LD=140&amp;SessionID=16
https://legislature.maine.gov/legis/bills/bills_132nd/fiscalnotes/FN014002.htm</t>
        </is>
      </c>
    </row>
    <row r="21" ht="409" customHeight="1">
      <c r="A21" s="13" t="inlineStr">
        <is>
          <t>Maryland</t>
        </is>
      </c>
      <c r="B21" s="4" t="inlineStr">
        <is>
          <r>
            <rPr>
              <rFont val="Carlito"/>
              <b val="1"/>
              <sz val="14"/>
            </rPr>
            <t>C.</t>
          </r>
          <r>
            <rPr>
              <rFont val="Carlito"/>
              <sz val="11"/>
            </rPr>
            <t xml:space="preserve">
Restriction points 7 of 18 (levy limit 2; assessment cap 2; rate cap 1; truth in taxation 1; rollback 0.5; supermajority 0.5). Deductions: built-in loopholes -1; workarounds in practice -1; state buydowns +0; data record +0.5. Total 5.5 = C (A 11+, B 8.5-10.9, C 5.5-8.4, D 3-5.4, F under 3).
Why: State-paid credits ($96.0 million in FY2025) are under 1% of collections, so no buydown step applies. The record is better than average (real per-person growth of 15.4% FY2002-FY2022 against 23.4% for the U.S.; 2.49% of personal income against 2.89%), helped by local income taxes that supply 36% of local tax revenue.</t>
          </r>
        </is>
      </c>
      <c r="C21" s="4">
        <f>((LEFT(D21,3)="Yes")+(LEFT(E21,3)="Yes")+(LEFT(F21,3)="Yes")+(LEFT(G21,3)="Yes"))&amp;" of 4 in force"&amp;IF(((LEFT(D21,7)="Partial")+(LEFT(E21,7)="Partial")+(LEFT(F21,7)="Partial")+(LEFT(G21,7)="Partial"))&gt;0," + "&amp;((LEFT(D21,7)="Partial")+(LEFT(E21,7)="Partial")+(LEFT(F21,7)="Partial")+(LEFT(G21,7)="Partial"))&amp;" partial","")&amp;CHAR(10)&amp;CHAR(10)&amp;IF(LEFT(D21,3)="Yes","✓",IF(LEFT(D21,7)="Partial","◐","✗"))&amp;" Spending limit"&amp;CHAR(10)&amp;IF(LEFT(E21,3)="Yes","✓",IF(LEFT(E21,7)="Partial","◐","✗"))&amp;" Levy limit"&amp;CHAR(10)&amp;IF(LEFT(F21,3)="Yes","✓",IF(LEFT(F21,7)="Partial","◐","✗"))&amp;" Assessment cap"&amp;CHAR(10)&amp;IF(LEFT(G21,3)="Yes","✓",IF(LEFT(G21,7)="Partial","◐","✗"))&amp;" Rate cap"</f>
        <v/>
      </c>
      <c r="D21" s="4" t="inlineStr">
        <is>
          <r>
            <rPr>
              <rFont val="Carlito"/>
              <b val="1"/>
              <sz val="11"/>
            </rPr>
            <t>No.</t>
          </r>
          <r>
            <rPr>
              <rFont val="Carlito"/>
              <sz val="11"/>
            </rPr>
            <t xml:space="preserve">
No state limit on county or municipal spending. Montgomery County's charter requires 8 of 11 council votes to adopt a budget above spending affordability guidelines the council sets for itself each year, a soft rule; a 2026 petition for a charter cap tied to inflation fell short of the ballot (see November ballot). State law pushes the other way for schools: the maintenance-of-effort requirement obliges every county to fund its school system at least at the prior year's per-pupil level, with penalties for falling short.
Authority: Md. Code, Educ. §5-234 (maintenance of effort); Montgomery County Charter §305.</t>
          </r>
        </is>
      </c>
      <c r="E21" s="4" t="inlineStr">
        <is>
          <r>
            <rPr>
              <rFont val="Carlito"/>
              <b val="1"/>
              <sz val="11"/>
            </rPr>
            <t>Partial.</t>
          </r>
          <r>
            <rPr>
              <rFont val="Carlito"/>
              <sz val="11"/>
            </rPr>
            <t xml:space="preserve">
No statewide levy limit. Five charter counties limit property tax revenue or rates in their charters: Anne Arundel (revenue growth capped at the lesser of 4.5% or CPI), Talbot and Wicomico (lesser of 2% or CPI), Prince George's (general rate capped at $0.96 per $100, the 1978 "TRIM" limit; special taxing districts such as M-NCPPC and the transit district excluded) and Montgomery (see below).
Montgomery County: until 2020 the charter limited property tax revenue growth to CPI (new construction excluded) unless all councilmembers voted to exceed it. In Nov. 2020 voters approved the council's Question A (62.4%), which replaced that revenue cap with a rate cap: the council may not raise the real property tax rate above the prior year's rate without a unanimous vote, so revenue now rises with assessments with no vote at all. A competing petition amendment (Question B) to bar any override of the revenue cap failed with 41.6%.
School exception: since 2012 state law lets any charter county exceed its charter limit if the added revenue goes to the school system. Four of the five (all except Wicomico) have used it at least once. Montgomery adopted a 4.7-cent rate increase for FY2024 on a 7-4 vote, and Prince George's levies $1.00 against its $0.96 cap.
Authority: county charters (e.g., Montgomery County Charter §305); SB 848 (2012, maintenance of effort).</t>
          </r>
        </is>
      </c>
      <c r="F21" s="4" t="inlineStr">
        <is>
          <r>
            <rPr>
              <rFont val="Carlito"/>
              <b val="1"/>
              <sz val="11"/>
            </rPr>
            <t>Yes.</t>
          </r>
          <r>
            <rPr>
              <rFont val="Carlito"/>
              <sz val="11"/>
            </rPr>
            <t xml:space="preserve">
Homestead Property Tax Credit: the taxable assessment of an owner-occupied principal residence may rise no more than 10% a year for state tax, and no more than a cap each county and city sets between 0% and 10% for local tax. 2026-27 county caps (SDAT): Talbot and Worcester 0%; Anne Arundel and Garrett 2%; Prince George's and St. Mary's 3%; Allegany, Baltimore City, Baltimore County and Cecil 4%; Caroline, Carroll, Dorchester, Frederick, Harford, Howard, Kent, Queen Anne's, Washington and Wicomico 5%; Charles 7%; Calvert, Montgomery and Somerset 10%. SDAT's table lists Worcester at 0% for 2026-27 (3% in 2025-26) and Garrett at 2% (3%). Owners must apply. Rental, commercial and second homes are not covered.
County tax relief from the credit: $392.8 million in FY2025 (3.5% of the base), $501.9 million in FY2026 and an estimated $587.9 million in FY2027 (4.8%). In FY2027 it equals 15.0% of Talbot's base, 12.7% of Anne Arundel's and 9.9% of Prince George's, against 0.4% in Montgomery (DLS).
Assessment phase-in (all property): every property is reassessed once every three years, and increases are phased in equally over three years; decreases take effect at once.
Authority: Md. Code, Tax-Prop. §9-105 (homestead credit); Tax-Prop. title 8 (three-year reassessment and phase-in); SDAT 2026-27 tax rate and homestead credit cap table.</t>
          </r>
        </is>
      </c>
      <c r="G21" s="4" t="inlineStr">
        <is>
          <r>
            <rPr>
              <rFont val="Carlito"/>
              <b val="1"/>
              <sz val="11"/>
            </rPr>
            <t>Partial.</t>
          </r>
          <r>
            <rPr>
              <rFont val="Carlito"/>
              <sz val="11"/>
            </rPr>
            <t xml:space="preserve">
No statewide limit on local rates. Prince George's County's charter caps its general rate at $0.96 per $100; the county levies $1.00 (2026-27) under the state's school-funding exception. Montgomery's charter bars a rate increase without a unanimous council vote, a bar the school exception overrides (FY2024: 4.7 cents, adopted 7-4). Other counties set rates by ordinance with no ceiling. SDAT lists 2026-27 county real property rates from $0.6706 per $100 in Montgomery to $2.248 in Baltimore City; Baltimore City, Baltimore County ($1.10) and Prince George's have held the same rates in every SDAT table since 2021. Since 2024 counties and Baltimore City may set a higher special rate on vacant and abandoned property.
Authority: Prince George's County Charter (TRIM, 1978); Montgomery County Charter §305; HB 2 (Ch. 277, 2024); SDAT 2026-27 tax rate table.</t>
          </r>
        </is>
      </c>
      <c r="H21" s="4" t="inlineStr">
        <is>
          <r>
            <rPr>
              <rFont val="Carlito"/>
              <b val="1"/>
              <sz val="11"/>
            </rPr>
            <t>No.</t>
          </r>
          <r>
            <rPr>
              <rFont val="Carlito"/>
              <sz val="11"/>
            </rPr>
            <t xml:space="preserve">
Maryland's school systems have no taxing power; the county funds them, and the county's limits apply to county taxes. The 2012 law exempts school funding from every charter limit, and the maintenance-of-effort rule requires counties to keep raising school funding as enrollment grows.</t>
          </r>
        </is>
      </c>
      <c r="I21" s="4" t="inlineStr">
        <is>
          <r>
            <rPr>
              <rFont val="Carlito"/>
              <b val="1"/>
              <sz val="11"/>
            </rPr>
            <t>Yes.</t>
          </r>
          <r>
            <rPr>
              <rFont val="Carlito"/>
              <sz val="11"/>
            </rPr>
            <t xml:space="preserve">
An additional state tax of $0.112 per $100 of assessed value on real property ($0.28 on public utility property), dedicated mainly to the Annuity Bond Fund that pays state general obligation debt. It does not replace any local tax. Census FY2022 state property tax revenue: about $931 million.
Authority: State rate set annually by the Board of Public Works; SDAT 2026-27 tax rate table.</t>
          </r>
        </is>
      </c>
      <c r="J21" s="4" t="inlineStr">
        <is>
          <r>
            <rPr>
              <rFont val="Carlito"/>
              <b val="1"/>
              <sz val="11"/>
            </rPr>
            <t>Partial.</t>
          </r>
          <r>
            <rPr>
              <rFont val="Carlito"/>
              <sz val="11"/>
            </rPr>
            <t xml:space="preserve">
Maryland has no general homestead exemption. Owner-occupied homes get the Homestead Property Tax Credit, which caps the growth in taxable assessment (see Assessment caps). Disabled veterans and their surviving spouses are fully exempt (Space Force members added in 2026). Blind owners and their surviving spouses are exempt on $40,000 of assessed value, up from $15,000 under a 2025 law. Counties and cities may grant their own credits, such as the local credit for disabled veterans, whose income limit rose to $150,000 ($300,000 joint) in 2026.
Authority: Md. Code, Tax-Prop. §7-207 (blind; HB 910/SB 911, 2025); §7-208 (disabled veterans; SB 194, 2026); §9-265 (HB 1611, 2026); §9-105.</t>
          </r>
        </is>
      </c>
      <c r="K21" s="4" t="inlineStr">
        <is>
          <r>
            <rPr>
              <rFont val="Carlito"/>
              <b val="1"/>
              <sz val="11"/>
            </rPr>
            <t>Yes.</t>
          </r>
          <r>
            <rPr>
              <rFont val="Carlito"/>
              <sz val="11"/>
            </rPr>
            <t xml:space="preserve">
Homeowners' Property Tax Credit ("circuit breaker"): a state-funded credit that limits the property tax on the first $300,000 of a home's value to a sliding percentage of household income, with income and net-worth limits; counties may add supplements. Applicants may attest to income in place of a tax return (2024), and applications become year-round beginning in fiscal 2028 (2026). Renters' Tax Credit: a state-funded refund for low-income renters (60+, disabled or with dependents); retirement accounts no longer count as assets (2024). State budget spending on property tax credits: $96.0 million in FY2025, $90.5 million appropriated for FY2027. Many counties offer their own senior and local supplemental credits; since 2026 each property tax bill must link to a county page listing them.
Authority: Md. Code, Tax-Prop. §9-104 (homeowners), §9-102 (renters); SB 283 and HB 287 (2024); HB 1330 and HB 1096 (2026).</t>
          </r>
        </is>
      </c>
      <c r="L21" s="4" t="inlineStr">
        <is>
          <r>
            <rPr>
              <rFont val="Carlito"/>
              <b val="1"/>
              <sz val="11"/>
            </rPr>
            <t>Partial.</t>
          </r>
          <r>
            <rPr>
              <rFont val="Carlito"/>
              <sz val="11"/>
            </rPr>
            <t xml:space="preserve">
- Homeowners' Property Tax Credit: the state pays an income-tested credit applied to eligible homeowners' county and municipal property tax bills; the FY2027 allowance is $55.9 million.
- Enterprise Zone property tax credit: the state reimburses local governments for 50% of a 10-year credit on qualifying real property improvements inside designated enterprise zones; the FY2027 allowance is $31.4 million.
Both programs reach a narrow group of owners. The Renters' Tax Credit ($3.1 million) is paid to renters, and disparity grants are general aid to counties with low income tax capacity; neither counts.
Authority: Md. Code, Tax-Prop. §§9-102, 9-103, 9-104; Md. Code, State Fin. &amp; Proc. §16-501; DLS, Analysis of the FY 2027 Maryland Executive Budget, E50C (SDAT).</t>
          </r>
        </is>
      </c>
      <c r="M21" s="4" t="inlineStr">
        <is>
          <r>
            <rPr>
              <rFont val="Carlito"/>
              <b val="1"/>
              <sz val="11"/>
            </rPr>
            <t>Partial.</t>
          </r>
          <r>
            <rPr>
              <rFont val="Carlito"/>
              <sz val="11"/>
            </rPr>
            <t xml:space="preserve">
Maryland repealed its truth-in-taxation law in 2023. The 1979 constant yield tax rate law required any county or city whose proposed rate exceeded the constant yield rate (the rate that raises last year's revenue from existing property) to advertise and hold a hearing. SB 114 (Chapter 531 of 2023, effective June 1, 2023) replaced that trigger: notice and a hearing are now required only when a taxing authority proposes to raise its nominal rate above the current year's rate. The notice goes in a newspaper and on the government's website; the hearing must come 7 to 21 days after the notice and by June 17. Rising assessments can raise revenue with no notice at all, though tax bills must show the prior and current county rates and, when rates did not rise, state that any increase comes from a higher assessment. Since June 1, 2025 (HB 133/SB 183), SDAT calculates the constant yield rate only when a taxing authority asks for it.
Coded Partial because Maryland meets none of the three key truth-in-taxation requirements (a rollback rate calculation, mailed parcel-specific notices and a governing-body vote to exceed the rollback rate); Maryland is one of five states that have repealed truth in taxation. A notice-and-hearing rule for rate increases remains.
Authority: Md. Code, Tax-Prop. §2-205; §6-308 (SB 114, Ch. 531, 2023; HB 133/SB 183, Chs. 71-72, 2025).</t>
          </r>
        </is>
      </c>
      <c r="N21" s="4" t="inlineStr">
        <is>
          <r>
            <rPr>
              <rFont val="Carlito"/>
              <b val="1"/>
              <sz val="11"/>
            </rPr>
            <t>Partial.</t>
          </r>
          <r>
            <rPr>
              <rFont val="Carlito"/>
              <sz val="11"/>
            </rPr>
            <t xml:space="preserve">
No rollback rate since 2023. SDAT once certified a constant yield rate for every county and city each year, and exceeding it required notice and a hearing. Chapter 531 of 2023 tied the notice to nominal rate increases, and since 2025 SDAT calculates the constant yield rate only on request. What remains is disclosure of nominal rate increases (notice, hearing and, for a violation, a court-ordered return to the prior rate) plus the charter revenue caps in Anne Arundel, Talbot and Wicomico, which lower rates as assessments rise only as a by-product (Wicomico's rate fell from $0.8855 in 2023-24 to $0.7799 in 2026-27). In FY2025 all 23 counties and Baltimore City set rates above the constant yield rate, raising an estimated $437.3 million more than constant yield rates would have (DLS). Farmland "rollback" taxes in Maryland are a penalty on converting agricultural land and do not limit revenue.
Authority: Md. Code, Tax-Prop. §§2-205, 6-308.</t>
          </r>
        </is>
      </c>
      <c r="O21" s="4" t="inlineStr">
        <is>
          <r>
            <rPr>
              <rFont val="Carlito"/>
              <b val="1"/>
              <sz val="11"/>
            </rPr>
            <t>Partial.</t>
          </r>
          <r>
            <rPr>
              <rFont val="Carlito"/>
              <sz val="11"/>
            </rPr>
            <t xml:space="preserve">
Montgomery County: raising the real property tax rate above the prior year's requires the vote of all 11 councilmembers, and an operating or capital budget above the council's own spending affordability guideline needs 8 of 11 votes (the FY2027 operating guideline was $6.728 billion, up 1.09%). The school exception lets a majority get around the unanimity rule: the FY2024 4.7-cent increase passed 7-4. On July 23, 2024 the council voted 5-6 against placing a charter amendment on the ballot to lower the threshold to two-thirds. Elsewhere county councils and commissioners set rates by majority vote.
Authority: Montgomery County Charter §305.</t>
          </r>
        </is>
      </c>
      <c r="P21" s="4" t="inlineStr">
        <is>
          <r>
            <rPr>
              <rFont val="Carlito"/>
              <b val="1"/>
              <sz val="11"/>
            </rPr>
            <t>No.</t>
          </r>
          <r>
            <rPr>
              <rFont val="Carlito"/>
              <sz val="11"/>
            </rPr>
            <t xml:space="preserve">
Counties set property tax rates by ordinance; there are no local property tax referenda. Charter amendments, including tax limits, go on general election ballots. Nov. 3, 2026: the three statewide questions (state employee arbitration, the Commission on Judicial Disabilities and election districts) do not touch property tax. Montgomery County's "Stop the Spend" petition (operating budget growth capped at inflation without a unanimous council vote) fell short with 9,698 valid signatures of the 10,000 required, and a court rejected the sponsors' challenge on Sept. 3, 2026.</t>
          </r>
        </is>
      </c>
      <c r="Q21" s="4" t="inlineStr">
        <is>
          <r>
            <rPr>
              <rFont val="Carlito"/>
              <b val="1"/>
              <sz val="11"/>
            </rPr>
            <t>No.</t>
          </r>
          <r>
            <rPr>
              <rFont val="Carlito"/>
              <sz val="11"/>
            </rPr>
            <t xml:space="preserve">
No statewide limit on how property tax revenue may be spent. The only state directive runs the other way: revenue raised above a charter limit under the 2012 law must go entirely to schools.</t>
          </r>
        </is>
      </c>
      <c r="R21" s="4" t="inlineStr">
        <is>
          <t>23 counties and Baltimore City; 157 municipalities, which levy their own rates on top of county taxes; 24 school systems, all fiscally dependent on their county (no independent school districts); bi-county and special taxing districts such as the Maryland-National Capital Park and Planning Commission (park and planning taxes in Montgomery and Prince George's), the Washington Suburban Transit District and county development and special taxing districts. Census of Governments 2022: 342 local governments, including 162 special districts (104 public drainage associations, most funded by benefit assessments).</t>
        </is>
      </c>
      <c r="S21" s="4" t="inlineStr">
        <is>
          <t>Verdict: Partly. Property tax per person rose 14.3% after inflation from FY2002 to FY2024, against 25.9% for the U.S., and fell 5.5% from FY2019 to FY2024 against a 1.1% U.S. drop.
Why it leaks: Maryland has no statewide levy or spending limit, and only five charter counties cap revenue or rates. A 2012 law lets charter counties exceed those caps for schools, and four of the five have. Montgomery's 2020 Question A swapped its revenue cap for a rate cap. SB 114 (2023) limited hearing notices to nominal rate increases.
How localities get around it: Prince George's levies $1.00 per $100 against its $0.96 charter cap under the school exception. For FY2027 Montgomery repealed its $692 Income Tax Offset Credit, a net $102 million homeowner tax increase that left the rate unchanged and so skipped the unanimity rule.
Full record:
Only for owner-occupied homes. The homestead credit binds in counties with low caps, but the county charter limits give way whenever a council invokes the school exception, and the state repealed its truth-in-taxation rule in 2023.
The record (Census, BEA, ACS): state and local property tax was $1,982 per person in FY2024 (U.S. $2,132), 2.49% of personal income (33rd-highest of 50; U.S. 2.89%). After inflation, collections per person (all state and local property tax divided by residents) rose 14.3% from FY2002 to FY2024 (U.S. +25.9%) and fell 5.5% from FY2019 to FY2024 (U.S. -1.1%). The median homeowner paid $4,144 in 2024 (U.S. $3,211); the median bill fell 2.5% after inflation from 2010 to 2024 (U.S. +9.3%). The Tax Foundation's 2026 ranking puts its effective property tax rate on owner-occupied homes at 0.92%, 30th-lowest of 50. By the same measure it was 0.80% in 2010 (U.S. 1.00% in 2010, 0.94% in 2024).
Schools exception: since 2012 any charter county may exceed its own revenue or rate cap if the money goes to schools, the largest part of every county budget; four of the five charter counties (all except Wicomico) have used it (Montgomery Perspective, 2024). Prince George's levies $1.00 per $100 against a $0.96 charter cap. Montgomery's council adopted a 4.7-cent increase for FY2024 by 7-4 despite a charter rule requiring a unanimous vote, and county departments outside the schools received large increases the same year.
Talbot: the county with the tightest rules (a 2%-or-CPI revenue cap and a 0% homestead cap) raised its rate every year from $0.7434 per $100 in 2023-24 to $0.8180 in 2026-27 (SDAT).
Credit repeal: for FY2027 Montgomery repealed the $692 Income Tax Offset Credit received by about three-quarters of county homeowners (more than 190,000 households), a net $102 million homeowner tax increase ($140 million gross). The rate did not change, so the unanimity rule never applied; some bills rose 25% (Montgomery Perspective, July 2, 2026).
Truth in taxation repealed: until 2023 a county had to advertise and hold a hearing whenever its rate exceeded the constant yield rate. In FY2023, 19 counties and Baltimore City set rates above the constant yield rate, 17 of them without changing the nominal rate; under the 2023 law only the two counties that raised their nominal rate had to give notice (DLS). In FY2025 all 23 counties and Baltimore City set rates above constant yield, collecting an estimated $437.3 million more (DLS).
Homestead credit gaps: the credit limits only taxable assessments on owner-occupied homes; governments can still raise rates or cut credits, and renters, landlords and businesses get no assessment protection. Where caps are low the protection is large: county relief is estimated at $587.9 million in FY2027, 15.0% of Talbot's base and 12.7% of Anne Arundel's, against 0.4% in Montgomery, which keeps the 10% maximum.
Shift to income tax: Maryland counties and Baltimore City levy local income taxes piggybacked on the state tax, which supply 36% of local tax revenue (Census FY2022); property tax supplies 52%, below the national 70%. The 2025 budget law raised the county income tax cap from 3.2% to 3.3%, and Montgomery adopted progressive income tax brackets in 2026.
Cost shift: the 2025 budget law moved 90% of SDAT's assessment costs onto the counties and Baltimore City ($21.2 million in FY2026).
Mandated spending: maintenance-of-effort rules and the Blueprint for Maryland's Future require rising county school contributions, which pushes counties toward higher property and income taxes.
The Tax Foundation ranks Maryland 46th overall and 36th on property tax.</t>
        </is>
      </c>
      <c r="T21" s="4" t="inlineStr">
        <is>
          <t>- Committee to Control Montgomery County Spending (taxpayer ballot committee), statement as covered in "Stop the Spend Charter Amendment Fails" (Montgomery Perspective, Aug. 17, 2026). The committee says its charter amendment "would have required unanimous County Council approval when annual County spending increased faster than inflation." The Board of Elections found 9,698 of 14,074 submitted signatures valid, short of the 10,000 needed, and the committee plans to collect again for the 2028 ballot. https://montgomeryperspective.com/2026/08/17/stop-the-spend-charter-amendment-fails/
- Committee to Control Montgomery County Spending (taxpayer ballot committee), "Stop the Spend Initiative Submits over 11,200 Signatures" (July 21, 2026). Its proposed charter amendment would limit annual growth in overall county spending to the rate of inflation unless all members of the County Council vote to exceed the limit; the committee says "County spending rose over 44% in the past 8 years." https://montgomeryperspective.com/2026/07/22/will-stop-the-spend-get-on-the-ballot/
- Tax Foundation, "Two Virginia Income Tax Proposals Would Make the State Less Affordable" (Feb. 4, 2026). In its regional comparison of combined top income tax rates, notes that Maryland adds local income taxes averaging 2.66% to the state rate (Kentucky 1.39%), the revenue source Maryland counties lean on beside the property tax. https://taxfoundation.org/blog/virginia-income-tax-proposals-2026/
- Renew Baltimore (taxpayer ballot committee), statement as covered in "There will be no baby bonus and no property tax cut on Baltimore City ballot" (WYPR, Aug. 29, 2024). Its charter amendment would have cut Baltimore's property tax rate, the highest in Maryland, from 2.248% to 1.2% over seven years. The Maryland Supreme Court upheld lower-court rulings that the measure conflicts with state law, and the group said the decision "denies the will of 23,542 Baltimore City residents who signed a petition." https://www.wypr.org/wypr-news/2024-08-29/there-will-be-no-baby-bonus-and-no-property-tax-cut-on-baltimore-city-ballot
- Maryland Public Policy Institute (free-market think tank): no property tax report since 2021 was found in site and web searches.
- Free State Foundation (State Policy Network associate): no property tax report since 2021 was found.
- Maryland Family Institute (State Policy Network associate): no property tax report since 2021 was found.
- Americans for Prosperity-Maryland: no property tax item since 2021 was found in AFP's site search.
Linked list: 4 items on the Analyses sheet (filter State = Maryland); every source URL is linked on the Sources sheet.</t>
        </is>
      </c>
      <c r="U21" s="4" t="inlineStr">
        <is>
          <t>1978: Prince George's TRIM charter amendment capped the county rate.
2012: SB 848 (maintenance of effort) let counties exceed charter tax limits for schools and strengthened enforcement of school funding requirements.
2020: Montgomery County voters replaced the revenue cap with a rate cap (Question A, 62.4%) and rejected a no-override amendment (Question B, 41.6%).
2021: Blueprint for Maryland's Future raised required state and local school funding.
2023: SB 114 (Ch. 531, effective June 1, 2023) repealed the constant yield notice-and-hearing requirement and substituted a notice for nominal rate increases. Montgomery adopted a 4.7-cent rate increase for FY2024 (7-4) under the school exception.
2024: HB 2 (Ch. 277) let counties and Baltimore City set a special rate on vacant and abandoned property. HB 154/SB 286 allowed retroactive homestead credits for owners 70 and older; SB 283 and HB 287 eased homeowners' and renters' credit rules. July 23, 2024: the Montgomery council voted 5-6 against a ballot question to lower its override threshold from unanimous to two-thirds.
2025: The Budget Reconciliation and Financing Act (HB 352, Ch. 604) raised the cap on county income tax rates from 3.2% to 3.3%, made counties pay 90% of SDAT assessment costs, and added state income tax brackets of 6.25% and 6.5% and a 2% capital gains surtax. HB 133/SB 183 (Chs. 71-72) made the constant yield calculation available only on request. SB 204 moved the rate-setting deadline to June 20. HB 910/SB 911 raised the blind exemption to $40,000. HB 416, letting Prince George's set a vacant-property rate above its charter limit, received an unfavorable committee report.
2026: Enacted HB 1330 (year-round homeowners' credit applications from fiscal 2028), HB 1611 (higher income limit for the local disabled veterans' credit), HB 842 (local credit for surviving spouses of service members) and HB 1096 (credit list linked on every bill). HB 1224, letting charter counties set vacant-property rates above charter limits, did not pass the Senate. Montgomery repealed its $692 Income Tax Offset Credit for FY2027 (net $102 million homeowner increase). Montgomery's "Stop the Spend" petition to cap budget growth at inflation fell short of the ballot (9,698 valid signatures of 10,000 needed; court challenge rejected Sept. 3, 2026); sponsors plan a 2028 attempt.
2026-27: county homestead caps range from 0% (Talbot, Worcester) to 10%.
No statewide Maryland property tax measure is on the Nov. 3, 2026 ballot.</t>
        </is>
      </c>
      <c r="V21" s="4" t="inlineStr">
        <is>
          <t>30th (0.92% effective rate; 0.80% in 2010)</t>
        </is>
      </c>
      <c r="W21" s="4" t="inlineStr">
        <is>
          <t>Maryland's main protection is the Homestead Property Tax Credit, which caps assessment growth on owner-occupied homes at 10% or less (0% in Talbot and Worcester for 2026-27). The state repealed its constant yield truth-in-taxation rule in 2023, so only nominal rate increases now require notice and a hearing. Five counties have charter limits, which state law voids for school spending; Montgomery converted its revenue cap into a rate cap in 2020, broke it for schools in 2023 and raised homeowner bills in 2026 by repealing a credit. Counties rely heavily on local income taxes, whose cap rose to 3.3% in 2025.</t>
        </is>
      </c>
      <c r="X21" s="4" t="inlineStr">
        <is>
          <t>https://dat.maryland.gov/SiteAssets/Pages/Tax-Rates/Tax%20Rates%202026-2027%20-%20Tax%20Table%20%26%20Homestead%20Credit%20Caps_July%202026_0926-A.pdf
https://mgaleg.maryland.gov/2012rs/fnotes/bil_0000/sb0740.pdf
https://mgaleg.maryland.gov/2012rs/fnotes/bil_0008/sb0848.pdf
https://conduitstreet.mdcounties.org/2020/11/04/montgomery-residents-vote-to-remodel-property-tax-structure-expand-council-membership/
https://marylandmatters.org/2020/09/29/montgomery-county-ballot-questions-―-on-property-taxes-council-makeup-explained/
https://dls.maryland.gov/pubs/prod/NoPblTabPDF/2026HomesteadPropertyTaxCredit.pdf
https://www.lincolninst.edu/app/uploads/2024/12/assessment_limits_2022-3.xlsx
https://www2.census.gov/programs-surveys/gov-finances/tables/2022/22slsstab1.xlsx
https://mgaleg.maryland.gov/mgawebsite/Laws/StatuteText?article=gtp&amp;section=6-308&amp;enactments=false
https://mgaleg.maryland.gov/mgawebsite/Laws/StatuteText?article=gtp&amp;section=2-205&amp;enactments=false
https://mgaleg.maryland.gov/2023RS/fnotes/bil_0004/sb0114.pdf
https://mgaleg.maryland.gov/2025RS/fnotes/bil_0003/hb0133.pdf
https://dat.maryland.gov/realproperty/Pages/Constant-Yield-Tax-Rates.aspx
https://storage.pardot.com/153411/1721770738w2cOfbLK/Um_WP24YU1.pdf
https://www.lincolninst.edu/app/uploads/2024/10/truth_in_taxation_2024.xlsx
https://dat.maryland.gov/Documents/Accessible%20Documents/Real%20Property%20Reports/Tax%20Rates%20and%20Homestead%20Cap%20Percentages/County%20%26%20Municipal%20property%20tax%20rates%20%26%20Homestead%20Credit%20Caps%20in%20effect%20for%20July%201%2c%202025%20tax%20bills_0426-A%20%281%29.pdf
https://dat.maryland.gov/Documents/Accessible%20Documents/Real%20Property%20Reports/Tax%20Rates%20and%20Homestead%20Cap%20Percentages/County%20%26%20Municipal%20property%20tax%20rates%20in%20effect%20for%20July%201%2c%202023%20tax%20bills_0426-A.pdf
https://dls.maryland.gov/pubs/prod/RecurRpt/23rs_90_Day_Report.pdf
https://dls.maryland.gov/pubs/prod/RecurRpt/24rs_90_Day_Report.pdf
https://dls.maryland.gov/pubs/prod/RecurRpt/25rs_90_Day_Report.pdf
https://dls.maryland.gov/pubs/prod/RecurRpt/26rs_90_Day_Report.pdf
https://www.mymcmedia.org/councilmembers-support-4-7-cent-property-tax-increase/
https://montgomeryperspective.com/2024/07/18/should-we-make-property-tax-hikes-easier-part-two/
https://montgomeryperspective.com/2024/07/24/how-the-council-voted-on-making-property-tax-hikes-easier/
https://montgomeryperspective.com/2026/05/13/the-challenge-of-getting-to-eight/
https://montgomeryperspective.com/2026/07/02/mocos-shocking-homeowner-tax-hike/
https://montgomeryperspective.com/2026/08/03/another-tax-hike/
https://montgomeryperspective.com/2026/07/22/will-stop-the-spend-get-on-the-ballot/
https://montgomeryperspective.com/2026/08/17/stop-the-spend-charter-amendment-fails/
https://montgomeryperspective.com/2026/09/04/more-outrage-over-taxes-top-stories-august-2026/
https://www.elections.maryland.gov/elections/2026/general_ballots/Cecil.pdf
https://taxfoundation.org/blog/virginia-income-tax-proposals-2026/</t>
        </is>
      </c>
    </row>
    <row r="22" ht="409" customHeight="1">
      <c r="A22" s="13" t="inlineStr">
        <is>
          <t>Massachusetts</t>
        </is>
      </c>
      <c r="B22" s="4" t="inlineStr">
        <is>
          <r>
            <rPr>
              <rFont val="Carlito"/>
              <b val="1"/>
              <sz val="14"/>
            </rPr>
            <t>D.</t>
          </r>
          <r>
            <rPr>
              <rFont val="Carlito"/>
              <sz val="11"/>
            </rPr>
            <t xml:space="preserve">
Restriction points 8.25 of 18 (levy limit 4; rate cap 2; rollback 0.5; supermajority 0.5; school districts covered 1; use restrictions 0.25). Deductions: built-in loopholes -1.5; workarounds in practice -1.5; state buydowns +0; data record -1. Total 4.25 = D (A 11+, B 8.5-10.9, C 5.5-8.4, D 3-5.4, F under 3).
Why: Proposition 2½ is a binding statewide levy limit backed by a 2.5% levy ceiling, and conservative groups credit it with cutting the residential effective rate from 3.72% before 1980 to about 1%. The record is still near the bottom: per-person collections and homeowner bills rank among the six highest, the share of income is above average, and long-run growth outpaced the nation. Voters lift the limit routinely (84% of debt exclusions pass, and spring 2026 brought the three largest overrides ever), and Boston relies on new growth and classification. No buydown adjustment: state aid is general aid, and no program buys down local rates.</t>
          </r>
        </is>
      </c>
      <c r="C22" s="4">
        <f>((LEFT(D22,3)="Yes")+(LEFT(E22,3)="Yes")+(LEFT(F22,3)="Yes")+(LEFT(G22,3)="Yes"))&amp;" of 4 in force"&amp;IF(((LEFT(D22,7)="Partial")+(LEFT(E22,7)="Partial")+(LEFT(F22,7)="Partial")+(LEFT(G22,7)="Partial"))&gt;0," + "&amp;((LEFT(D22,7)="Partial")+(LEFT(E22,7)="Partial")+(LEFT(F22,7)="Partial")+(LEFT(G22,7)="Partial"))&amp;" partial","")&amp;CHAR(10)&amp;CHAR(10)&amp;IF(LEFT(D22,3)="Yes","✓",IF(LEFT(D22,7)="Partial","◐","✗"))&amp;" Spending limit"&amp;CHAR(10)&amp;IF(LEFT(E22,3)="Yes","✓",IF(LEFT(E22,7)="Partial","◐","✗"))&amp;" Levy limit"&amp;CHAR(10)&amp;IF(LEFT(F22,3)="Yes","✓",IF(LEFT(F22,7)="Partial","◐","✗"))&amp;" Assessment cap"&amp;CHAR(10)&amp;IF(LEFT(G22,3)="Yes","✓",IF(LEFT(G22,7)="Partial","◐","✗"))&amp;" Rate cap"</f>
        <v/>
      </c>
      <c r="D22" s="4" t="inlineStr">
        <is>
          <r>
            <rPr>
              <rFont val="Carlito"/>
              <b val="1"/>
              <sz val="11"/>
            </rPr>
            <t>No.</t>
          </r>
          <r>
            <rPr>
              <rFont val="Carlito"/>
              <sz val="11"/>
            </rPr>
            <t xml:space="preserve">
No limit on municipal spending as such. Proposition 2½ limits the property tax levy (see levy limit); spending funded by state aid, local option taxes, fees and enterprise funds is unrestricted.</t>
          </r>
        </is>
      </c>
      <c r="E22" s="4" t="inlineStr">
        <is>
          <r>
            <rPr>
              <rFont val="Carlito"/>
              <b val="1"/>
              <sz val="11"/>
            </rPr>
            <t>Yes.</t>
          </r>
          <r>
            <rPr>
              <rFont val="Carlito"/>
              <sz val="11"/>
            </rPr>
            <t xml:space="preserve">
Proposition 2½ (citizen initiative, Nov. 1980): each city and town's levy limit may grow no more than 2.5% a year plus "new growth" (taxes on new construction, renovations and newly taxable property). The limit compounds from the prior year's limit, so capacity a town does not use carries forward ("excess levy capacity": $833 million statewide in FY2026, 3.4% of levy limits, with 204 municipalities under 1%).
Ways above it, all by majority vote of local voters at a referendum:
- General override: a permanent increase in the levy limit (placed on the ballot by majority vote of the select board or city council with mayoral approval).
- Debt exclusion: a temporary increase for the life of a bond issue, placed on the ballot by a two-thirds vote of the select board or council.
- Capital expenditure exclusion: a one-year increase for a capital project, also needing a two-thirds governing-body vote.
- Stabilization fund override: a permanent increase dedicated to a reserve fund that grows 2.5% a year and must be appropriated each year by a two-thirds vote (13 municipalities have adopted one).
Also outside the limit: the Community Preservation Act surcharge of up to 3% of the real estate levy (201 communities); and, in a city or town that accepts §21C(n), water and sewer debt service moved onto the tax bill by the governing body without a referendum (water and sewer charges must fall by the same amount).
Authority: M.G.L. c. 59, §21C(f), (g), (i½), (k), (n) (Chapter 580 of the Acts of 1980); M.G.L. c. 44B, §3 (CPA).</t>
          </r>
        </is>
      </c>
      <c r="F22" s="4" t="inlineStr">
        <is>
          <r>
            <rPr>
              <rFont val="Carlito"/>
              <b val="1"/>
              <sz val="11"/>
            </rPr>
            <t>No.</t>
          </r>
          <r>
            <rPr>
              <rFont val="Carlito"/>
              <sz val="11"/>
            </rPr>
            <t xml:space="preserve">
No cap on growth in assessed value; property is revalued annually at full and fair cash value, and the Commissioner of Revenue certifies each community's values every fifth year. Local options shift the burden among owners without limiting it. Classification lets a city or town tax commercial, industrial and personal property at up to 150% of that class's share of total value, or up to 175% where the lower limit would raise the residential share; Boston's council votes for the 175% maximum every year. A residential exemption of up to 35% of the average assessed value of residential parcels, for principal residences only, moves tax from owner-occupied homes to rentals, second homes and high-value homes (used by Boston, Cambridge, Somerville and others).
Authority: M.G.L. c. 40, §56 and c. 58, §1A (classification); c. 59, §5C (residential exemption).</t>
          </r>
        </is>
      </c>
      <c r="G22" s="4" t="inlineStr">
        <is>
          <r>
            <rPr>
              <rFont val="Carlito"/>
              <b val="1"/>
              <sz val="11"/>
            </rPr>
            <t>Yes.</t>
          </r>
          <r>
            <rPr>
              <rFont val="Carlito"/>
              <sz val="11"/>
            </rPr>
            <t xml:space="preserve">
Levy ceiling: a city or town's total property tax levy may not exceed 2.5% of the full and fair cash value of all taxable property, equivalent to a maximum average rate of $25 per $1,000. A general override cannot lift the levy above the ceiling; debt and capital exclusions can.
Authority: M.G.L. c. 59, §21C(b).</t>
          </r>
        </is>
      </c>
      <c r="H22" s="4" t="inlineStr">
        <is>
          <r>
            <rPr>
              <rFont val="Carlito"/>
              <b val="1"/>
              <sz val="11"/>
            </rPr>
            <t>Yes.</t>
          </r>
          <r>
            <rPr>
              <rFont val="Carlito"/>
              <sz val="11"/>
            </rPr>
            <t xml:space="preserve">
Most school districts are municipal departments or regional districts funded through member-town assessments, so school operating costs sit inside each town's levy limit. School building debt is the most common reason for debt exclusion votes, which take it outside the limit. State Chapter 70 aid and the School Building Authority cover part of school costs.</t>
          </r>
        </is>
      </c>
      <c r="I22" s="4" t="inlineStr">
        <is>
          <r>
            <rPr>
              <rFont val="Carlito"/>
              <b val="1"/>
              <sz val="11"/>
            </rPr>
            <t>No.</t>
          </r>
          <r>
            <rPr>
              <rFont val="Carlito"/>
              <sz val="11"/>
            </rPr>
            <t xml:space="preserve">
No state property tax; all property taxes are levied by cities and towns.</t>
          </r>
        </is>
      </c>
      <c r="J22" s="4" t="inlineStr">
        <is>
          <r>
            <rPr>
              <rFont val="Carlito"/>
              <b val="1"/>
              <sz val="11"/>
            </rPr>
            <t>Partial.</t>
          </r>
          <r>
            <rPr>
              <rFont val="Carlito"/>
              <sz val="11"/>
            </rPr>
            <t xml:space="preserve">
No general homestead exemption statewide. Local options: the residential exemption (up to 35% of the average assessed value of residential parcels, for principal residences; in Boston it cut the average homeowner's FY2026 bill by $4,354) and the statutory "clause" exemptions of M.G.L. c. 59, §5 for seniors, surviving spouses, disabled veterans and blind residents. Senate bills passed Jan. 15, 2026 would let towns raise the senior exemption limit from $500 to $1,500 and adopt a means-tested senior exemption; the House had not acted on them when formal sessions ended July 31, 2026.
Authority: M.G.L. c. 59, §§5, 5C.</t>
          </r>
        </is>
      </c>
      <c r="K22" s="4" t="inlineStr">
        <is>
          <r>
            <rPr>
              <rFont val="Carlito"/>
              <b val="1"/>
              <sz val="11"/>
            </rPr>
            <t>Yes.</t>
          </r>
          <r>
            <rPr>
              <rFont val="Carlito"/>
              <sz val="11"/>
            </rPr>
            <t xml:space="preserve">
Senior Circuit Breaker: a refundable state income tax credit for residents 65+ whose property tax (or 25% of rent) exceeds 10% of income. For tax year 2025 the maximum credit is $2,820; total income may not exceed $75,000 (single), $94,000 (head of household) or $112,000 (joint), and the home's assessed value may not exceed $1,298,000. The 2023 tax relief law doubled the statutory base amount (from $750 to $1,500), indexed afterward. Towns may also offer senior work-off abatements and tax deferrals.
Authority: M.G.L. c. 62, §6(k); St. 2023, c. 50, §17; DOR TIR 25-7 (Oct. 24, 2025).</t>
          </r>
        </is>
      </c>
      <c r="L22" s="4" t="inlineStr">
        <is>
          <r>
            <rPr>
              <rFont val="Carlito"/>
              <b val="1"/>
              <sz val="11"/>
            </rPr>
            <t>Partial.</t>
          </r>
          <r>
            <rPr>
              <rFont val="Carlito"/>
              <sz val="11"/>
            </rPr>
            <t xml:space="preserve">
The state reimburses cities and towns for property tax exemptions granted to qualifying veterans, surviving spouses, blind persons and older homeowners under clauses 17, 22, 37 and 41 of G.L. c. 59, §5 and their sub-clauses. The FY2027 budget (signed July 9, 2026) appropriates $43.1 million for these reimbursements, up from $39.0 million in FY2026. Eligibility for these exemptions turns on veteran status, disability, age or income, so the program is narrow. Unrestricted General Government Aid ($1.363 billion), Chapter 70 school aid, payments in lieu of taxes on state-owned land and the income tax senior circuit breaker do not count under this test.
Authority: G.L. c. 59, §5, cls. 17, 22-22F, 37, 37A, 41, 41B, 41C, 41C½ and 52; FY2027 General Appropriations Act, line item 1233-2000.</t>
          </r>
        </is>
      </c>
      <c r="M22" s="4" t="inlineStr">
        <is>
          <r>
            <rPr>
              <rFont val="Carlito"/>
              <b val="1"/>
              <sz val="11"/>
            </rPr>
            <t>No.</t>
          </r>
          <r>
            <rPr>
              <rFont val="Carlito"/>
              <sz val="11"/>
            </rPr>
            <t/>
          </r>
        </is>
      </c>
      <c r="N22" s="4" t="inlineStr">
        <is>
          <r>
            <rPr>
              <rFont val="Carlito"/>
              <b val="1"/>
              <sz val="11"/>
            </rPr>
            <t>Partial.</t>
          </r>
          <r>
            <rPr>
              <rFont val="Carlito"/>
              <sz val="11"/>
            </rPr>
            <t xml:space="preserve">
No certified rollback rate. Under Proposition 2½ the dollar levy limit binds: when values rise, the rate must fall so the levy grows no more than 2.5% plus new growth, unless voters approve an override or exclusion.
Authority: M.G.L. c. 59, §21C.</t>
          </r>
        </is>
      </c>
      <c r="O22" s="4" t="inlineStr">
        <is>
          <r>
            <rPr>
              <rFont val="Carlito"/>
              <b val="1"/>
              <sz val="11"/>
            </rPr>
            <t>Partial.</t>
          </r>
          <r>
            <rPr>
              <rFont val="Carlito"/>
              <sz val="11"/>
            </rPr>
            <t xml:space="preserve">
Voters approve overrides and exclusions by simple majority. Placing a debt exclusion or capital exclusion on the ballot requires a two-thirds vote of the select board or city council; a general override needs only a majority of the board. Each year's appropriation of a stabilization fund override needs a two-thirds vote. A community taxing above the 2.5% levy ceiling must cut its levy 15% a year; a two-thirds governing-body vote can ask voters to soften the cut, and a request for more than half of the required reduction needs two-thirds of voters.
Authority: M.G.L. c. 59, §21C(e), (g), (i½), (k).</t>
          </r>
        </is>
      </c>
      <c r="P22" s="4" t="inlineStr">
        <is>
          <r>
            <rPr>
              <rFont val="Carlito"/>
              <b val="1"/>
              <sz val="11"/>
            </rPr>
            <t>No.</t>
          </r>
          <r>
            <rPr>
              <rFont val="Carlito"/>
              <sz val="11"/>
            </rPr>
            <t xml:space="preserve">
Override and exclusion questions may go on the ballot at a regular city or town election or at a special election the governing body calls at any time; up to three may be placed on the biennial state election ballot if the vote is filed with the Secretary of the Commonwealth by the first Wednesday of August. When a town meeting appropriates money contingent on a ballot vote, the election must be held by Sept. 15 (after an annual town meeting) or within 90 days (after any other town meeting).
Authority: M.G.L. c. 59, §21C(i), (m).</t>
          </r>
        </is>
      </c>
      <c r="Q22" s="4" t="inlineStr">
        <is>
          <r>
            <rPr>
              <rFont val="Carlito"/>
              <b val="1"/>
              <sz val="11"/>
            </rPr>
            <t>Partial.</t>
          </r>
          <r>
            <rPr>
              <rFont val="Carlito"/>
              <sz val="11"/>
            </rPr>
            <t xml:space="preserve">
Debt and capital exclusion revenue may be used only for the named project or bond. Override ballot questions must state their purposes, and stabilization fund override money may be spent only for the fund's purpose; and CPA surcharges must go to open space, historic preservation, affordable housing and recreation. The general levy is unrestricted.
Authority: M.G.L. c. 59, §21C; c. 44B.</t>
          </r>
        </is>
      </c>
      <c r="R22" s="4" t="inlineStr">
        <is>
          <t>351 cities and towns, which levy nearly all property tax; 14 counties, most of which no longer have county governments (Census counts 5; the rest of county functions moved to the state in 1997-2000); regional school districts that assess member towns (Census counts 85 independent school governments); fire, water and improvement districts, some with their own levies; and 250 housing authorities in the Census count, which levy no tax. Census of Governments 2022: 856 local governments.</t>
        </is>
      </c>
      <c r="S22" s="4" t="inlineStr">
        <is>
          <t>Verdict: Failed. Property tax per person rose 35.7% after inflation from FY2002 to FY2024, against 25.9% for the U.S.
Why it leaks: Proposition 2½ lets each levy limit rise 2.5% a year plus new growth from construction, and unused capacity carries forward ($833 million statewide in FY2026). Voters can raise the limit for good by simple majority through a general override, and debt exclusions move bond costs, mostly for school buildings, outside it. The Community Preservation Act surcharge of up to 3% also sits outside the limit, and the state has no limit on municipal spending.
How localities get around it: Brookline passed a record $23.25 million override on May 5, 2026, raising its property taxes 18% over three years. Statewide, voters approved 2,859 of 3,397 debt exclusions from 2000 to 2025, adding $777 million to FY2026 tax bills.
Full record:
Proposition 2½ still caps the base levy at 2.5% a year plus new growth, but voters in affluent suburbs now lift it routinely and in record amounts, and Boston leans on new construction and on shifting the bill to business property.
The record (Census, BEA, ACS): state and local property tax was $3,215 per person in FY2024 (U.S. $2,132), 3.39% of personal income (9th-highest of 50; U.S. 2.89%). After inflation, collections per person (all state and local property tax divided by residents) rose 35.7% from FY2002 to FY2024 (U.S. +25.9%) and rose 1.2% from FY2019 to FY2024 (U.S. -1.1%). The median homeowner paid $6,080 in 2024 (U.S. $3,211); the median bill rose 17.6% after inflation from 2010 to 2024 (U.S. +9.3%). The Tax Foundation's 2026 ranking puts its effective property tax rate on owner-occupied homes at 1.00%, 35th-lowest of 50. By the same measure it was 0.96% in 2010 (U.S. 1.00% in 2010, 0.94% in 2024).
Overrides: the Division of Local Services counts 74 general override questions in 57 municipalities for FY2026; 36 passed, adding $75.3 million to levy limits (FY2025: 52 questions in 45 municipalities, 23 passed, $48.2 million). In 2026, 54 cities and towns proposed overrides, the second most since the early 1990s (MassBudget count). Spring 2026 produced the three largest overrides in the law's history: Arlington $14.8 million (March 28), Brookline $23.25 million (May 5, by 8,859 to 5,826) and Marblehead $15 million plus a $2.3 million trash override (June 9). The record until 2023 was Newton's $11.5 million (2002). A Boston Globe review found that three-quarters of the 20 largest override requests from 1989 to 2025 came in the last five years, most of them approved. Brookline's override raises the town's property taxes 18% over three years, against 11% without it.
Debt exclusions: from 2000 to 2025, 3,397 debt exclusion questions went to voters and 2,859 (84%) passed; excluded debt added $777 million to FY2026 tax bills. Capital exclusions: 571 questions, 418 (73%) approved, $5.4 million in FY2026. Marblehead approved 68 of 84 debt exclusions since 1982 while passing 3 of 21 operating overrides.
Levy growth: FY2026 levies in the 343 communities with certified rates rose $1.2 billion, from $22.8 billion to $24 billion; the median community's levy rose 4.2%. New growth added $387.4 million (1.7% of the prior limit, the lowest since FY2010-FY2013). Unused levy capacity totals $833 million (3.4% of levy limits); the 20 municipalities with the most hold over 75% of it, and 204 municipalities have less than 1% left.
Big cities: Boston's FY2027 budget counts on a $3.61 billion levy (73.1% of city revenue), and its levy growth from new construction exceeded the 2.5% increase in 13 of the last 20 years. As downtown office values fell, the City Council kept the commercial share at the 175% legal maximum and the residential exemption at 35% (worth $4,354 to the average homeowner), and residential bills still rose 13% ($780 on average) in FY2026, the second double-digit year in a row. Mayor Wu sought a home-rule exception to push the commercial share to 181% for three years and called for repeal of Proposition 2½ (Tax Foundation); the Senate rejected the shift 33-5 on Jan. 15, 2026. Cambridge raised its FY2027 levy 4% while taxing at 82% of its levy capacity; its commercial rate rose 21% after a 22% increase the year before.
Assessments: Pioneer New England Legal Foundation alleges that Boston raised the assessments of commercial owners who appealed; the city has disclosed about 150 affected properties, and a Superior Court judge let a class action proceed on May 11, 2026.
Water and sewer: a city or town that accepts §21C(n) can move water and sewer debt onto the property tax above the limit without a referendum.
Off-budget charges: towns shifted costs into water, sewer, trash and stormwater fees and enterprise funds, and the Legislature authorized local option meals and hotel taxes; the CPA surcharge adds up to 3% outside the limit in 201 communities.
What conservative groups found: the Fiscal Alliance Foundation (2026) puts the statewide effective rate on residential property at 1.04%, against 3.72% before the law; the Tax Foundation (2025) finds bills would have risen much more without it.
Revenue mix: property tax is 95% of local tax revenue (Census FY2022), so the limit binds the dominant local tax. The Tax Foundation ranks Massachusetts 48th on property tax.</t>
        </is>
      </c>
      <c r="T22" s="4" t="inlineStr">
        <is>
          <t>- Pioneer Institute (Pioneer New England Legal Foundation), "Pioneer Calls on MA Leaders to Probe Department Of Revenue’s Inaction" (Sept. 21, 2026). Asks the Joint Committee on Revenue and the Secretary of Administration and Finance to find out why the Commissioner of Revenue declined to investigate evidence that Boston raised commercial assessments after owners appealed; the foundation showed him 59 such cases in 2025, and the city has since disclosed 150. https://pioneerinstitute.org/pioneer-calls-on-ma-leaders-to-probe-department-of-revenues-inaction/
- Pioneer Institute (Pioneer New England Legal Foundation), "Pioneer New England Legal Foundation Urges DOR to Reopen Tax Assessments Probe After Boston Makes Initial Disclosure of 150 Properties Affected by Retaliatory Assessment Increases" (Aug. 18, 2026). Alleges Boston systematically raised the assessed value of commercial properties whose owners appealed to the Appellate Tax Board, shifting more of the levy onto business owners and their tenants; its class action, filed in December 2025, survived the city's motion to dismiss in substantial part on May 11, 2026. https://pioneerinstitute.org/pioneer-new-england-legal-foundation-urges-dor-to-reopen-tax-assessments-probe-after-boston-makes-initial-disclosure-of-150-properties-affected-by-retaliatory-assessment-increases/
- Fiscal Alliance Foundation, Jared Walczak, "Rent control ballot measure would raise property taxes on homeowners" (June 4, 2026). Finds the proposed statewide rent control initiative would add about $312 a year to the property tax on the median single-family home, and about $1,117 on the average Boston home, because controlled apartment buildings would be assessed lower and share a residential class with owner-occupied homes, so tax rates rise to keep levies whole. https://www.fiscalalliancefoundation.org/rent-control-property-taxes
- Fiscal Alliance Foundation, Jared Walczak, "Proposition 2½ saves homeowners thousands and remains a critical protection" (May 5, 2026). The effective residential property tax rate is about 1.04%, down from 3.72% before the law; the median bill of about $6,896 would exceed $24,000 without it. Levies have still grown an average of 4.4% a year over two decades, 97 municipalities have never passed an override, and the study names thin state aid as the main source of local fiscal strain: aid at national norms would bring cities and towns $1.82 billion more. https://www.fiscalalliancefoundation.org/prop-2-5-study
- Massachusetts Fiscal Alliance (State Policy Network associate), "The Push to Weaken Prop 2 ½" (Dec. 17, 2025). Answers the Massachusetts Municipal Association's call for changes to the law, which the MMA says has become "too restrictive" for cities and towns; says Beacon Hill has underfunded local aid while state revenues soared, spending "nearly $1 billion a year" on the migrant crisis, and that the MMA should press to eliminate costly mandates such as prevailing wage and rigid climate rules. https://www.massfiscal.org/the_push_to_weaken_prop_2
- Tax Foundation, Nicole Fox, "Massachusetts Proposition 2½ Is Working" (Nov. 14, 2025). Massachusetts still has the 6th-highest property tax collections per person and the 10th-highest as a share of income, but levy limits "tend to be the most structurally sound remedy," and bills would have risen much more without Prop 2½; written after Mayor Wu called for its repeal, it warns lawmakers against reopening the law. https://taxfoundation.org/research/all/state/massachusetts-property-tax-proposition-2-12/
- Massachusetts Fiscal Alliance (State Policy Network associate), "MassFiscal Responds to Mayor Wu’s Call to Undermine Proposition 2½" (Sept. 23, 2025). Answers Boston Mayor Michelle Wu's criticism of the law by noting that it already lets cities and towns ask voters for an override and that "Boston has never even attempted an override"; says the mayor should press Beacon Hill to return state revenue to cities and towns through local aid, after "over $1 billion a year" went to shelter costs in recent years. https://www.massfiscal.org/massfiscal_responds_to_mayor_wu_s_call_to_undermine_proposition_2
- Pioneer Institute, "Mayor Wu’s Commercial Property Tax Proposal: A Solution or a Snuff?" (April 2, 2024). Wu's plan to lift Boston's commercial rate to 200% of the residential rate, above the 175% state cap, for a four-year phase-down could deter investment with office vacancy near 22%; commercial property already supplies 30% of city tax revenue, the highest share of any major U.S. city. Pioneer points to larger payments in lieu of taxes from tax-exempt owners and spending restraint. https://pioneerinstitute.org/mayor-wus-commercial-property-tax-proposal-a-solution-or-a-snuff/
- Massachusetts Fiscal Alliance (State Policy Network associate): Citizens for Limited Taxation, the group behind Prop 2½, closed at the end of 2022 and handed its tax-limitation work to MassFiscal. Its undated action alert, "Defend Proposition 2 ½. Protect Taxpayers. Stop the Property Tax Grab." (online by Jan. 22, 2026, its first archive.org capture), cites Mayor Wu's call for repeal and Massachusetts Municipal Association proposals to raise levy limits permanently and tie tax increases to inflation; it asks legislators to reject any effort to weaken, amend or repeal the law and to restore local aid. https://www.votervoice.net/MASSFISCAL/Campaigns/132431/Respond
- American Institute for Economic Research (State Policy Network associate): no Massachusetts property tax report since 2021 was found.
- Reformers Academy (State Policy Network associate): no property tax report since 2021 was found.
- Beacon Hill Institute: no property tax report since 2021 was found. Its site has shown a web host's account-suspension page since at least Aug. 15, 2025 (archive.org captures), and its last archived homepage (July 9, 2025) lists only 2021 and 2022 studies on other topics.
Linked list: 9 items on the Analyses sheet (filter State = Massachusetts); every source URL is linked on the Sources sheet.</t>
        </is>
      </c>
      <c r="U22" s="4" t="inlineStr">
        <is>
          <t>1980: Proposition 2½ approved by voters (Question 2).
2023: Chapter 50 tax relief law doubled the senior circuit breaker's base amount ($750 to $1,500; the maximum credit is $2,820 for tax year 2025).
2024: Boston's home-rule petition to raise the commercial share above the 175% classification limit passed the City Council and the House but did not pass the Senate; a revised compromise filed that fall also stalled.
2025: Gov. Healey refiled the Municipal Empowerment Act, which would raise the local option meals tax cap from 0.75% to 1% and the hotel and short-term rental tax cap from 6% to 7% (6.5% to 7.5% in Boston) and allow a motor vehicle excise surcharge of up to 5%. Its revenue sections were sent to study by May 2026, and the rest awaited House action; no enactment was reported by the July 31, 2026 end of formal sessions. The Boston City Council passed Mayor Wu's refiled tax-shift petition again; on Dec. 10, 2025 it set FY2026 rates that raised residential bills 13%.
Jan. 15, 2026: the Senate rejected Wu's tax shift 33-5 and passed five local-option relief bills: a "tax shock" credit for years when the residential levy rises more than 10% (37-1), rebates for homeowners who receive the residential exemption with a higher senior exemption limit, $500 to $1,500 (37-1), easier senior tax deferral (37-0), a means-tested senior exemption (37-0) and a larger veterans' work-off, $1,500 to $2,000 (38-0). The House had not passed them when formal sessions ended July 31, 2026.
Spring 2026: record override votes (Arlington $14.8 million, Brookline $23.25 million, Marblehead $15 million operating).
June 18, 2026: the Supreme Judicial Court removed an initiative to cut the income tax rate from 5% to 4%, backed in part by Pioneer Institute, from the ballot, ruling the Attorney General's summary misleading.
July 9, 2026: FY2027 budget signed with $1.363 billion in Unrestricted General Government Aid (+$40 million).
Nov. 3, 2026 ballot: Question 5 would limit state revenue to the prior year's net revenue grown by the three-year average growth in wages and salaries, count income surtax revenue under the limit and refund any excess, effective July 1, 2027 (a state-level limit). Question 6 would dedicate state sales tax on sporting goods, recreational vehicles and golf courses to a conservation fund, and Question 7 would allow single-family homes on 5,000-square-foot lots. No question changes local property tax limits.</t>
        </is>
      </c>
      <c r="V22" s="4" t="inlineStr">
        <is>
          <t>35th (1.00% effective rate; 0.96% in 2010)</t>
        </is>
      </c>
      <c r="W22" s="4" t="inlineStr">
        <is>
          <t>Massachusetts has a strong levy limit (2.5% plus new growth) and a levy ceiling (2.5% of value), both enforced by local referenda. The weak points are new growth, debt exclusions (84% approved from 2000 to 2025), overrides (spring 2026 brought the three largest in the law's history), fees and the CPA surcharge. With almost no local sales or income tax, the property tax remains the dominant local tax.</t>
        </is>
      </c>
      <c r="X22" s="4" t="inlineStr">
        <is>
          <t>https://malegislature.gov/Laws/GeneralLaws/PartI/TitleIX/Chapter59/Section21C
https://www.mass.gov/info-details/reporting-proposition-2-12-election-results-and-related-fy2026-analysis
https://www.lincolninst.edu/app/uploads/2024/12/levy_limits_2022.xlsx
https://apps.lincolninst.edu/uploads/summary-tables/rate-limits-summary-tables/rate-limits-2022-4.xlsx
https://commonwealthbeacon.org/economy/the-geography-of-proposition-2frac12-overrides/
https://www2.census.gov/programs-surveys/gov-finances/tables/2022/22slsstab1.xlsx
https://www.mass.gov/info-details/reporting-prop-2-12-election-results-and-related-fy2025-analysis
https://www.mass.gov/info-details/analyzing-fy2026-new-growth
https://www.mass.gov/info-details/examining-fy26-excess-levy-capacity-and-levy-limits
https://www.mass.gov/info-details/fy2026-tax-levies-assessed-values-and-tax-rates
https://mass.gov/technical-information-release/tir-25-7-annual-update-of-real-estate-tax-credit-for-certain-persons-age-65-and-older
https://malegislature.gov/Laws/GeneralLaws/PartI/TitleIX/Chapter59/Section5C
https://malegislature.gov/Laws/GeneralLaws/PartI/TitleVII/Chapter40/Section56
https://malegislature.gov/Laws/GeneralLaws/PartI/TitleIX/Chapter58/Section1A
https://malegislature.gov/Laws/GeneralLaws/PartI/TitleVII/Chapter44B/Section3
https://malegislature.gov/PressRoom/Detail?pressReleaseId=309
https://malegislature.gov/Bills/194/S2902
https://malegislature.gov/Bills/194/S2917
https://www.wbur.org/news/2025/12/10/boston-city-council-property-tax-increase
https://www.wbur.org/news/2025/12/10/boston-tax-shift-home-rule-senate-plan-brownsberger-collins
https://www.wbur.org/news/2025/12/03/mayor-wu-boston-property-taxes-residential-increase-home-rule
https://www.wbur.org/news/2026/01/15/massachusetts-senate-boston-wu-tax-shift
https://boston.gov/departments/budget/fy27-property-taxes
https://www.cambridgeday.com/2026/09/29/council-apptax-increase-difficult-budget/
https://www.marbleheadindependent.com/news-analysis-marbleheads-17-3-million-override-night-ranks-second-in-state-history/
https://yourarlington.com/2026/04/town-election-override03282026/
https://www.boston.com/news/local-news/2026/05/11/brookline-voters-overwhelmingly-approve-tax-override-to-avoid-school-public-safety-cuts/
https://www.bostonglobe.com/2026/03/24/metro/massachusetts-overrides-roundup/
https://www.westernmassnews.com/2026/06/08/prop-2-12-override-explained-why-54-massachusetts-towns-want-higher-taxes/
https://www.mma.org/key-sections-of-municipal-empowerment-act-move-in-house/
https://www.mma.org/municipal-empowerment-act-awaits-action-in-house/
https://www.mma.org/gov-healey-signs-fy27-state-budget-with-40m-ugga-increase/
https://www.mma.org/3-ballot-questions-raise-concerns-for-local-leaders/
https://www.sec.state.ma.us/divisions/elections/download/information-for-voters/archive/IFV_2026%20English.pdf
https://www.wgbh.org/news/local/2026-06-18/income-tax-cut-ballot-question-tossed-by-states-highest-court
https://taxfoundation.org/research/all/state/massachusetts-property-tax-proposition-2-12/
https://pioneerinstitute.org/pioneer-calls-on-ma-leaders-to-probe-department-of-revenues-inaction/
https://pioneerinstitute.org/pioneer-new-england-legal-foundation-urges-dor-to-reopen-tax-assessments-probe-after-boston-makes-initial-disclosure-of-150-properties-affected-by-retaliatory-assessment-increases/
https://www.newburyportnews.com/news/report-prop-2-keeping-local-taxes-down/article_f96e818f-7dc4-5342-b9f9-94c644cebeb4.html
https://www.communitypreservation.org/
https://cltg.org/</t>
        </is>
      </c>
    </row>
    <row r="23" ht="409" customHeight="1">
      <c r="A23" s="13" t="inlineStr">
        <is>
          <t>Michigan</t>
        </is>
      </c>
      <c r="B23" s="4" t="inlineStr">
        <is>
          <r>
            <rPr>
              <rFont val="Carlito"/>
              <b val="1"/>
              <sz val="14"/>
            </rPr>
            <t>B.</t>
          </r>
          <r>
            <rPr>
              <rFont val="Carlito"/>
              <sz val="11"/>
            </rPr>
            <t xml:space="preserve">
Restriction points 13.25 of 18 (levy limit 4; assessment cap 2; rate cap 2; truth in taxation 2; rollback 1; supermajority 0.5; school districts covered 1; November-ballot rule 0.25; use restrictions 0.5). Deductions: built-in loopholes -1.5; workarounds in practice -1; state buydowns -1.5; data record +0. Total 9.25 = B (A 11+, B 8.5-10.9, C 5.5-8.4, D 3-5.4, F under 3).
Why: Michigan's limits are in force statewide and bind most local property tax (Headlee rollback, Proposal A assessment cap, rate caps), and the data record sits above the middle: slow long-run growth, with rates and the share of income above average. Workarounds are documented (bonds and special assessments outside Headlee, override votes, Detroit's 3.02% median rate) without statewide counts, so no second step.</t>
          </r>
        </is>
      </c>
      <c r="C23" s="4">
        <f>((LEFT(D23,3)="Yes")+(LEFT(E23,3)="Yes")+(LEFT(F23,3)="Yes")+(LEFT(G23,3)="Yes"))&amp;" of 4 in force"&amp;IF(((LEFT(D23,7)="Partial")+(LEFT(E23,7)="Partial")+(LEFT(F23,7)="Partial")+(LEFT(G23,7)="Partial"))&gt;0," + "&amp;((LEFT(D23,7)="Partial")+(LEFT(E23,7)="Partial")+(LEFT(F23,7)="Partial")+(LEFT(G23,7)="Partial"))&amp;" partial","")&amp;CHAR(10)&amp;CHAR(10)&amp;IF(LEFT(D23,3)="Yes","✓",IF(LEFT(D23,7)="Partial","◐","✗"))&amp;" Spending limit"&amp;CHAR(10)&amp;IF(LEFT(E23,3)="Yes","✓",IF(LEFT(E23,7)="Partial","◐","✗"))&amp;" Levy limit"&amp;CHAR(10)&amp;IF(LEFT(F23,3)="Yes","✓",IF(LEFT(F23,7)="Partial","◐","✗"))&amp;" Assessment cap"&amp;CHAR(10)&amp;IF(LEFT(G23,3)="Yes","✓",IF(LEFT(G23,7)="Partial","◐","✗"))&amp;" Rate cap"</f>
        <v/>
      </c>
      <c r="D23" s="4" t="inlineStr">
        <is>
          <r>
            <rPr>
              <rFont val="Carlito"/>
              <b val="1"/>
              <sz val="11"/>
            </rPr>
            <t>No.</t>
          </r>
          <r>
            <rPr>
              <rFont val="Carlito"/>
              <sz val="11"/>
            </rPr>
            <t xml:space="preserve">
The Headlee Amendment (1978) limits state revenue as a share of personal income and bars unfunded state mandates on local governments, but it puts no cap on local spending. Local revenue is restrained through the levy and rate rules below.
Authority: Mich. Const. art. IX §§26, 29.</t>
          </r>
        </is>
      </c>
      <c r="E23" s="4" t="inlineStr">
        <is>
          <r>
            <rPr>
              <rFont val="Carlito"/>
              <b val="1"/>
              <sz val="11"/>
            </rPr>
            <t>Yes.</t>
          </r>
          <r>
            <rPr>
              <rFont val="Carlito"/>
              <sz val="11"/>
            </rPr>
            <t xml:space="preserve">
Headlee "millage reduction fraction": when the taxable value of existing property (excluding new construction and other additions) rises faster than inflation, each unit's maximum authorized operating millage is permanently reduced so that revenue from existing property grows no faster than inflation. The 2026 inflation rate multiplier is 1.027 (2.7%). Taxable value that uncaps when a property sells counts as growth on existing property, so sales also trigger rollbacks. Voters can restore lost millage through a "Headlee override" election. Debt service is excluded, and the rule caps maximum rates only: a unit levying below its maximum is unaffected until the maximum falls below its levy. A second layer, truth in taxation (1982), rolls the levied rate back to hold revenue flat each year unless the governing body holds a hearing and votes to levy more, up to the Headlee-reduced maximum. The Headlee levy cap works as a levy limit covering cities, counties and schools.
Authority: Mich. Const. art. IX §31; MCL 211.34d (Headlee rollback; last amended 2022 PA 240); MCL 211.24e (truth in taxation); State Tax Commission Bulletin 14 of 2025.</t>
          </r>
        </is>
      </c>
      <c r="F23" s="4" t="inlineStr">
        <is>
          <r>
            <rPr>
              <rFont val="Carlito"/>
              <b val="1"/>
              <sz val="11"/>
            </rPr>
            <t>Yes.</t>
          </r>
          <r>
            <rPr>
              <rFont val="Carlito"/>
              <sz val="11"/>
            </rPr>
            <t xml:space="preserve">
Proposal A (1994): a parcel's taxable value may rise each year by no more than the lesser of 5% or inflation, plus additions, until it is sold. For 2026 the cap is 2.7% (inflation rate multiplier 1.027). On transfer the cap comes off ("uncapping," or the "pop-up") and taxable value jumps to state equalized value (50% of market value) the next year. Exceptions: transfers between spouses; since Dec. 31, 2014, transfers of a home to the owner's or spouse's parent, sibling, child or grandchild if it is not used commercially; qualified agricultural and qualified forest property that stays in that use; and land under conservation easements. A House bill to end uncapping on sale (HB 5872) is pending in the Senate (see Reforms).
Authority: Mich. Const. art. IX §3; MCL 211.27a (last amended 2016 PA 375); State Tax Commission Bulletin 14 of 2025.</t>
          </r>
        </is>
      </c>
      <c r="G23" s="4" t="inlineStr">
        <is>
          <r>
            <rPr>
              <rFont val="Carlito"/>
              <b val="1"/>
              <sz val="11"/>
            </rPr>
            <t>Yes.</t>
          </r>
          <r>
            <rPr>
              <rFont val="Carlito"/>
              <sz val="11"/>
            </rPr>
            <t xml:space="preserve">
- 15-mill overall limit (1932) on "allocated" millage of townships, general law counties and intermediate school districts, which voters may raise up to 50 mills for up to 20 years.
- City charter limit of 20 mills (Home Rule City Act); village limits by statute.
- School operating millage is frozen at February 1994 levels; raising it requires a three-fourths vote of each chamber of the Legislature.
- Every new tax or rate increase above the authorized rate needs voter approval under Headlee.
Many millages fall outside the 15-mill limit (city, charter county and township charter mills, community colleges, special education, authorities, debt).
Authority: Mich. Const. art. IX §§6, 31; art. IX §3; MCL 117.3.</t>
          </r>
        </is>
      </c>
      <c r="H23" s="4" t="inlineStr">
        <is>
          <r>
            <rPr>
              <rFont val="Carlito"/>
              <b val="1"/>
              <sz val="11"/>
            </rPr>
            <t>Yes.</t>
          </r>
          <r>
            <rPr>
              <rFont val="Carlito"/>
              <sz val="11"/>
            </rPr>
            <t xml:space="preserve">
Schools are inside the system: local school operating taxes are capped by Proposal A (18 mills on non-homestead property only; homesteads are exempt), Headlee and truth in taxation apply to school millages, and new or higher school millage needs voter approval. School debt (bond millage) and voter-approved sinking funds sit outside the operating caps.
Authority: MCL 380.1211; MCL 211.7cc.</t>
          </r>
        </is>
      </c>
      <c r="I23" s="4" t="inlineStr">
        <is>
          <r>
            <rPr>
              <rFont val="Carlito"/>
              <b val="1"/>
              <sz val="11"/>
            </rPr>
            <t>Yes.</t>
          </r>
          <r>
            <rPr>
              <rFont val="Carlito"/>
              <sz val="11"/>
            </rPr>
            <t xml:space="preserve">
The 6-mill State Education Tax (1994) is levied on all property and paid into the state School Aid Fund. It was created by Proposal A, which replaced most local school operating property taxes with state funding (mainly a sales tax increase from 4% to 6%), so it substitutes for local school taxes. Census FY2022 state property tax revenue: about $2.5 billion; the Mackinac Center puts the 2025 yield at $3.0 billion. Bills to repeal it (HB 5873, passed by the House 57-46 on May 20, 2026; SB 1039, introduced June 11, 2026) sit in Senate committee.
Authority: MCL 211.903 (State Education Tax Act).</t>
          </r>
        </is>
      </c>
      <c r="J23" s="4" t="inlineStr">
        <is>
          <r>
            <rPr>
              <rFont val="Carlito"/>
              <b val="1"/>
              <sz val="11"/>
            </rPr>
            <t>Yes.</t>
          </r>
          <r>
            <rPr>
              <rFont val="Carlito"/>
              <sz val="11"/>
            </rPr>
            <t xml:space="preserve">
Principal Residence Exemption: owner-occupied homes are exempt from the 18-mill local school operating tax. Disabled veterans (100% disabled, individually unemployable or eligible for specially adapted housing) and their unremarried surviving spouses are fully exempt; for taxes levied from 2025 the exemption stays in effect without yearly reapplication (2023 PA 150), and local taxing units bear the cost. Local poverty exemptions are available.
Authority: MCL 211.7cc (principal residence); MCL 211.7b (disabled veterans); MCL 211.7u (poverty).</t>
          </r>
        </is>
      </c>
      <c r="K23" s="4" t="inlineStr">
        <is>
          <r>
            <rPr>
              <rFont val="Carlito"/>
              <b val="1"/>
              <sz val="11"/>
            </rPr>
            <t>Yes.</t>
          </r>
          <r>
            <rPr>
              <rFont val="Carlito"/>
              <sz val="11"/>
            </rPr>
            <t xml:space="preserve">
Homestead Property Tax Credit (state income tax credit, refundable): 60% of property tax above 3.2% of total household resources for most filers, with larger shares for low-income seniors; renters count 23% of rent as property tax. For tax year 2025: up to $1,900, for homes with taxable value up to $165,400; total household resources up to $71,500, with phase-out above $62,500. The limits have been indexed to inflation since tax year 2021 (2015 PA 179). In the 2025 filing season nearly 1.1 million claimants received about $900 million, an average of $820 (Department of Treasury). Veterans and blind filers claim on a separate form.
Authority: MCL 206.520, 206.522 (Income Tax Act, homestead property tax credit).</t>
          </r>
        </is>
      </c>
      <c r="L23" s="4" t="inlineStr">
        <is>
          <r>
            <rPr>
              <rFont val="Carlito"/>
              <b val="1"/>
              <sz val="11"/>
            </rPr>
            <t>Yes.</t>
          </r>
          <r>
            <rPr>
              <rFont val="Carlito"/>
              <sz val="11"/>
            </rPr>
            <t xml:space="preserve">
Michigan reimburses local governments for property tax revenue lost to the 2014 exemptions for small business taxpayers and eligible manufacturing personal property. A dedicated share of the state use tax, distributed by the Local Community Stabilization Authority, pays each local unit an amount computed from its personal property exemption loss: $572.0 million for 2026 and $572.5 million scheduled for 2027, growing about 1% a year after that. The School Aid Fund covers the related loss on basic school operating mills. Proposal A's 1994 school finance shift is now paid as general school aid, and the Homestead Property Tax Credit is an income-tested credit paid through the income tax, so neither counts under this test.
Authority: MCL 123.1341 et seq. (Local Community Stabilization Authority Act, 2014 PA 86), esp. MCL 123.1357; 2014 Proposal 1; Michigan Department of Treasury, LCSS revenue schedule.</t>
          </r>
        </is>
      </c>
      <c r="M23" s="4" t="inlineStr">
        <is>
          <r>
            <rPr>
              <rFont val="Carlito"/>
              <b val="1"/>
              <sz val="11"/>
            </rPr>
            <t>Yes.</t>
          </r>
          <r>
            <rPr>
              <rFont val="Carlito"/>
              <sz val="11"/>
            </rPr>
            <t xml:space="preserve">
Truth in taxation (1982): each year the "base tax rate" is computed to raise the same operating revenue from existing property. A governing body that wants to levy above it must publish a newspaper notice headed "notice of a public hearing on increasing property taxes," hold a public hearing and adopt a separate resolution or ordinance; it may then levy up to its Headlee-reduced maximum. Since 1995 a unit may fold this step into its budget ("truth in budgeting"): the budget hearing notice must state in boldface type that the proposed millage "will be a subject of this hearing," and the general appropriations act must set the millage. No parcel-specific notice is mailed.
Coded Yes because Michigan meets two of the three key truth-in-taxation requirements (a rollback rate calculation and a governing-body vote to exceed it; it has no mailed parcel-specific notices). Truth in taxation offers transparency and accountability.
Authority: MCL 211.24e; MCL 141.412 and 141.436 (1995 PA 40-42).</t>
          </r>
        </is>
      </c>
      <c r="N23" s="4" t="inlineStr">
        <is>
          <r>
            <rPr>
              <rFont val="Carlito"/>
              <b val="1"/>
              <sz val="11"/>
            </rPr>
            <t>Yes.</t>
          </r>
          <r>
            <rPr>
              <rFont val="Carlito"/>
              <sz val="11"/>
            </rPr>
            <t xml:space="preserve">
Two automatic rollbacks: the Headlee millage reduction fraction cuts maximum authorized rates when existing values outpace inflation, and the truth-in-taxation base rate rolls back the levied rate unless a hearing and vote occur.
Authority: MCL 211.34d; MCL 211.24e.</t>
          </r>
        </is>
      </c>
      <c r="O23" s="4" t="inlineStr">
        <is>
          <r>
            <rPr>
              <rFont val="Carlito"/>
              <b val="1"/>
              <sz val="11"/>
            </rPr>
            <t>Partial.</t>
          </r>
          <r>
            <rPr>
              <rFont val="Carlito"/>
              <sz val="11"/>
            </rPr>
            <t xml:space="preserve">
Local voters approve new taxes, millage increases and Headlee overrides by simple majority. The Legislature needs a three-fourths vote of each chamber to raise school operating millage limits.
Authority: Mich. Const. art. IX §3.</t>
          </r>
        </is>
      </c>
      <c r="P23" s="4" t="inlineStr">
        <is>
          <r>
            <rPr>
              <rFont val="Carlito"/>
              <b val="1"/>
              <sz val="11"/>
            </rPr>
            <t>Partial.</t>
          </r>
          <r>
            <rPr>
              <rFont val="Carlito"/>
              <sz val="11"/>
            </rPr>
            <t xml:space="preserve">
Local ballot questions, including millage proposals, may be held only on the regular election dates in May, August and November. Local officials often pick the lower-turnout dates outside November (Mackinac Center, Feb. 16, 2026).
Authority: MCL 168.641.</t>
          </r>
        </is>
      </c>
      <c r="Q23" s="4" t="inlineStr">
        <is>
          <r>
            <rPr>
              <rFont val="Carlito"/>
              <b val="1"/>
              <sz val="11"/>
            </rPr>
            <t>Yes.</t>
          </r>
          <r>
            <rPr>
              <rFont val="Carlito"/>
              <sz val="11"/>
            </rPr>
            <t xml:space="preserve">
Voted millages must state their purpose and term on the ballot, and proceeds may be used only for that purpose (roads, police, libraries, parks, senior services and so on). Charter and allocated general operating millage is unrestricted. Because money is fungible, a dedicated police or fire millage frees general funds for other uses (Mackinac Center, Feb. 16, 2026).
Authority: MCL 211.24f (ballot language requirements).</t>
          </r>
        </is>
      </c>
      <c r="R23" s="4" t="inlineStr">
        <is>
          <t>83 counties; 280 cities and 253 villages (Census counts 533 municipal governments); 1,240 townships; 567 school districts and intermediate school districts in the Census count, plus community college districts; 437 special districts, including 141 district libraries, 75 conservation districts and fire, airport, sewer and transit authorities; downtown development, brownfield and other authorities that capture property taxes through tax increment financing. Census of Governments 2022: 2,860 local governments.</t>
        </is>
      </c>
      <c r="S23" s="4" t="inlineStr">
        <is>
          <t>Verdict: Partly. Property tax per person rose 10.9% after inflation from FY2002 to FY2024, below the U.S. 25.9%, but rose 1.2% from FY2019 to FY2024 while the U.S. fell 1.1%.
Why it leaks: Headlee rolls back maximum operating millage only, so debt millage sits outside it and units levying below their maximum are unaffected. Voters restore lost millage through Headlee overrides and approve dedicated millages outside the 15-mill limit by simple majority. State money bought part of the restraint: Proposal A shifted most school operating taxes to the state, which also pays about $1.47 billion a year toward local bills.
How localities get around it: Local governments have "routinely turned to bonding," shifting costs to uncapped debt levies (Mackinac Center). Many also create special assessment districts "designed to avoid Headlee tax reductions" (same source).
Full record:
Headlee and Proposal A slow the growth of tax bills for long-time owners and require a vote for new taxes, yet rates stay high, buyers pay the deferred tax and local units have found ways around the rollbacks. The Mackinac Center finds state and local property tax collections reached $21.6 billion in 2025, 22% more than in 2013 after inflation.
The record (Census, BEA, ACS): state and local property tax was $1,894 per person in FY2024 (U.S. $2,132), 2.95% of personal income (19th-highest of 50; U.S. 2.89%). After inflation, collections per person (all state and local property tax divided by residents) rose 10.9% from FY2002 to FY2024 (U.S. +25.9%) and rose 1.2% from FY2019 to FY2024 (U.S. -1.1%). The median homeowner paid $2,988 in 2024 (U.S. $3,211); the median bill fell 7.4% after inflation from 2010 to 2024 (U.S. +9.3%). The Tax Foundation's 2026 ranking puts its effective property tax rate on owner-occupied homes at 1.19%, 37th-lowest of 50. By the same measure it was 1.41% in 2010 (U.S. 1.00% in 2010, 0.94% in 2024).
Overrides: Headlee rollbacks cut maximum rates whenever values on existing property outpace inflation, and local units ask voters to restore them in "Headlee override" elections; the Michigan Municipal League calls the override "necessary to counteract the effects" of the rollback. Voters also approve a long list of dedicated millages (police, roads, libraries, parks, transit), each outside the 15-mill limit.
Bonds: Headlee does not cover debt millage or the 6-mill State Education Tax, and local governments have "routinely turned to bonding," which moves costs from capped operating levies to uncapped debt levies (Mackinac Center, Feb. 11, 2026).
Special assessments: many jurisdictions create special assessment districts "designed to avoid Headlee tax reductions" (same source), and townships levy special assessments for police and fire outside millage limits.
Election timing: local officials choose the date of millage elections and often pick low-turnout dates outside November; dedicated police and fire millages free general funds for other spending (Mackinac Center, Feb. 16, 2026).
Truth in budgeting: since 1995 the truth-in-taxation hearing can be folded into the budget hearing with a one-line boldface notice, and the governing body may levy up to its Headlee maximum without a vote of the people.
Uncapping on sale: a buyer's taxable value resets to 50% of market value the year after purchase. Detroit has the highest property tax rate among the 50 largest U.S. cities (median homeowner 3.02% of home value, as cited by the Mackinac Center); one Detroit home taxed about $300 a year before its March 2026 sale faced an estimated $10,000 after it (Mackinac Center, May 12, 2026).
Capture: downtown development authorities, brownfield authorities and other TIF bodies capture property tax growth.
Fees: charges and fees are 41% of local own-source revenue (Census FY2022), well above the national 34%. In Bolt v. City of Lansing (1998) the Michigan Supreme Court struck down a stormwater "fee" as an unvoted tax.
Local income taxes: 24 cities levy income taxes (Detroit is the largest).
State money: about $1.47 billion a year in state payments (the homestead credit and personal property tax reimbursement) covers part of local property tax bills (see Subsidies).
Property tax remains 91% of local tax revenue (Census FY2022). The Tax Foundation ranks Michigan 29th on property tax in its 2026 index.</t>
        </is>
      </c>
      <c r="T23" s="4" t="inlineStr">
        <is>
          <t>- Mackinac Center for Public Policy, Michael J. Reitz, "Michigan’s local tax votes shouldn’t happen when turnout is lowest" (Sept. 29, 2026). Local governments put 900 tax proposals before voters on Aug. 4, 2026, and 842 passed, costing taxpayers $1.11 billion; since 2016, 87% of local tax proposals passed in off-cycle elections against 82% in November, and 58% of the 6,553 proposals since 2020 came in August. Calls for restricting local tax elections to November. https://www.mackinac.org/blog/2026/michigans-local-tax-votes-shouldnt-happen-when-turnout-is-lowest
- Michigan Senate Republicans, Senate Republican Leader Aric Nesbitt, "Nesbitt bill would eliminate state property tax" (June 11, 2026). Senate Bill 1039 would repeal the statewide 6-mill property tax; Nesbitt says the $3 billion it raises could be absorbed through more responsible budgeting, noting the state budget has grown by $30 billion over eight years. https://www.senatoraricnesbitt.com/nesbitt-bill-would-eliminate-state-property-tax/
- Mackinac Center for Public Policy, James M. Hohman, "A look at Michigan’s property tax" (June 2, 2026). State and local governments collected $21.6 billion in property taxes in 2025, up from $20.3 billion in 2024, and 22% more after inflation than the $12.8 billion collected in 2013; the state's 6 mills raised $3.0 billion. Owners' rates are 27% above the national average, the 14th highest. https://www.mackinac.org/blog/2026/a-look-at-michigans-property-tax
- Michigan House Republicans, Rep. Ron Robinson, "Rep. Robinson secures House approval of major property tax relief plan lowering costs for Michigan families" (May 22, 2026). After House passage, says the package would eliminate the state portion of property taxes, the real estate transfer tax, the pop-up tax on sale and personal property taxes on business equipment, and roll back utility rates by $1 billion, saving the average family about $1,400 a year in property taxes and energy bills; the bills went to the Senate. https://gophouse.org/posts/rep-robinson-secures-house-approval-of-major-property-tax-relief-plan-lowering-costs-for-michigan-families
- Mackinac Center for Public Policy, James M. Hohman, "Some Detroiters pay high property taxes, others don’t" (May 12, 2026). Detroit has the highest property tax rate among the 50 largest U.S. cities (median homeowner 3.02% of home value), and uncapping on sale means long-time owners pay little while buyers pay far more: one home taxed about $300 a year before its March 2026 sale faced an estimated $10,000 afterward. Calls for reforms. https://www.mackinac.org/blog/2026/some-detroiters-pay-high-property-taxes-others-dont
- Michigan House Republicans, Rep. Karl Bohnak, "Rep. Bohnak announces monumental $5 billion state property tax relief plan" (April 22, 2026). The HELP UP plan would eliminate all state-collected property taxes, saving the average homeowner about $900, exempt business personal property such as machinery and computers, and repeal the state transfer tax on home sales, saving the buyer of an average home about $2,250. https://gophouse.org/posts/rep-bohnak-announces-monumental-5-billion-state-property-tax-relief-plan
- Mackinac Center for Public Policy, Jared Walczak, "Senior discount won’t solve Michigan’s property tax problem" (Feb. 11, 2026). Opposes Gov. Whitmer's proposed senior refunds of up to 10% and calls for lower rates for everyone; owners' effective rates are 27% above the national average, and Headlee has failed to hold rates down because it exempts the State Education Tax and bond millages, local governments have "routinely turned to bonding" and special assessment districts are "designed to avoid Headlee tax reductions." https://www.mackinac.org/blog/2026/senior-discount-wont-solve-michigans-property-tax-problem
- Acton Institute (State Policy Network associate): no Michigan property tax report since 2021 was found.
- The College Fix (State Policy Network associate): no Michigan property tax report since 2021 was found.
Linked list: 8 items on the Analyses sheet (filter State = Michigan); every source URL is linked on the Sources sheet.</t>
        </is>
      </c>
      <c r="U23" s="4" t="inlineStr">
        <is>
          <t>1978: Headlee Amendment. 1982: truth in taxation. 1994: Proposal A (taxable value cap, State Education Tax, school funding shift). 1995: "truth in budgeting" let local units fold the truth-in-taxation hearing into the budget hearing (1995 PA 40-42).
2013-2014: uncapping exemption for transfers of a home to close relatives (first-degree relatives from Dec. 31, 2013; parents, siblings, children and grandchildren from Dec. 31, 2014).
2014: Proposal 1 (business personal property tax phase-out with state reimbursement through the Local Community Stabilization Authority).
2015: the road funding package (2015 PA 179) expanded the homestead property tax credit from tax year 2018 ($1,500 maximum; 3.2% of household resources) and indexed it to inflation from tax year 2021.
2022-2023: bills to have the state reimburse local units for the disabled veterans' exemption passed both chambers in 2022 and did not become law; 2023 PA 150 ended yearly reapplication for the exemption from 2025.
2024 and 2026: AxMITax petitions to abolish property taxes failed to collect enough signatures (446,198 valid signatures needed for 2026; the group announced May 21, 2026 that it fell short).
2026: Gov. Whitmer proposed property tax refunds of up to 10% for seniors (February). Speaker Matt Hall's House package passed May 20, 2026 on near party-line votes: end uncapping on sale (HB 5872, 57-46), repeal the State Education Tax (HB 5873, 57-46) and the state real estate transfer tax (HB 5874-5877; HB 5874 57-46), exempt all personal property (HB 5878, 57-45) and cut residential utility rates (HB 5879, 57-44). HB 5880, a sales tax on services the House did not vote on, is tie-barred to HB 5873-5879; the House Fiscal Agency estimates the package would cost state and local governments billions of dollars. The passed bills have been in the Senate Government Operations Committee since June 2, 2026. SB 1039 (Senate Republican Leader Aric Nesbitt) to repeal the State Education Tax was introduced June 11, 2026 and sits in the same committee. Signed July 27, 2026: SB 423 makes delinquent property tax installment plans and foreclosure avoidance agreements permanent.
Nov. 3, 2026 ballot: Proposal 1 (whether to call a constitutional convention) and Proposal 2 (limits on political donations by some utilities and large state contractors); no property tax measure.</t>
        </is>
      </c>
      <c r="V23" s="4" t="inlineStr">
        <is>
          <t>37th (1.19% effective rate; 1.41% in 2010)</t>
        </is>
      </c>
      <c r="W23" s="4" t="inlineStr">
        <is>
          <t>Michigan has three of the four building blocks: the Headlee levy rollback with truth in taxation, Proposal A's 5%-or-inflation assessment cap and rate caps (15/50 mills, 20 for cities, frozen school millage), plus voter approval for new taxes; it has no local spending cap. Escape routes are override votes, millage stacking, bonds, special assessments, TIF capture and fees, plus a tax jump when a home sells. The state also pays about $1.47 billion a year toward local property tax bills through the homestead credit and personal property tax reimbursement, on top of the 1994 school funding takeover.</t>
        </is>
      </c>
      <c r="X23" s="4" t="inlineStr">
        <is>
          <t>https://www.legislature.mi.gov/Laws/MCL?objectName=mcl-211-34d
https://www.legislature.mi.gov/Laws/MCL?objectName=mcl-211-24e
https://www.michigan.gov/taxes/iit/tax-guidance/tax-year-info/tax-year-2025-guidance
https://bridgemi.com/michigan-government/property-tax-elimination-proposal-fails-to-make-michigan-ballot-again/
https://www.lincolninst.edu/app/uploads/2024/12/levy_limits_2022.xlsx
https://www.lincolninst.edu/app/uploads/2024/12/assessment_limits_2022-3.xlsx
https://apps.lincolninst.edu/uploads/summary-tables/rate-limits-summary-tables/rate-limits-2022-4.xlsx
https://www.lincolninst.edu/app/uploads/2024/10/truth_in_taxation_2024.xlsx
https://www2.census.gov/programs-surveys/gov-finances/tables/2022/22slsstab1.xlsx
https://www.legislature.mi.gov/Laws/MCL?objectName=mcl-Article-IX-31
https://www.legislature.mi.gov/Laws/MCL?objectName=mcl-211-27a
https://www.legislature.mi.gov/Laws/MCL?objectName=mcl-141-412
https://www.legislature.mi.gov/Laws/MCL?objectName=mcl-141-436
https://www.legislature.mi.gov/Laws/MCL?objectName=mcl-206-520
https://www.legislature.mi.gov/Laws/MCL?objectName=mcl-206-522
https://www.legislature.mi.gov/Laws/MCL?objectName=mcl-211-7b
https://www.legislature.mi.gov/documents/2015-2016/publicact/pdf/2015-PA-0179.pdf
https://www.legislature.mi.gov/documents/1995-1996/billanalysis/House/pdf/1995-HLA-4518-B.pdf
https://www.michigan.gov/taxes/rep-legal/rab/rabhtml/2021/revenue-administrative-bulletin-2021-25
https://www.michigan.gov/treasury/news/2026/03/06/michigan-taxpayers-encouraged-to-check-eligibility-for-homestead-property-tax-credit
https://www.michigan.gov/taxes/property/ppt/reimburse/lcss-revenue-available
https://mml.org/wp-content/uploads/2025/12/x-FS-Headlee-Plus-2026.pdf
https://presqueisletwp.org/wp-content/uploads/2026/01/Proposal-A-26.pdf
https://www.lincolninst.edu/app/uploads/2025/01/levy_limits_2022.xlsx
https://www.michigan.gov/sos/-/media/Project/Websites/sos/BSC-Announcements/Statewide-Petition-Status.pdf
https://www.michiganpublic.org/politics-government/2026-09-04/michigans-november-2026-ballot-is-official-includes-two-questions-for-all-voters
https://www.michiganpublic.org/politics-government/2026-05-21/house-passes-property-tax-cut-bills-holds-off-on-tax-increases-to-fill-budget-hole
https://mml.org/inside208/2026/05/21/house-rushes-through-property-tax-cut-bills-without-replacement-revenue/
https://www.legislature.mi.gov/Bills/Bill?ObjectName=2026-HB-5872
https://www.legislature.mi.gov/Bills/Bill?ObjectName=2026-HB-5873
https://www.legislature.mi.gov/Bills/Bill?ObjectName=2026-HB-5878
https://www.legislature.mi.gov/Bills/Bill?ObjectName=2026-HB-5880
https://www.legislature.mi.gov/Bills/Bill?ObjectName=2026-SB-1039
https://michigan.gov/whitmer/news/press-releases/2026/07/27/whitmer-signs-bills-to-extend-property-tax-relief-support-the-detroit-wayne-county-port-authority
https://www.mackinac.org/blog/2026/a-look-at-michigans-property-tax
https://www.mackinac.org/blog/2026/some-detroiters-pay-high-property-taxes-others-dont
https://www.mackinac.org/blog/2026/senior-discount-wont-solve-michigans-property-tax-problem
https://www.mackinac.org/blog/2026/voters-can-lower-their-own-property-taxes-under-michigan-rules</t>
        </is>
      </c>
    </row>
    <row r="24" ht="409" customHeight="1">
      <c r="A24" s="13" t="inlineStr">
        <is>
          <t>Minnesota</t>
        </is>
      </c>
      <c r="B24" s="4" t="inlineStr">
        <is>
          <r>
            <rPr>
              <rFont val="Carlito"/>
              <b val="1"/>
              <sz val="14"/>
            </rPr>
            <t>F.</t>
          </r>
          <r>
            <rPr>
              <rFont val="Carlito"/>
              <sz val="11"/>
            </rPr>
            <t xml:space="preserve">
Restriction points 4 of 18 (spending limit 2; truth in taxation 1; school districts covered 0.5; November-ballot rule 0.25; use restrictions 0.25). Deductions: built-in loopholes -0.5; workarounds in practice -1; state buydowns -1.5; data record +0. Total 1 = F (A 11+, B 8.5-10.9, C 5.5-8.4, D 3-5.4, F under 3).
Why: Limits are partial at best: state formulas and voter-approved referendums bind school levies (and boards may now renew a referendum once without a vote), but cities and counties have had no levy limit since 2014, and truth in taxation offers transparency and accountability without a rollback rate or a vote to exceed one. The long-run per-person record is better than the national average, but homeowner bills grew faster and the effective rate is above average.</t>
          </r>
        </is>
      </c>
      <c r="C24" s="4">
        <f>((LEFT(D24,3)="Yes")+(LEFT(E24,3)="Yes")+(LEFT(F24,3)="Yes")+(LEFT(G24,3)="Yes"))&amp;" of 4 in force"&amp;IF(((LEFT(D24,7)="Partial")+(LEFT(E24,7)="Partial")+(LEFT(F24,7)="Partial")+(LEFT(G24,7)="Partial"))&gt;0," + "&amp;((LEFT(D24,7)="Partial")+(LEFT(E24,7)="Partial")+(LEFT(F24,7)="Partial")+(LEFT(G24,7)="Partial"))&amp;" partial","")&amp;CHAR(10)&amp;CHAR(10)&amp;IF(LEFT(D24,3)="Yes","✓",IF(LEFT(D24,7)="Partial","◐","✗"))&amp;" Spending limit"&amp;CHAR(10)&amp;IF(LEFT(E24,3)="Yes","✓",IF(LEFT(E24,7)="Partial","◐","✗"))&amp;" Levy limit"&amp;CHAR(10)&amp;IF(LEFT(F24,3)="Yes","✓",IF(LEFT(F24,7)="Partial","◐","✗"))&amp;" Assessment cap"&amp;CHAR(10)&amp;IF(LEFT(G24,3)="Yes","✓",IF(LEFT(G24,7)="Partial","◐","✗"))&amp;" Rate cap"</f>
        <v/>
      </c>
      <c r="D24" s="4" t="inlineStr">
        <is>
          <r>
            <rPr>
              <rFont val="Carlito"/>
              <b val="1"/>
              <sz val="11"/>
            </rPr>
            <t>Partial.</t>
          </r>
          <r>
            <rPr>
              <rFont val="Carlito"/>
              <sz val="11"/>
            </rPr>
            <t xml:space="preserve">
School districts only: each district's general fund revenue is set by state formulas (the basic formula allowance per pupil plus categorical formulas), and districts may raise more mainly through voter-approved operating referendums. Since 2023 a school board may renew an expiring referendum once by board action at the same per-pupil amount, with no election (the Freedom Foundation of Minnesota calls this taking away taxpayers' right to vote). Cities and counties have no spending limit.
Authority: Minn. Stat. ch. 126C (school revenue formulas; §126C.17, subd. 9, referendum revenue; subd. 9b, renewal by school board, 2023).</t>
          </r>
        </is>
      </c>
      <c r="E24" s="4" t="inlineStr">
        <is>
          <r>
            <rPr>
              <rFont val="Carlito"/>
              <b val="1"/>
              <sz val="11"/>
            </rPr>
            <t>No.</t>
          </r>
          <r>
            <rPr>
              <rFont val="Carlito"/>
              <sz val="11"/>
            </rPr>
            <t xml:space="preserve">
Minnesota has a statutory framework for levy limits on all counties and on cities over 2,500 people, but the Legislature must switch it on, and it has not done so since taxes payable in 2014. Limits applied for taxes payable 1972-1992, 1998-2000, 2002-2004, 2009-2011 and 2014 (a flat 3% under a temporary, uncodified 2013 law). When in force they exempted special levies (debt, pension increases, public safety pay and others), allowed voter-approved overrides and counted state aid, so the allowed levy rose when aid was cut. No limit applies for taxes payable in 2026. A 2026 bill to restore permanent inflation-based limits (SF 4608) saw no committee action.
Authority: Minn. Stat. §§275.70-.74 (expired provisions); House Research Department, "Levy Limits" (December 2024).</t>
          </r>
        </is>
      </c>
      <c r="F24" s="4" t="inlineStr">
        <is>
          <r>
            <rPr>
              <rFont val="Carlito"/>
              <b val="1"/>
              <sz val="11"/>
            </rPr>
            <t>No.</t>
          </r>
          <r>
            <rPr>
              <rFont val="Carlito"/>
              <sz val="11"/>
            </rPr>
            <t xml:space="preserve">
No cap on assessed value growth. The "limited market value" cap on annual increases was phased out with the 2007 assessment. Homes get a Homestead Market Value Exclusion instead (see Homestead), and the class rate system taxes homes at lower rates than commercial property and cabins.</t>
          </r>
        </is>
      </c>
      <c r="G24" s="4" t="inlineStr">
        <is>
          <r>
            <rPr>
              <rFont val="Carlito"/>
              <b val="1"/>
              <sz val="11"/>
            </rPr>
            <t>No.</t>
          </r>
          <r>
            <rPr>
              <rFont val="Carlito"/>
              <sz val="11"/>
            </rPr>
            <t xml:space="preserve">
Minnesota is a levy-based system: each body certifies a dollar levy and the rate is computed from it. There is no general cap on city, county or school tax rates, though some special levies have statutory maximums.</t>
          </r>
        </is>
      </c>
      <c r="H24" s="4" t="inlineStr">
        <is>
          <r>
            <rPr>
              <rFont val="Carlito"/>
              <b val="1"/>
              <sz val="11"/>
            </rPr>
            <t>Partial.</t>
          </r>
          <r>
            <rPr>
              <rFont val="Carlito"/>
              <sz val="11"/>
            </rPr>
            <t xml:space="preserve">
School revenue is formula-limited and new operating referendums need voter approval, but since 2023 a board may renew an expiring referendum once by board action. School districts sat outside the city and county levy limits whenever those were imposed, and many levies (debt service on approved bonds, long-term facilities maintenance and other formula levies) need no vote. On Nov. 4, 2025, 44 of 70 district referendums at least partly passed (Department of Revenue).
Authority: Minn. Stat. §126C.17, subds. 9, 9b; §123B.595.</t>
          </r>
        </is>
      </c>
      <c r="I24" s="4" t="inlineStr">
        <is>
          <r>
            <rPr>
              <rFont val="Carlito"/>
              <b val="1"/>
              <sz val="11"/>
            </rPr>
            <t>Yes.</t>
          </r>
          <r>
            <rPr>
              <rFont val="Carlito"/>
              <sz val="11"/>
            </rPr>
            <t xml:space="preserve">
The state general levy, created in the 2001 tax reform, taxes commercial-industrial and seasonal recreational (cabin) property at uniform statewide rates, with proceeds going to the state general fund. The amounts are fixed in statute: $716,990,000 on commercial-industrial property (taxes payable 2023 and later) and $41,690,000 on seasonal recreational property (2020 and later), about $758.7 million a year. The first $150,000 of each commercial-industrial parcel's value is excluded. It was created alongside the state's takeover of the basic school general education levy, so it partly replaced local school taxes; its revenue is general state revenue and an additional tax on those classes.
Authority: Minn. Stat. §275.025.</t>
          </r>
        </is>
      </c>
      <c r="J24" s="4" t="inlineStr">
        <is>
          <r>
            <rPr>
              <rFont val="Carlito"/>
              <b val="1"/>
              <sz val="11"/>
            </rPr>
            <t>Yes.</t>
          </r>
          <r>
            <rPr>
              <rFont val="Carlito"/>
              <sz val="11"/>
            </rPr>
            <t xml:space="preserve">
Homestead Market Value Exclusion (since 2012, replacing the state-paid homestead credit): 40% of a home's value is excluded up to $95,000 of value (a $38,000 maximum); the exclusion shrinks by 9% of value above $95,000 and ends at $517,200 (thresholds raised in 2023). It covers residential homesteads and the house, garage and one acre of farm homesteads. Because the state no longer pays for it, the exclusion shifts tax to other property. Veterans with a service-connected disability of 70% or more exclude $150,000 of value ($300,000 if totally and permanently disabled), and agricultural homesteads get a lower class rate on first-tier land.
Authority: Minn. Stat. §273.13, subd. 35 (amended Laws 2023, ch. 64); §273.13, subd. 34.</t>
          </r>
        </is>
      </c>
      <c r="K24" s="4" t="inlineStr">
        <is>
          <r>
            <rPr>
              <rFont val="Carlito"/>
              <b val="1"/>
              <sz val="11"/>
            </rPr>
            <t>Yes.</t>
          </r>
          <r>
            <rPr>
              <rFont val="Carlito"/>
              <sz val="11"/>
            </rPr>
            <t xml:space="preserve">
All state-paid, through the Department of Revenue:
- Homestead Credit Refund (circuit breaker) for homeowners whose property tax is high relative to household income: for 2025 claims (taxes payable in 2026), household income must be under $142,490 and the regular maximum is $3,480; a 2026 law added a one-time 14.88% increase (about $125 million).
- Renter's Credit: a refundable income tax credit since tax year 2024 (maximum $2,640 in 2024, indexed; household income under $77,570 for 2025).
- Special Property Tax Refund ("targeting"): pays 60% of the increase above 12% (and at least $100) in a homeowner's net tax on an unchanged home, up to $1,000, regardless of income.
- Senior citizens' property tax deferral: owners 65 and older with household income up to $96,000 who have owned and occupied the home at least five years may defer part of their property tax.
Authority: Minn. Stat. ch. 290A (incl. §290A.04, subd. 2h); §290.0693 (Laws 2023, ch. 64); ch. 290B; Laws 2026, ch. 128.</t>
          </r>
        </is>
      </c>
      <c r="L24" s="4" t="inlineStr">
        <is>
          <r>
            <rPr>
              <rFont val="Carlito"/>
              <b val="1"/>
              <sz val="11"/>
            </rPr>
            <t>Yes.</t>
          </r>
          <r>
            <rPr>
              <rFont val="Carlito"/>
              <sz val="11"/>
            </rPr>
            <t xml:space="preserve">
The state pays credits shown on the property tax bill, mainly on farmland, and reimburses local governments for them from standing general fund appropriations:
- School building bond agricultural credit: 70% of the school debt tax on agricultural land outside the homestead dwelling site, reimbursed to school districts; $117.8 million in FY2026 and $127.3 million in FY2027.
- Agricultural homestead market value credit: $37.5 million in FY2026 and $35.8 million in FY2027.
- Border city disparity reduction credit ($15.5 million in FY2027) and disparity reduction aid ($17.1 million a year), which go only to certain jurisdictions.
- Seasonal tax base replacement aid, which districts with large cabin tax bases must use to reduce referendum levies: $2.5 million one-time in FY2027, then about $4.7 million a year from FY2028.
Local Government Aid ($644.4 million in FY2027), County Program Aid, the general school formula and the income-tested homestead credit refund do not count under this test.
Authority: Minn. Stat. §§273.1387, 273.1384, 273.1398; Minn. Stat. §126C.17, subd. 7c, and Laws 2026, ch. 128, art. 4, secs. 2 and 12; Minnesota Management and Budget, End of Session Fund Balance Analysis (June 26, 2026).</t>
          </r>
        </is>
      </c>
      <c r="M24" s="4" t="inlineStr">
        <is>
          <r>
            <rPr>
              <rFont val="Carlito"/>
              <b val="1"/>
              <sz val="11"/>
            </rPr>
            <t>Partial.</t>
          </r>
          <r>
            <rPr>
              <rFont val="Carlito"/>
              <sz val="11"/>
            </rPr>
            <t xml:space="preserve">
Truth in taxation (current form since 1998): by Sept. 30, cities, counties, school districts and special taxing districts certify a maximum proposed levy (Sept. 15 for the Metropolitan Council). Between Nov. 10 and Nov. 24 the county mails each owner a parcel-specific notice showing the property's market value, the current year's tax and the proposed tax for each body, with a one-page sheet listing the percent change in each county, city and school district levy. Cities over 500, counties, school districts and metropolitan districts must hold a meeting after Nov. 24 (starting at 6 p.m. or later) where the public may speak. The final levy, set in late December (by Dec. 29 for 2026), may not exceed the proposed amount except for listed items such as voter-approved levies, and a body that fails to comply is held to its prior-year levy.
Results: for taxes payable in 2026, final levies came in $75 million below the September maximums.
Coded Partial because Minnesota meets one of the three key truth-in-taxation requirements (a rollback rate calculation, mailed parcel-specific notices and a governing-body vote to exceed the rollback rate); it computes no rollback rate and requires no vote to exceed one.
Authority: Minn. Stat. §275.065 (subd. 3c, a fiscal disparities display rule added in 2024, was repealed in 2025).</t>
          </r>
        </is>
      </c>
      <c r="N24" s="4" t="inlineStr">
        <is>
          <r>
            <rPr>
              <rFont val="Carlito"/>
              <b val="1"/>
              <sz val="11"/>
            </rPr>
            <t>No.</t>
          </r>
          <r>
            <rPr>
              <rFont val="Carlito"/>
              <sz val="11"/>
            </rPr>
            <t xml:space="preserve">
Because levies are set in dollars, rising values do not by themselves raise revenue; they shift tax among owners. But no limit stops a body from raising its levy each year, and no certified rollback rate applies.</t>
          </r>
        </is>
      </c>
      <c r="O24" s="4" t="inlineStr">
        <is>
          <r>
            <rPr>
              <rFont val="Carlito"/>
              <b val="1"/>
              <sz val="11"/>
            </rPr>
            <t>No.</t>
          </r>
          <r>
            <rPr>
              <rFont val="Carlito"/>
              <sz val="11"/>
            </rPr>
            <t xml:space="preserve">
School operating referendums, bond referendums and other levy questions pass by simple majority.</t>
          </r>
        </is>
      </c>
      <c r="P24" s="4" t="inlineStr">
        <is>
          <r>
            <rPr>
              <rFont val="Carlito"/>
              <b val="1"/>
              <sz val="11"/>
            </rPr>
            <t>Partial.</t>
          </r>
          <r>
            <rPr>
              <rFont val="Carlito"/>
              <sz val="11"/>
            </rPr>
            <t xml:space="preserve">
School operating referendums must be held on the November general election date (first Tuesday after the first Monday in November), with limited exceptions such as mail ballot elections. Other local special elections, including bond votes, must use one of five uniform election days (February, April, May, August or November).
Authority: Minn. Stat. §126C.17, subd. 11; §205.10, subd. 3a; §205A.05.</t>
          </r>
        </is>
      </c>
      <c r="Q24" s="4" t="inlineStr">
        <is>
          <r>
            <rPr>
              <rFont val="Carlito"/>
              <b val="1"/>
              <sz val="11"/>
            </rPr>
            <t>Partial.</t>
          </r>
          <r>
            <rPr>
              <rFont val="Carlito"/>
              <sz val="11"/>
            </rPr>
            <t xml:space="preserve">
Many levies are purpose-specific special levies (debt service, pensions, long-term facilities maintenance, safe schools, capital projects), and school referendum revenue follows formula rules. City and county general levies are unrestricted.</t>
          </r>
        </is>
      </c>
      <c r="R24" s="4" t="inlineStr">
        <is>
          <t>87 counties; 854 cities; 1,779 townships; 330 school districts; 579 special districts in the Census count, including watershed districts, housing and redevelopment authorities, port authorities, hospital districts, sanitary districts and soil and water conservation districts. Regional bodies in the Twin Cities levy too (the Metropolitan Council, the Metropolitan Mosquito Control District and county regional railroad authorities). Census of Governments 2022: 3,629 local governments.</t>
        </is>
      </c>
      <c r="S24" s="4" t="inlineStr">
        <is>
          <t>Verdict: Partly. Property tax per person rose 12.7% after inflation from FY2002 to FY2024, about half the U.S. 25.9%.
Why it leaks: Minnesota has had no levy limit on cities or counties since taxes payable in 2014, and certified levies rose 20.8% from taxes payable 2023 to 2026. Cities and counties have no spending limit, and since 2023 school boards may renew an expiring referendum without an election. State aid of about $986 million a year to cities and counties, 8.3% of collections, bought part of the slower growth and counts against the state.
How localities get around it: Minneapolis raised its levy 21.5% from 2023 to 2026 with no voter approval. Recent tax laws granted special TIF authority in cities including Brooklyn Park and St. Paul, keeping captured value off the general tax base.
Full record:
Minnesota has had no levy limit on cities or counties since taxes payable in 2014, and local levies now grow 6% to 8% a year. Truth in taxation offers transparency and accountability, and state aid and refunds soften the bills while local spending grows.
The record (Census, BEA, ACS): state and local property tax was $2,041 per person in FY2024 (U.S. $2,132), 2.72% of personal income (24th-highest of 50; U.S. 2.89%). After inflation, collections per person (all state and local property tax divided by residents) rose 12.7% from FY2002 to FY2024 (U.S. +25.9%) and fell 2.7% from FY2019 to FY2024 (U.S. -1.1%). The median homeowner paid $3,501 in 2024 (U.S. $3,211); the median bill rose 13.7% after inflation from 2010 to 2024 (U.S. +9.3%). The Tax Foundation's 2026 ranking puts its effective property tax rate on owner-occupied homes at 1.00%, 34th-lowest of 50. By the same measure it was 0.94% in 2010 (U.S. 1.00% in 2010, 0.94% in 2024).
- Statewide levies: certified local property tax levies rose from $11.41 billion (taxes payable 2023) to $13.78 billion (2026), up 20.8% in three years; the 2026 increase was $873 million (6.8%), with cities up 7.7%, counties 7.6% and schools 5.6% (Department of Revenue).
- Big cities: the Minneapolis city levy rose from $442.8 million (2023) to $537.9 million (2026), up 21.5%, including 8.1% for 2026, and Mayor Frey's proposed 2027 budget would raise it 11.3% (Center of the American Experiment, citing the Star Tribune). The St. Paul city levy rose from $201.1 million to $232.5 million (up 15.6%; 5.3% for 2026), and the City Council approved a maximum 6.8% increase for 2027. Each council adopts its own levy in December after the truth-in-taxation meeting; no voter approval is required.
- Counties: Hennepin County's levy rose from $930.8 million (2023) to $1.127 billion (2026), up 21.1%, including 7.8% for 2026; Ramsey County's rose 8.2% for 2026. Dakota County set an 18.5% preliminary increase for 2027.
- Schools: the St. Paul Public Schools levy rose 14.9% for 2026. Since 2023 school boards may renew an expiring operating referendum once without an election, and 44 of 70 district referendums at least partly passed on Nov. 4, 2025.
- TIF: the 2025 and 2026 tax laws granted special TIF authority or extended spending deadlines for districts in Brooklyn Park, Brooklyn Center, Eden Prairie, Plymouth, St. Cloud, St. Paul (Ford site), Edina, Chaska and other cities, keeping captured value off the general tax base.
- Fees: fees and charges are 44% of local own-source revenue (Census FY2022), among the highest shares in the nation; cities also use utility franchise fees and special assessments for street reconstruction alongside their levies.
- Revenue shift: the 2026 tax law extended Hennepin and Ramsey counties' mortgage and deed taxes to the end of 2036.
- Class shifting: the market value exclusion and class rates move tax from homes onto businesses, rentals and cabins, which also pay the state general levy.
- State money: Local Government Aid and County Program Aid total about $986 million a year, and the one-time 2026 homestead refund increase added about $125 million, shielding local budgets from the cost of their own levy decisions.
- History: when levy limits existed, special levies were exempt and the limits rose automatically when state aid was cut.
Property tax is 91% of local tax revenue. The Tax Foundation ranks Minnesota 23rd on property tax and 44th overall.</t>
        </is>
      </c>
      <c r="T24" s="4" t="inlineStr">
        <is>
          <t>- Center of the American Experiment, John Phelan, "How the DFL trifecta hiked property taxes and hit affordability" (Sept. 28, 2026). Lists 2027 preliminary levy increases across the state, including St. Paul's 6.8% maximum and Dakota County's 18.5%, after a $1 billion ($164 per person) statewide increase in 2026; blames unfunded state mandates passed by the 2023-2024 DFL trifecta, such as paid family and medical leave and a child welfare law that Dakota County says adds more than $4 million in costs, and calls for a limit on unfunded mandates. https://www.americanexperiment.org/how-the-dfl-trifecta-hiked-property-taxes-and-hit-affordability/
- Center of the American Experiment, John Phelan, "As property taxes surge again, hammering affordability, it's time for Minnesotans to say 'Taxed Enough Already'" (Aug. 17, 2026). Reports Minneapolis Mayor Frey's proposed 11.3% levy increase for 2027 ($409 a year on a median home), after city levy growth averaging 7.7% a year since 2018 against 3.9% annual income growth in Hennepin County and 3.3% inflation; argues "the spending is the problem" and calls for capping the growth of government spending. https://www.americanexperiment.org/as-property-taxes-surge-again-hammering-affordability-its-time-for-minnesotans-to-say-taxed-enough-already/
- Center of the American Experiment, John Phelan, "Property taxes: The spending is the problem" (April 7, 2026). Uses hypothetical city tables to argue that higher valuations alone leave a bill unchanged because the levy is spread over a larger base at a lower rate, while a bigger city budget raises the same $1,333 bill to $2,000; says "the increase in local government spending" is the cause and higher assessments let governments fund it without raising rates by the full amount. https://www.americanexperiment.org/property-taxes-the-spending-is-the-problem/
- Center of the American Experiment, John Phelan, "Republican plan to restrain property tax hikes will help with affordability" (March 4, 2026). Cites 2026 levy increases of 7.79% in Hennepin County and 9.4% in Anoka County, Hennepin's $40 million-plus for "disparity elimination," and about $300,000 a year in unfunded mandate costs at Triton Schools; backs Sen. Michael Kreun's bill to cap levy growth in localities over 2,500 people at inflation plus 50% of population growth, with larger increases going to voters, and likens it to the Center's North Dakota proposal to cap local spending growth at inflation. https://www.americanexperiment.org/republican-plan-to-restrain-property-tax-hikes-will-help-with-affordability/
- Minnesota Senate Republicans, "Senate Republicans propose 'Tax Relief that Makes a Difference'" (March 2, 2026). Sen. Michael Kreun's bill would cap property taxes for cities and counties over 2,500 residents at the rate of inflation plus 50% of population growth, with increases above the cap allowed only with voter approval; the caucus ties the prior year's increase of "as much as a billion dollars" to state mandates and spending, citing about 250 mayors who called for fiscal restraint. https://www.mnsenaterepublicans.com/senate-republicans-propose-tax-relief-that-makes-a-difference/
- Alpha News (State Policy Network associate), Luke Sprinkel, "Local governments raising property taxes as poll finds 60% are very concerned about increases" (Dec. 23, 2025). An Alpha News/RMG Research poll of 800 registered voters (Dec. 10-16, 2025) found 60% very concerned about rising property taxes and 27% somewhat concerned; reports 2026 levy increases of 7.79% in Hennepin County and 8.25% in Ramsey County, and a letter from 98 mayors saying local increases "stem directly from state policies, mandates, and cost shifts." https://alphanews.org/local-governments-raising-property-taxes-as-poll-finds-60-are-very-concerned-about-increases/
- Center of the American Experiment, John Phelan, "Tanking commercial property values in downtown Minneapolis push up residential property taxes" (March 27, 2025). Reports that Minneapolis property values fell about 1% for a second straight year, with downtown commercial values down 9.5% and core office buildings down about 22%, so homeowners now carry more than 53% of the city's tax capacity, a share up 6% since 2020; says this is the budget squeeze the Center had predicted for Minneapolis and St. Paul. https://www.americanexperiment.org/tanking-commercial-property-values-in-downtown-minneapolis-push-up-residential-property-taxes/
- Opportunity for All Kids (State Policy Network associate), Annie Holmquist, "Rochester's Proposed Referendum Shows It's Time to Start Spending Smarter When It Comes to Education" (May 16, 2024). Faults Rochester Public Schools for weighing a $19.4 million levy referendum months after voters rejected a $100 million one, noting the district spends $20,494 per student while 61% of 10th graders read proficiently and 39% of 11th graders are proficient in math; urges education savings accounts as the better use of education dollars. https://oakmn.org/rochesters-proposed-referendum-shows-its-time-to-start-spending-smarter-when-it-comes-to-education/
- Freedom Foundation of Minnesota, "Minnesota Legislature Takes Away Taxpayer's Right to Vote" (April 14, 2024). Objects to the 2023 law letting school boards renew an expiring operating referendum once without an election, which it says means "one vote could raise taxes for the local school district for 10 years"; reprints Star Tribune reporting that boards may renew only at the amount and length voters approved. https://freedomfoundationofminnesota.com/minnesota-legislature-takes-away-taxpayers-right-to-vote/
- Upper Midwest Law Center (State Policy Network associate): no property tax report since 2021 was found.
- Citizens' Council for Health Freedom (State Policy Network associate): no property tax report since 2021 was found.
- Taxpayers League of Minnesota (state taxpayer association): no property tax item since 2021 was found, and the group could not be checked at a current site. Its domain, taxpayersleague.org, now serves an unrelated lottery site; archive.org captures show the League's own site was still online in June 2025 with no posts newer than 2018, and web searches found no successor site.
Linked list: 9 items on the Analyses sheet (filter State = Minnesota); every source URL is linked on the Sources sheet.</t>
        </is>
      </c>
      <c r="U24" s="4" t="inlineStr">
        <is>
          <t>2001: tax reform created the state general levy and moved basic school funding to the state.
2011: homestead credit replaced by the Homestead Market Value Exclusion (effective 2012).
2014: last year levy limits were imposed (a flat 3%, for taxes payable in 2014).
2023: omnibus tax law (Laws 2023, ch. 64) raised the market value exclusion phase-out to $517,200, raised Local Government Aid to $644.4 million and County Program Aid from aids payable in 2024, and paid one-time rebates; the renter's refund became an income tax credit from tax year 2024. The 2023 education law let school boards renew an expiring operating referendum once without a vote.
2025: the special-session tax law (1st Spec. Sess., ch. 13, signed June 14, 2025) made mostly technical property tax changes, repealed local government cannabis aid and granted new TIF authority to several cities; no levy limit was enacted.
2026: SF 4608 (Sens. Abeler, Duckworth and Hoffman), to restore permanent city and county levy limits at inflation with overrides only by unanimous council or board vote, was introduced March 18, 2026 and saw no committee action. HF 4906 (Rep. Davids), a one-time $4 billion homestead property tax refund (about $2,500 per home), was laid over April 14, 2026, after a motion to take it up on the House floor failed April 9. The omnibus tax law (HF 2438, Laws 2026, ch. 128; House 126-8, Senate 52-15; signed May 27, 2026) added a one-time 14.88% increase in homestead credit refunds ($125 million), created seasonal tax base replacement aid for school referendum levies from 2027 and extended the Hennepin and Ramsey deed and mortgage taxes to 2036.
No Minnesota statewide property tax measure is on the Nov. 3, 2026 ballot.</t>
        </is>
      </c>
      <c r="V24" s="4" t="inlineStr">
        <is>
          <t>34th (1.00% effective rate; 0.94% in 2010)</t>
        </is>
      </c>
      <c r="W24" s="4" t="inlineStr">
        <is>
          <t>Minnesota has no standing levy, assessment or rate cap; its city and county levy limits have been off since 2014. It relies on truth-in-taxation notices, school revenue formulas with voter-approved referendums (renewable once by school boards since 2023), a state general levy on business and cabin property, and about $1 billion a year in state aid plus income-based refunds. Certified local levies rose 20.8% from 2023 to 2026.</t>
        </is>
      </c>
      <c r="X24" s="4" t="inlineStr">
        <is>
          <t>https://www.revisor.mn.gov/statutes/cite/275.70
https://www.revisor.mn.gov/statutes/cite/275.065
https://www.revisor.mn.gov/statutes/cite/275.025
https://www.revisor.mn.gov/statutes/cite/126C.17
https://www.revisor.mn.gov/statutes/cite/290A.04
https://www.lincolninst.edu/app/uploads/2024/12/levy_limits_2022.xlsx
https://www.lincolninst.edu/app/uploads/2024/10/truth_in_taxation_2024.xlsx
https://www2.census.gov/programs-surveys/gov-finances/tables/2022/22slsstab1.xlsx
https://www.house.mn.gov/hrd/pubs/ss/sslvylmt.pdf
https://www.revisor.mn.gov/statutes/cite/275.71
https://www.revisor.mn.gov/bills/94/2026/0/SF/4608
https://www.revisor.mn.gov/statutes/cite/273.13
https://www.revisor.mn.gov/statutes/cite/290.0693
https://www.revisor.mn.gov/statutes/cite/290B.03
https://www.revisor.mn.gov/statutes/cite/477A.03
https://www.revenue.state.mn.us/certified-property-tax-levies
https://www.revenue.state.mn.us/sites/default/files/2026-02/2026-certified-levies-website.xlsx
https://www.revenue.state.mn.us/sites/default/files/2024-03/2024-certified-levies-website.xlsx
https://revenue.state.mn.us/press-release/2025-11-13/preliminary-property-tax-levies-2026
https://www.revenue.state.mn.us/sites/default/files/2026-06/m1pr-inst-25.pdf
https://www.revenue.state.mn.us/homeowners-homestead-credit-refund
https://www.revenue.state.mn.us/renters-credit
https://www.revenue.state.mn.us/press-release/2026-06-05/minnesota-revenue-announces-guidance-one-time-increase-homeowner-refunds
https://www.revenue.state.mn.us/sites/default/files/2025-07/2025-property-tax-law-summary.pdf
https://www.revenue.state.mn.us/sites/default/files/2026-07/2026-property-tax-law-summary_0.pdf
https://www.house.mn.gov/NewLaws/story/2025/5642
https://www.house.mn.gov/NewLaws/story/2026/5779
https://www.house.mn.gov/SessionDaily/Story/19199
https://www.house.mn.gov/SessionDaily/Story/19081
https://www.americanexperiment.org/how-the-dfl-trifecta-hiked-property-taxes-and-hit-affordability/
https://www.americanexperiment.org/as-property-taxes-surge-again-hammering-affordability-its-time-for-minnesotans-to-say-taxed-enough-already/
https://freedomfoundationofminnesota.com/minnesota-legislature-takes-away-taxpayers-right-to-vote/</t>
        </is>
      </c>
    </row>
    <row r="25" ht="409" customHeight="1">
      <c r="A25" s="13" t="inlineStr">
        <is>
          <t>Mississippi</t>
        </is>
      </c>
      <c r="B25" s="4" t="inlineStr">
        <is>
          <r>
            <rPr>
              <rFont val="Carlito"/>
              <b val="1"/>
              <sz val="14"/>
            </rPr>
            <t>D.</t>
          </r>
          <r>
            <rPr>
              <rFont val="Carlito"/>
              <sz val="11"/>
            </rPr>
            <t xml:space="preserve">
Restriction points 7 of 18 (levy limit 2; assessment cap 1; rate cap 1; truth in taxation 1; rollback 0.5; supermajority 0.5; school districts covered 1). Deductions: built-in loopholes -1.5; workarounds in practice -0.5; state buydowns +0; data record +0. Total 5 = D (A 11+, B 8.5-10.9, C 5.5-8.4, D 3-5.4, F under 3).</t>
          </r>
        </is>
      </c>
      <c r="C25" s="4">
        <f>((LEFT(D25,3)="Yes")+(LEFT(E25,3)="Yes")+(LEFT(F25,3)="Yes")+(LEFT(G25,3)="Yes"))&amp;" of 4 in force"&amp;IF(((LEFT(D25,7)="Partial")+(LEFT(E25,7)="Partial")+(LEFT(F25,7)="Partial")+(LEFT(G25,7)="Partial"))&gt;0," + "&amp;((LEFT(D25,7)="Partial")+(LEFT(E25,7)="Partial")+(LEFT(F25,7)="Partial")+(LEFT(G25,7)="Partial"))&amp;" partial","")&amp;CHAR(10)&amp;CHAR(10)&amp;IF(LEFT(D25,3)="Yes","✓",IF(LEFT(D25,7)="Partial","◐","✗"))&amp;" Spending limit"&amp;CHAR(10)&amp;IF(LEFT(E25,3)="Yes","✓",IF(LEFT(E25,7)="Partial","◐","✗"))&amp;" Levy limit"&amp;CHAR(10)&amp;IF(LEFT(F25,3)="Yes","✓",IF(LEFT(F25,7)="Partial","◐","✗"))&amp;" Assessment cap"&amp;CHAR(10)&amp;IF(LEFT(G25,3)="Yes","✓",IF(LEFT(G25,7)="Partial","◐","✗"))&amp;" Rate cap"</f>
        <v/>
      </c>
      <c r="D25" s="4" t="inlineStr">
        <is>
          <r>
            <rPr>
              <rFont val="Carlito"/>
              <b val="1"/>
              <sz val="11"/>
            </rPr>
            <t>No.</t>
          </r>
          <r>
            <rPr>
              <rFont val="Carlito"/>
              <sz val="11"/>
            </rPr>
            <t xml:space="preserve">
No cap on growth in county, municipal or school district spending. Revenue is restrained through the property tax levy limits below.</t>
          </r>
        </is>
      </c>
      <c r="E25" s="4" t="inlineStr">
        <is>
          <r>
            <rPr>
              <rFont val="Carlito"/>
              <b val="1"/>
              <sz val="11"/>
            </rPr>
            <t>Partial.</t>
          </r>
          <r>
            <rPr>
              <rFont val="Carlito"/>
              <sz val="11"/>
            </rPr>
            <t xml:space="preserve">
Counties and municipalities may not raise ad valorem receipts more than 10% above the total collected in any one of the three previous years, excluding revenue from new property (a county may instead use 110% of the prior year plus new property). The limit binds only on millage above a ceiling: a county board or city governing authority may raise its levy without an election up to the greater of an aggregate 20 mills or any aggregate levy used in one of the previous ten fiscal years. School, road and bridge, general obligation bond and other mandatory levies, new property, reappraisal costs and voter-approved levies are excluded. Voters may approve increases above the limit for up to five years at a time. Receipts above the limit go to a special account and reduce the next year's taxes.
School districts are held to 7% growth over the prior year's levy (measured from the fiscal 1997 levy); a larger increase needs three-fifths of voters, and increases above 4% require notice and may be petitioned to an election.
Authority: Miss. Code §§27-39-321, 27-39-323 (counties and municipalities); §§37-57-105, 37-57-107 (school districts).</t>
          </r>
        </is>
      </c>
      <c r="F25" s="4" t="inlineStr">
        <is>
          <r>
            <rPr>
              <rFont val="Carlito"/>
              <b val="1"/>
              <sz val="11"/>
            </rPr>
            <t>Partial</t>
          </r>
          <r>
            <rPr>
              <rFont val="Carlito"/>
              <sz val="11"/>
            </rPr>
            <t xml:space="preserve"> (owners 65+ and disabled owners only).
No general cap on assessed value growth. Homeowners 65 and older and totally disabled homeowners receive an additional exemption equal to any increase in assessed value from a county reappraisal after Jan. 1, 2018 (or after their first exemption year), for as long as they own the home, which freezes their assessments. Property is classified and assessed at fixed ratios: owner-occupied homes (Class I) 10% of true value; other real property (Class II) and business personal property (Class III) 15%; utilities (Class IV) and motor vehicles (Class V) 30%. Reappraisal at least every four years.
Authority: Miss. Const. §112; Miss. Code §27-33-75(2)(c) (as brought forward by HB 4044, 2026).</t>
          </r>
        </is>
      </c>
      <c r="G25" s="4" t="inlineStr">
        <is>
          <r>
            <rPr>
              <rFont val="Carlito"/>
              <b val="1"/>
              <sz val="11"/>
            </rPr>
            <t>Partial.</t>
          </r>
          <r>
            <rPr>
              <rFont val="Carlito"/>
              <sz val="11"/>
            </rPr>
            <t xml:space="preserve">
No overall cap on combined rates; the binding limits are the revenue-growth caps (see Levy limit). Specific levies carry statutory maximums. School districts must levy at least a state-certified minimum tied to the school funding formula, the Mississippi Student Funding Formula (HB 4130, approved May 8, 2024), so school taxes have a floor.
Authority: Miss. Code §37-57-105; HB 4130 (2024).</t>
          </r>
        </is>
      </c>
      <c r="H25" s="4" t="inlineStr">
        <is>
          <r>
            <rPr>
              <rFont val="Carlito"/>
              <b val="1"/>
              <sz val="11"/>
            </rPr>
            <t>Yes.</t>
          </r>
          <r>
            <rPr>
              <rFont val="Carlito"/>
              <sz val="11"/>
            </rPr>
            <t xml:space="preserve">
School districts have their own 7% revenue limit, with overrides requiring a three-fifths vote of the electorate, a higher bar than for cities and counties.</t>
          </r>
        </is>
      </c>
      <c r="I25" s="4" t="inlineStr">
        <is>
          <r>
            <rPr>
              <rFont val="Carlito"/>
              <b val="1"/>
              <sz val="11"/>
            </rPr>
            <t>No.</t>
          </r>
          <r>
            <rPr>
              <rFont val="Carlito"/>
              <sz val="11"/>
            </rPr>
            <t xml:space="preserve">
Mississippi repealed its state property tax in 1982; property taxes are levied by counties, municipalities and school districts.</t>
          </r>
        </is>
      </c>
      <c r="J25" s="4" t="inlineStr">
        <is>
          <r>
            <rPr>
              <rFont val="Carlito"/>
              <b val="1"/>
              <sz val="11"/>
            </rPr>
            <t>Yes.</t>
          </r>
          <r>
            <rPr>
              <rFont val="Carlito"/>
              <sz val="11"/>
            </rPr>
            <t xml:space="preserve">
Owners 65+ and totally disabled owners are exempt on the first $7,500 of assessed value, which fully exempts a Class I home worth $75,000 or less. Veterans rated 100% service-connected disabled are fully exempt regardless of value. All other homeowners receive a "homestead exemption" in the form of a credit against the tax bill, scaled to assessed value, up to $300.
Authority: Miss. Code §27-33-1 et seq.</t>
          </r>
        </is>
      </c>
      <c r="K25" s="4" t="inlineStr">
        <is>
          <r>
            <rPr>
              <rFont val="Carlito"/>
              <b val="1"/>
              <sz val="11"/>
            </rPr>
            <t>Yes.</t>
          </r>
          <r>
            <rPr>
              <rFont val="Carlito"/>
              <sz val="11"/>
            </rPr>
            <t xml:space="preserve">
The regular homestead credit (up to $300, above) works as a property tax credit on the bill. Businesses receive a state income tax credit for local property taxes paid on inventory (enacted 2012), so the state absorbs part of local inventory taxes.
Authority: Miss. Code §27-33-1 et seq.; 2012 inventory tax credit law.</t>
          </r>
        </is>
      </c>
      <c r="L25" s="4" t="inlineStr">
        <is>
          <r>
            <rPr>
              <rFont val="Carlito"/>
              <b val="1"/>
              <sz val="11"/>
            </rPr>
            <t>Yes.</t>
          </r>
          <r>
            <rPr>
              <rFont val="Carlito"/>
              <sz val="11"/>
            </rPr>
            <t xml:space="preserve">
- Homestead exemption reimbursement: the state reimburses local governments for taxes lost to the homestead exemption under a per-applicant formula, with an added reimbursement to cities for owners 65 and older or disabled. The Legislature appropriated $94.0 million for FY2027, the same as FY2026.
- Motor vehicle tag credit: owners receive a credit on the vehicle ad valorem tax (6.5% in FY2025), and the Motor Vehicle Ad Valorem Tax Reduction Fund, fed by sales and use tax, reimburses counties for the loss ($335.9 million in FY2025).
- School Ad Valorem Tax Reduction Fund: a share of sales and use tax ($46.0 million in FY2025) goes to school districts, which must reduce their levies by the amount received.
- The inventory tax credit is taken against state income tax and does not count under this test.
Authority: Miss. Code §§27-33-77, 27-33-79; §§27-51-101 to 27-51-107; §§37-61-35, 37-57-105; §27-65-75; SB 3090 (2026); Mississippi Department of Revenue, FY2025 Annual Report.</t>
          </r>
        </is>
      </c>
      <c r="M25" s="4" t="inlineStr">
        <is>
          <r>
            <rPr>
              <rFont val="Carlito"/>
              <b val="1"/>
              <sz val="11"/>
            </rPr>
            <t>Partial.</t>
          </r>
          <r>
            <rPr>
              <rFont val="Carlito"/>
              <sz val="11"/>
            </rPr>
            <t xml:space="preserve">
Every taxing entity must hold a public hearing on its budget for the following year. It may not budget an increase in revenue from existing property (growth from new property excepted) unless it advertises its intent to increase revenue, in a notice meeting statutory size, placement and frequency rules, at the same time it advertises the budget. 
Coded Partial: the notice and hearing apply to budgeted revenue growth, with no rollback rate calculation, parcel notice or separate vote to exceed one.
Authority: Miss. Code §§27-39-203, 27-39-205.</t>
          </r>
        </is>
      </c>
      <c r="N25" s="4" t="inlineStr">
        <is>
          <r>
            <rPr>
              <rFont val="Carlito"/>
              <b val="1"/>
              <sz val="11"/>
            </rPr>
            <t>Partial.</t>
          </r>
          <r>
            <rPr>
              <rFont val="Carlito"/>
              <sz val="11"/>
            </rPr>
            <t xml:space="preserve">
No certified rollback rate. Receipts above the 10% or 7% limit go into a special account and reduce the next year's taxes, and any budgeted increase in revenue from existing property requires advertised notice; the ten-year look-back lets counties and cities return to past millage without a vote.
Authority: Miss. Code §27-39-323; §37-57-107(3).</t>
          </r>
        </is>
      </c>
      <c r="O25" s="4" t="inlineStr">
        <is>
          <r>
            <rPr>
              <rFont val="Carlito"/>
              <b val="1"/>
              <sz val="11"/>
            </rPr>
            <t>Partial.</t>
          </r>
          <r>
            <rPr>
              <rFont val="Carlito"/>
              <sz val="11"/>
            </rPr>
            <t xml:space="preserve">
School district levy overrides need a three-fifths (60%) vote of the electorate. County and municipal overrides pass by simple majority.
Authority: Miss. Code §37-57-107.</t>
          </r>
        </is>
      </c>
      <c r="P25" s="4" t="inlineStr">
        <is>
          <r>
            <rPr>
              <rFont val="Carlito"/>
              <b val="1"/>
              <sz val="11"/>
            </rPr>
            <t>No.</t>
          </r>
          <r>
            <rPr>
              <rFont val="Carlito"/>
              <sz val="11"/>
            </rPr>
            <t xml:space="preserve">
No statewide rule limits local tax override elections to November.</t>
          </r>
        </is>
      </c>
      <c r="Q25" s="4" t="inlineStr">
        <is>
          <r>
            <rPr>
              <rFont val="Carlito"/>
              <b val="1"/>
              <sz val="11"/>
            </rPr>
            <t>No.</t>
          </r>
          <r>
            <rPr>
              <rFont val="Carlito"/>
              <sz val="11"/>
            </rPr>
            <t xml:space="preserve">
No general statewide restriction on what local property tax revenue may fund beyond the purposes of specific levies (debt service, schools, special districts).</t>
          </r>
        </is>
      </c>
      <c r="R25" s="4" t="inlineStr">
        <is>
          <t>82 counties; 298 municipalities; about 140 school districts (Census counts 150 independent school governments and 3 dependent systems); 437 special districts in the Census count (drainage, water, fire protection, utility and other districts); community and junior colleges supported by county levies. Census of Governments 2022: 967 local governments.</t>
        </is>
      </c>
      <c r="S25" s="4" t="inlineStr">
        <is>
          <t>Verdict: Failed. Property tax per person rose 30.4% after inflation from FY2002 to FY2024, above the U.S. 25.9%, though it fell 4.0% from FY2019 to FY2024 (U.S. -1.1%).
Why it leaks: The county and city limit allows 10% growth over the best of three prior years and binds only above a ceiling: a board may raise millage without an election to 20 mills or any levy from the past ten years. Bond and voter-approved levies sit outside it, and there is no spending limit. State homestead reimbursements and the inventory credit shift part of local bills onto state taxpayers, which counts against the state.
How localities get around it: Governments that cut rates during a reappraisal can raise them back without a vote. Jackson's new water authority is exempt from property tax, moving water costs onto rates.
Full record:
The 7% school limit binds, but the county and city limit is loose: 10% a year against the best of the prior three years, new property excluded, and any county or city may return without a vote to the highest millage it used in the past ten years.
The record (Census, BEA, ACS): state and local property tax was $1,310 per person in FY2024 (U.S. $2,132), 2.54% of personal income (29th-highest of 50; U.S. 2.89%). After inflation, collections per person (all state and local property tax divided by residents) rose 30.4% from FY2002 to FY2024 (U.S. +25.9%) and fell 4.0% from FY2019 to FY2024 (U.S. -1.1%). The median homeowner paid $1,221 in 2024 (U.S. $3,211); the median bill rose 16.9% after inflation from 2010 to 2024 (U.S. +9.3%). The Tax Foundation's 2026 ranking puts its effective property tax rate on owner-occupied homes at 0.58%, 15th-lowest of 50. By the same measure it was 0.56% in 2010 (U.S. 1.00% in 2010, 0.94% in 2024).
Ten-year look-back: because the limit applies only above a prior ten-year high (or 20 mills), governments that cut rates during a reappraisal can raise them back later with no election.
Big cities: Jackson won new local taxes in 2026 (an extra 1% hotel and motel tax and 0.5% restaurant tax, SB 3328), and the new Metro Jackson Water Authority (HB 1677) is exempt from property tax, moving water costs onto rates.
- Fees and charges: 54% of local own-source revenue (Census FY2022), among the highest shares in the nation and far above the national 34%; hospitals, utilities and other charges carry much of local finance.
- Industrial exemptions: state law lets counties and cities grant manufacturers up to 10-year exemptions from county and city taxes, and tax increment financing is widely available, shifting the burden onto homes and small business.
- State backfill: homestead reimbursements and the inventory credit move part of the local property tax bill onto state taxpayers.
Property tax is 94% of local tax revenue. The Tax Foundation ranks Mississippi 39th on property tax.</t>
        </is>
      </c>
      <c r="T25" s="4" t="inlineStr">
        <is>
          <t>- Magnolia Tribune (State Policy Network associate), Jeremy Pittari, "House lawmakers exploring ways to cut Mississippi property taxes, car tag fees" (Sept. 18, 2026). Reports that the House Select Committee on Property Tax is weighing cuts to the $1.2 billion in homestead property taxes that counties, cities and school districts collect each year and to car tag fees; co-chair Rep. Trey Lamar (R) says lawmakers must either cut local government or find replacement revenue, points to the same car tag costing $2,000 in one county and $300 in another, and wants better property tax notices. Bills could follow when the Legislature reconvenes in January. https://magnoliatribune.com/2026/09/18/house-lawmakers-exploring-ways-to-cut-mississippi-property-taxes-car-tag-fees/
- Mississippi Center for Public Policy (State Policy Network affiliate), Douglas Carswell, "Want to know how your tax money is spent?" (June 28, 2026). Clarion Ledger column introducing the Center's free TaxToolMS calculator, which splits a household's estimated tax bill by level of government and estimates its car tag; says neighbors across the state line pay about half as much to tag a similar car and that, with bills in plain view, legislators "might think twice before spending more." https://mspolicy.org/Clarion-Ledger.pdf
- Mississippi Office of the State Auditor (Auditor Shad White, R), Logan Reeves, "A Review of Car Tag Prices Across Mississippi" (Jan. 5, 2026). Cites a news report ranking Mississippi's vehicle taxes and fees second-highest in the nation, often approaching or exceeding $1,000 a year, and finds most of the price coming from local ad valorem property taxes on an assessed value of 30% of a vehicle's true value; median millage is 119.3 for county residents and 153.4 inside cities, and Clarksdale's 226.28 mills is more than double Coahoma County's 102.27. Calls on the Legislature to require counties to publish accurate tax rates online. https://www.osa.ms.gov/sites/default/files/osa/files/reports/25A%20Review%20of%20Car%20Tag%20Prices%20Across%20Mississippi.pdf
- Magnolia Tribune, Frank Corder, "Are property taxes going up in Mississippi?" (July 29, 2025). DeSoto County's assessor said the county had been assessing at about 56% of market value and moved toward at least 85% for tax year 2025; the Department of Revenue said it issued no new directive and that the 85% figure is an assessment ratio standard in place since at least 2007. https://magnoliatribune.com/2025/07/29/are-property-taxes-going-up-in-mississippi/
- Tax Foundation (national), "Property Tax Limitation Regimes: A Primer" (updated April 2, 2025). Its table credits Mississippi with a levy limit only, and it explains that levy limits restrain total revenue growth while leaving room for rates and individual bills to change. https://taxfoundation.org/research/all/state/property-tax-limitation-regimes-primer/
- Magnolia Tribune, Sid Salter, "Will state legislative leaders join growing national trend toward property tax limits?" (Aug. 21, 2024). Says property tax seldom enters Mississippi's tax-cut debates because local governments control it, credits the 1934 move to a first-in-the-nation retail sales tax with keeping property taxes low, and cites a figure that personal property made up 29.4% of the tax base in 2021, the highest share among states that classify it; asks whether "a showdown on property tax relief" is near as other states move toward limits. https://magnoliatribune.com/2024/08/21/will-state-legislative-leaders-join-growing-national-trend-toward-property-tax-limits/
- Magnolia Tribune, Bill Crawford, "Cut school taxes to provide tax relief" (May 26, 2024). Urges Speaker Jason White to put property taxes ahead of income and grocery tax cuts, noting that school millage rates often exceed city and county general rates and that the new school funding formula sets a minimum local contribution of 28 mills in most districts; proposes phasing out that local match and requiring local governments to phase down school taxes. https://magnoliatribune.com/2024/05/26/cut-school-taxes-to-provide-tax-relief/
- Empower Mississippi Foundation (State Policy Network affiliate): no property tax report since 2021 was found.
- American Dream Legal (State Policy Network associate): no property tax report since 2021 was found.
Linked list: 7 items on the Analyses sheet (filter State = Mississippi); every source URL is linked on the Sources sheet.</t>
        </is>
      </c>
      <c r="U25" s="4" t="inlineStr">
        <is>
          <t>1980: 10% levy limit for counties and municipalities (school district limit 1983, amended 1990).
1982: state property tax repealed. Late 1980s: constitutional amendment created the 10% Class I ratio for owner-occupied homes.
2012: income tax credit for local taxes on business inventory.
2024: HB 4130 replaced the MAEP school formula with the Mississippi Student Funding Formula (approved May 8, 2024); the House INSPIRE bill died. HB 1378: full homestead exemption for honorably discharged veterans 90 and older from 2025.
2025: HB 1 ("Build Up Mississippi Act," approved March 27, 2025) cuts the income tax to 3% by 2030 and the grocery tax to 5%, with no change to property tax limits. HB 812 extended the veterans' exemption to unremarried surviving spouses. Bills to raise the homestead exemption or exempt part of increases in value (HB 1850, SB 2992) died.
2026: HB 420 lowers the veterans' exemption age to 85 from 2027; HB 4044 rewrote homestead administration; SB 3328 gave Jackson new hotel and restaurant taxes. HB 830 (limits on increases) and SB 3162 (full exemption for owners 65+) died. On May 6, 2026, Speaker Jason White created a House Select Committee on Property Taxes for the 2027 session.
No Mississippi property tax measure is on the Nov. 3, 2026 ballot.</t>
        </is>
      </c>
      <c r="V25" s="4" t="inlineStr">
        <is>
          <t>15th (0.58% effective rate; 0.56% in 2010)</t>
        </is>
      </c>
      <c r="W25" s="4" t="inlineStr">
        <is>
          <t>Mississippi relies on revenue-growth limits (10% for counties and cities, 7% for schools, both overridable by vote), low assessment ratios for owner-occupied homes, a state-reimbursed homestead exemption and advertised-notice rules. Local governments lean heavily on fees and charges.</t>
        </is>
      </c>
      <c r="X25" s="4" t="inlineStr">
        <is>
          <t>https://www.lincolninst.edu/app/uploads/legacy-files/ms_june_2021.pdf
https://billstatus.ls.state.ms.us/documents/2010/html/HB/1300-1399/HB1370IN.htm
https://www.lincolninst.edu/app/uploads/2024/12/levy_limits_2022.xlsx
https://www2.census.gov/programs-surveys/gov-finances/tables/2022/22slsstab1.xlsx
https://codes.findlaw.com/ms/title-27-taxation-and-finance/ms-code-sect-27-39-321/
https://billstatus.ls.state.ms.us/documents/2026/html/HB/4000-4099/HB4044SG.htm
https://billstatus.ls.state.ms.us/2026/pdf/all_measures/allmsrs.xml
https://billstatus.ls.state.ms.us/2025/pdf/history/HB/HB0001.xml
https://www.wjtv.com/news/politics/mississippi-politics/mississippi-lawmakers-consider-cutting-property-taxes/amp/</t>
        </is>
      </c>
    </row>
    <row r="26" ht="409" customHeight="1">
      <c r="A26" s="13" t="inlineStr">
        <is>
          <t>Missouri</t>
        </is>
      </c>
      <c r="B26" s="4" t="inlineStr">
        <is>
          <r>
            <rPr>
              <rFont val="Carlito"/>
              <b val="1"/>
              <sz val="14"/>
            </rPr>
            <t>B.</t>
          </r>
          <r>
            <rPr>
              <rFont val="Carlito"/>
              <sz val="11"/>
            </rPr>
            <t xml:space="preserve">
Restriction points 10.5 of 18 (levy limit 4; rate cap 2; truth in taxation 1; rollback 1; supermajority 1; school districts covered 1; November-ballot rule 0.25; use restrictions 0.25). Deductions: built-in loopholes -1; workarounds in practice -1; state buydowns +0; data record +0. Total 8.5 = B (A 11+, B 8.5-10.9, C 5.5-8.4, D 3-5.4, F under 3).
Why: The burden is below average (2.35% of personal income against 2.89% nationally; effective rate 0.79%). Recent growth is fast, though: real per-person collections rose 11.3% in FY2019-FY2024 while the national figure fell 1.1% (46th), and Prop C waivers and special districts add to the load.</t>
          </r>
        </is>
      </c>
      <c r="C26" s="4">
        <f>((LEFT(D26,3)="Yes")+(LEFT(E26,3)="Yes")+(LEFT(F26,3)="Yes")+(LEFT(G26,3)="Yes"))&amp;" of 4 in force"&amp;IF(((LEFT(D26,7)="Partial")+(LEFT(E26,7)="Partial")+(LEFT(F26,7)="Partial")+(LEFT(G26,7)="Partial"))&gt;0," + "&amp;((LEFT(D26,7)="Partial")+(LEFT(E26,7)="Partial")+(LEFT(F26,7)="Partial")+(LEFT(G26,7)="Partial"))&amp;" partial","")&amp;CHAR(10)&amp;CHAR(10)&amp;IF(LEFT(D26,3)="Yes","✓",IF(LEFT(D26,7)="Partial","◐","✗"))&amp;" Spending limit"&amp;CHAR(10)&amp;IF(LEFT(E26,3)="Yes","✓",IF(LEFT(E26,7)="Partial","◐","✗"))&amp;" Levy limit"&amp;CHAR(10)&amp;IF(LEFT(F26,3)="Yes","✓",IF(LEFT(F26,7)="Partial","◐","✗"))&amp;" Assessment cap"&amp;CHAR(10)&amp;IF(LEFT(G26,3)="Yes","✓",IF(LEFT(G26,7)="Partial","◐","✗"))&amp;" Rate cap"</f>
        <v/>
      </c>
      <c r="D26" s="4" t="inlineStr">
        <is>
          <r>
            <rPr>
              <rFont val="Carlito"/>
              <b val="1"/>
              <sz val="11"/>
            </rPr>
            <t>No.</t>
          </r>
          <r>
            <rPr>
              <rFont val="Carlito"/>
              <sz val="11"/>
            </rPr>
            <t xml:space="preserve">
The Hancock Amendment (1980) caps state revenue as a share of personal income and bars unfunded state mandates, but it does not cap local spending. Local revenue is restrained through the voter-approval and rollback rules below.
Authority: Mo. Const. art. X §§18, 21.</t>
          </r>
        </is>
      </c>
      <c r="E26" s="4" t="inlineStr">
        <is>
          <r>
            <rPr>
              <rFont val="Carlito"/>
              <b val="1"/>
              <sz val="11"/>
            </rPr>
            <t>Yes.</t>
          </r>
          <r>
            <rPr>
              <rFont val="Carlito"/>
              <sz val="11"/>
            </rPr>
            <t xml:space="preserve">
Hancock rollback: no county, city, school district or other political subdivision may levy a new tax or raise an existing levy without voter approval, and when reassessment raises the assessed value of existing property, each subdivision must roll back its tax rate ceiling so that revenue from existing property grows no more than inflation (CPI), capped at 5%. Revenue from new construction and improvements is excluded. Voters may approve a higher ceiling.
Authority: Mo. Const. art. X §22(a); RSMo 137.073.</t>
          </r>
        </is>
      </c>
      <c r="F26" s="4" t="inlineStr">
        <is>
          <r>
            <rPr>
              <rFont val="Carlito"/>
              <b val="1"/>
              <sz val="11"/>
            </rPr>
            <t>No.</t>
          </r>
          <r>
            <rPr>
              <rFont val="Carlito"/>
              <sz val="11"/>
            </rPr>
            <t xml:space="preserve">
No statewide cap on growth in assessed value. Property is reassessed every odd-numbered year and assessed at fixed ratios: residential 19% of market value, commercial 32%, agricultural land 12% of productive value. SB 3 (2025) adds a county-option homestead credit that limits growth in the homestead tax bill in counties whose voters approved it; assessed values still rise (see Homestead). Its legality is before the Cole County Circuit Court.
Authority: Mo. Const. art. X §4(b); RSMo 137.115.</t>
          </r>
        </is>
      </c>
      <c r="G26" s="4" t="inlineStr">
        <is>
          <r>
            <rPr>
              <rFont val="Carlito"/>
              <b val="1"/>
              <sz val="11"/>
            </rPr>
            <t>Yes.</t>
          </r>
          <r>
            <rPr>
              <rFont val="Carlito"/>
              <sz val="11"/>
            </rPr>
            <t xml:space="preserve">
Constitutional maximum rates per $100 of assessed value, without a vote: municipalities $1.00; counties $0.35 (first-class counties over $300 million in assessed value) or $0.50; school districts $2.75 in city and town districts (including St. Louis) and $0.65 in others. Cities and counties may exceed their limits for up to four years only with two-thirds voter approval. School districts raise operating levies above their limits through voter-approved levy elections. Debt service is outside the limits.
Authority: Mo. Const. art. X §11(b)-(c).</t>
          </r>
        </is>
      </c>
      <c r="H26" s="4" t="inlineStr">
        <is>
          <r>
            <rPr>
              <rFont val="Carlito"/>
              <b val="1"/>
              <sz val="11"/>
            </rPr>
            <t>Yes.</t>
          </r>
          <r>
            <rPr>
              <rFont val="Carlito"/>
              <sz val="11"/>
            </rPr>
            <t xml:space="preserve">
School districts are bound by the Hancock rollback, the constitutional rate limits and voter approval for levy increases. Proposition C (1982) adds a school sales tax with a required property tax rollback (see Subsidies), which voters in many districts have waived.</t>
          </r>
        </is>
      </c>
      <c r="I26" s="4" t="inlineStr">
        <is>
          <r>
            <rPr>
              <rFont val="Carlito"/>
              <b val="1"/>
              <sz val="11"/>
            </rPr>
            <t>Partial.</t>
          </r>
          <r>
            <rPr>
              <rFont val="Carlito"/>
              <sz val="11"/>
            </rPr>
            <t xml:space="preserve">
A state property tax of 3 cents per $100 of assessed value funds blind pensions; it is an additional tax with no local replacement effect. Census FY2022 state property tax revenue: about $40 million.
Authority: Mo. Const. art. III §38(b); RSMo 209.130.</t>
          </r>
        </is>
      </c>
      <c r="J26" s="4" t="inlineStr">
        <is>
          <r>
            <rPr>
              <rFont val="Carlito"/>
              <b val="1"/>
              <sz val="11"/>
            </rPr>
            <t>Partial.</t>
          </r>
          <r>
            <rPr>
              <rFont val="Carlito"/>
              <sz val="11"/>
            </rPr>
            <t xml:space="preserve">
No general homestead exemption. Two county-option credits:
- Senior freeze (SB 190, 2023): counties may freeze the tax on homesteads of seniors eligible for Social Security; several counties have done so.
- SB 3 homestead credit (2025): 97 of 114 counties (the City of St. Louis is excluded) had to ask voters by the April 2026 municipal election whether to grant a credit that holds each homestead's real property tax at its first-year level in 22 "zero percent" counties, or lets it rise no more than 5% a year or the CPI increase, whichever is greater, in 75 "five percent" counties. Texas County approved it in November 2025. On April 7, 2026, 61 counties approved it (14 freezes, 47 caps), 12 rejected it and 23 held no vote.
Two taxpayers and seven taxing districts sued in Cole County Circuit Court, and 43 county commissions joined, arguing the law is a special law, breaks the uniformity clause and imposes an unfunded Hancock mandate. Judge Christopher Limbaugh heard the case on July 29, 2026; no ruling was found as of Oct. 12, 2026. Franklin County officials did not expect to apply the credit before 2027.
Authority: RSMo 137.1050 (SB 190, 2023); RSMo 137.1055 (SB 3, 2025 special session, effective Sept. 9, 2025).</t>
          </r>
        </is>
      </c>
      <c r="K26" s="4" t="inlineStr">
        <is>
          <r>
            <rPr>
              <rFont val="Carlito"/>
              <b val="1"/>
              <sz val="11"/>
            </rPr>
            <t>Yes.</t>
          </r>
          <r>
            <rPr>
              <rFont val="Carlito"/>
              <sz val="11"/>
            </rPr>
            <t xml:space="preserve">
Missouri Property Tax Credit (circuit breaker): a state-funded refund of up to $1,100 for homeowners and $750 for renters who are 65+, disabled or certain surviving spouses with low incomes; SB 190 (2023) raised the income limits. County-option senior freezes and SB 3 homestead credits (above) are credits against the local bill.
Authority: RSMo 135.010-135.035.</t>
          </r>
        </is>
      </c>
      <c r="L26" s="4" t="inlineStr">
        <is>
          <r>
            <rPr>
              <rFont val="Carlito"/>
              <b val="1"/>
              <sz val="11"/>
            </rPr>
            <t>Partial.</t>
          </r>
          <r>
            <rPr>
              <rFont val="Carlito"/>
              <sz val="11"/>
            </rPr>
            <t xml:space="preserve">
Proposition C (1982) adds one cent to the state sales tax for schools and requires each district to roll back its operating levy by 50% of its prior-year Proposition C receipts unless district voters waive the rollback. The FY2027 budget appropriates $1.307 billion from the School District Trust Fund for these distributions. By 2026, 471 of Missouri's 518 districts had approved a full waiver, so the required buy-down applies in a small share of districts. In waived districts the money is per-pupil school aid, and the senior circuit breaker credit is paid through the income tax, so neither counts under this test.
Authority: RSMo 164.013; RSMo 144.701; RSMo 163.087; HB 2002 (2026), §2.085.</t>
          </r>
        </is>
      </c>
      <c r="M26" s="4" t="inlineStr">
        <is>
          <r>
            <rPr>
              <rFont val="Carlito"/>
              <b val="1"/>
              <sz val="11"/>
            </rPr>
            <t>Partial.</t>
          </r>
          <r>
            <rPr>
              <rFont val="Carlito"/>
              <sz val="11"/>
            </rPr>
            <t xml:space="preserve">
Before setting rates, each taxing subdivision must hold a public hearing on its proposed rate, and in reassessment years it must disclose the increase in tax revenue that the proposed rate would produce from reassessment, in dollars and as a percentage.
Coded Partial because Missouri meets none of the three key truth-in-taxation requirements (a rollback rate calculation, mailed parcel-specific notices and a governing-body vote to exceed the rollback rate); its disclosure and hearing rules remain.
Authority: RSMo 67.110; RSMo 137.073.</t>
          </r>
        </is>
      </c>
      <c r="N26" s="4" t="inlineStr">
        <is>
          <r>
            <rPr>
              <rFont val="Carlito"/>
              <b val="1"/>
              <sz val="11"/>
            </rPr>
            <t>Yes.</t>
          </r>
          <r>
            <rPr>
              <rFont val="Carlito"/>
              <sz val="11"/>
            </rPr>
            <t xml:space="preserve">
The Hancock rollback (above) automatically lowers rate ceilings in reassessment years to hold revenue from existing property to inflation, and Proposition C requires a school levy rollback unless voters waive it.
Authority: RSMo 137.073; RSMo 164.013.</t>
          </r>
        </is>
      </c>
      <c r="O26" s="4" t="inlineStr">
        <is>
          <r>
            <rPr>
              <rFont val="Carlito"/>
              <b val="1"/>
              <sz val="11"/>
            </rPr>
            <t>Yes.</t>
          </r>
          <r>
            <rPr>
              <rFont val="Carlito"/>
              <sz val="11"/>
            </rPr>
            <t xml:space="preserve">
Two-thirds of voters must approve any city or county levy above the constitutional rate limits (for up to four years). General obligation bonds need two-thirds voter approval, or four-sevenths at general municipal, primary and general elections. School operating levy increases and Hancock-ceiling increases pass by simple majority.
Authority: Mo. Const. art. X §11(c); art. VI §26(b).</t>
          </r>
        </is>
      </c>
      <c r="P26" s="4" t="inlineStr">
        <is>
          <r>
            <rPr>
              <rFont val="Carlito"/>
              <b val="1"/>
              <sz val="11"/>
            </rPr>
            <t>Partial.</t>
          </r>
          <r>
            <rPr>
              <rFont val="Carlito"/>
              <sz val="11"/>
            </rPr>
            <t xml:space="preserve">
Local tax questions may appear only on the state's designated election days (including the April municipal, August primary and November general elections).
Authority: RSMo 115.123.</t>
          </r>
        </is>
      </c>
      <c r="Q26" s="4" t="inlineStr">
        <is>
          <r>
            <rPr>
              <rFont val="Carlito"/>
              <b val="1"/>
              <sz val="11"/>
            </rPr>
            <t>Partial.</t>
          </r>
          <r>
            <rPr>
              <rFont val="Carlito"/>
              <sz val="11"/>
            </rPr>
            <t xml:space="preserve">
Constitutional rate limits apply by purpose (general municipal, county and school purposes), and many levies are dedicated by statute (roads and bridges, health, libraries, fire and ambulance districts). General levies are unrestricted.</t>
          </r>
        </is>
      </c>
      <c r="R26" s="4" t="inlineStr">
        <is>
          <t>114 counties and the independent City of St. Louis; 943 municipalities; 283 townships (in township counties); 529 school districts in the Census count; 1,927 special districts, including fire protection, ambulance, library, road, levee and drainage, water, sewer, hospital and nursing home districts, plus community improvement districts, transportation development districts and neighborhood improvement districts that add sales taxes or special assessments. Census of Governments 2022: 3,796 local governments.</t>
        </is>
      </c>
      <c r="S26" s="4" t="inlineStr">
        <is>
          <t>Verdict: Failed. Property tax per person rose 31.5% after inflation from FY2002 to FY2024, above the U.S. 25.9%, and rose 11.3% from FY2019 to FY2024 while the U.S. fell 1.1%.
Why it leaks: The Hancock rollback holds revenue from existing property to inflation, capped at 5%, but it excludes new construction and voters can raise the ceiling by simple majority. School operating levy increases also pass by simple majority, and debt service sits outside the constitutional rate caps. Missouri has no limit on local spending.
How localities get around it: Many school districts have had voters waive the Proposition C rollback, which cuts operating levies by half of prior-year school sales tax revenue, so they keep both the sales tax and the full property tax. TIF is widely used in the St. Louis and Kansas City regions.
Full record:
The Hancock rollback and the constitutional rate caps hold revenue from existing property to inflation at the district level, but revenue still grows through Prop C waivers and special districts, and Kansas City and St. Louis lean on earnings taxes.
The record (Census, BEA, ACS): state and local property tax was $1,567 per person in FY2024 (U.S. $2,132), 2.35% of personal income (34th-highest of 50; U.S. 2.89%). After inflation, collections per person (all state and local property tax divided by residents) rose 31.5% from FY2002 to FY2024 (U.S. +25.9%) and rose 11.3% from FY2019 to FY2024 (U.S. -1.1%). The median homeowner paid $2,021 in 2024 (U.S. $3,211); the median bill rose 7.9% after inflation from 2010 to 2024 (U.S. +9.3%). The Tax Foundation's 2026 ranking puts its effective property tax rate on owner-occupied homes at 0.89%, 28th-lowest of 50. By the same measure it was 0.91% in 2010 (U.S. 1.00% in 2010, 0.94% in 2024).
- Reassessment shocks: rollbacks work at the taxing-district level, so individual homes can still jump. Jackson County's 2023 reassessment produced large increases and years of litigation and State Tax Commission review, and the county limited 2025 residential increases to 15%. On Aug. 4, 2026, statewide voters approved Amendment 2 (76.9% yes), which makes the Jackson County assessor an elected office.
- Big cities: the City of St. Louis is excluded from the SB 3 homestead credit, and the Show-Me Institute found Jackson County (Kansas City) unaffected by it. Both cities levy a 1% earnings tax, and voters renewed both on April 7, 2026 (Kansas City about 75% yes). The earnings tax supplies about 45% of Kansas City's general fund revenue; St. Louis adds a 0.5% payroll expense tax on employers.
- Prop C waivers: many school districts have asked voters to waive the Proposition C rollback, keeping both the sales tax and the full property tax.
- Special districts: community improvement and transportation development districts impose extra sales taxes (often 1%) inside retail districts, frequently approved by a handful of property owners, and TIF is widely used in the St. Louis and Kansas City regions.
- Revenue shift: local sales taxes supply 31% of local tax revenue (Census FY2022), and the average combined sales tax rate is 8.44% (local rates average 4.22%, among the highest in the nation).
- Local resistance: 23 of the 97 counties required to put the SB 3 credit on the ballot held no vote, and 43 county commissions joined the lawsuit against it.</t>
        </is>
      </c>
      <c r="T26" s="4" t="inlineStr">
        <is>
          <t>- Show-Me Institute, David Stokes, "Why County Tax Increases Can Be Tricky" (September 18, 2026). St. Louis County Executive Sam Page asked the county council to raise the property tax rate without a vote of the people to avoid cuts that would fall mostly on the county police; Stokes argues the increase would tax all one million county residents to pay for police who mostly serve the 300,000 people of unincorporated St. Louis County, and points to the utility (franchise) tax that applies only in unincorporated areas as the fairer option if more revenue is needed. https://showmeinstitute.org/article/economy/why-county-tax-increases-can-be-tricky/
- Show-Me Institute, David Stokes, "The Wrong Way to Fix Property Taxes" (March 20, 2026). Opposes the April 2026 votes in Webster, Christian, Lawrence and Dade counties to bar any property tax increase from reassessment, arguing the change would make schools more dependent on state aid and Missouri more dependent on taxes that harm growth more than property taxes; it notes Nixa schools are 54% locally funded and Marshfield schools 46%, against 80% or more for St. Louis County districts, and cites California's Proposition 13. https://showmeinstitute.org/article/taxes/the-wrong-way-to-fix-property-taxes-2/
- Show-Me Institute, David Stokes, "Senate Joint Resolution 111 and Property Taxes" (February 18, 2026). Senate testimony backing SJR 111's repeal of the Kansas City 33 School District's exemption from rate rollbacks, the only one among thousands of Missouri taxing districts: the district kept its rate unchanged when its assessed value rose 24% in 2023 and cut it ten cents (2%) in 2025 against an assessment increase over 9%. It also asks lawmakers to bring debt service levies under the rollback rules, citing dozens of 2025 shifts such as Wright City R-II, which cut its general fund rate 39 cents and raised its debt service rate by the same amount. https://showmeinstitute.org/wp-content/uploads/2026/02/20260218-Property-Taxes-SJR-111-Stokes.pdf
- Show-Me Institute, David Stokes, "Property Tax Reform" (November 12, 2025). Blueprint for Missouri chapter arguing that the 2023 senior freeze option and the 2025 special session changes shrink the tax base and will push up rates on commercial and multi-family property, special sales taxes and state income tax support for schools. It recommends ending the Kansas City 33 rollback exemption, requiring personal property rates to roll back (or phasing those taxes out), ending the livestock tax (about $10 million a year statewide), repealing or amending the senior freeze laws and reassessing homes from county sale averages by property class. https://showmeinstitute.org/publication/economy/property-tax-reform-2/
- Show-Me Institute, David Stokes, "Senate Bill 3 and Property Tax Adjustments" (June 10, 2025). Testimony to the House Economic Development Committee opposing SB 3's homestead caps and freezes: it argues they shrink the property tax base, push local governments toward service cuts or other taxes, shift the burden to new homeowners and raise uniformity questions under Mo. Const. art. X §3, citing California's Proposition 13 as a warning. It notes that Jackson County, with by far the worst recent assessment administration, falls outside the bill. "This is not what we need for Missouri." https://showmeinstitute.org/wp-content/uploads/2025/06/20250610-Property-Tax-SS.pdf
- Show-Me Institute, David Stokes, "Does the Hancock Amendment Mean Anything to Town and Country?" (November 22, 2024). The St. Louis suburb imposed a 23-cent property tax (from zero) without a vote by relying on RSMo 137.073.5, which lets a government that voluntarily cut its rate below the ceiling raise it back; Stokes calls reinstating a rate unused for 27 years a violation of the spirit of the Hancock Amendment and asks the legislature to close the loophole. https://showmeinstitute.org/article/taxes/does-the-hancock-amendment-mean-anything-to-town-and-country/
- True Charity (State Policy Network associate): no property tax report since 2021 was found.
Linked list: 6 items on the Analyses sheet (filter State = Missouri); every source URL is linked on the Sources sheet.</t>
        </is>
      </c>
      <c r="U26" s="4" t="inlineStr">
        <is>
          <t>1980: Hancock Amendment. 1982: Proposition C.
2023: SB 190 created the county-option senior tax freeze and raised the circuit breaker credit.
2024: House passed HJR 78 (freeze assessments on primary residences); it did not become law.
2025: special session SB 3, signed June 14, 2025, created the county homestead credit (RSMo 137.1055) and required 97 counties to put it to voters by April 2026. Texas County approved it in November 2025.
2026: a Cole County judge ruled in February that the April votes could go ahead; on April 7, 61 counties approved the credit (14 freezes, 47 caps), 12 rejected it and 23 held no vote. The constitutional challenge was heard July 29, 2026; no ruling was found as of Oct. 12. The regular session ended May 15 without a property tax bill; the Senate-passed SB 1066 (separate treatment of each property subclass in rate rollbacks) did not pass. HJR 169 (TABOR-style state and local revenue limits) was debated.
Aug. 4, 2026: voters approved Amendment 2 (elected Jackson County assessor, 76.9% yes) and rejected Amendment 5 (HJR 173 and 174: income tax phase-out, broader sales taxes and required local tax rate cuts when local sales tax revenue rises; 83.3% no).
Nov. 3, 2026 ballot: Amendment 7 (SJR 95), a state fund whose earnings could lead to elimination of state-imposed taxes; no statewide property tax measure is on the ballot.</t>
        </is>
      </c>
      <c r="V26" s="4" t="inlineStr">
        <is>
          <t>28th (0.89% effective rate; 0.91% in 2010)</t>
        </is>
      </c>
      <c r="W26" s="4" t="inlineStr">
        <is>
          <t>Missouri combines constitutional rate caps (with two-thirds voter overrides for cities and counties), the Hancock rollback and voter approval for new or higher levies, a school sales tax with a required property tax rollback, and a state-funded circuit breaker. The pressure points are reassessment shocks, Prop C waivers, special sales-tax districts and high local sales taxes.</t>
        </is>
      </c>
      <c r="X26" s="4" t="inlineStr">
        <is>
          <t>https://governor.mo.gov/press-releases/archive/governor-kehoe-signs-special-session-legislation-law
https://www.newstribune.com/news/2025/jun/08/bernskoetter-recognized-for-keeping-cole-county/
https://missouriindependent.com/2025/06/05/missouri-governor-allows-more-spending-property-tax-cap-as-he-pursues-stadium-deal/
https://www.kctv5.com/2025/04/17/jackson-county-limit-2025-residential-property-tax-assessment-increases-15
https://house.mo.gov/PressRelease.aspx?prid=89
https://revisor.mo.gov/main/OneSection.aspx?section=137.073
https://www.lincolninst.edu/app/uploads/2024/12/levy_limits_2022.xlsx
https://apps.lincolninst.edu/uploads/summary-tables/rate-limits-summary-tables/rate-limits-2022-4.xlsx
https://www.lincolninst.edu/app/uploads/2024/10/truth_in_taxation_2024.xlsx
https://www2.census.gov/programs-surveys/gov-finances/tables/2022/22slsstab1.xlsx
https://missouriindependent.com/2026/07/30/judge-promises-quick-decision-on-challenge-to-missouri-property-tax-caps/
https://revisor.mo.gov/main/OneSection.aspx?section=137.1055
https://www.governing.com/finance/missouri-voters-approved-property-tax-caps-now-comes-the-hard-part
https://www.ksmu.org/news/2026-05-11/property-tax-relief-is-a-priority-in-last-week-of-missouri-legislative-session
https://www.stlpr.org/government-politics-issues/2026-05-15/missouri-legislature-ends-drama-reduced-week-with-key-agenda-items-now-up-to-voters
https://www.sos.mo.gov/elections/petitions/2026BallotMeasures
https://www.newstribune.com/news/2026/aug/04/aug-4-primary-results-missouri-constitution-amendments/
https://taxnews.ey.com/news/2026-0995-voters-renew-the-st-louis-missouri-earnings-tax-for-another-five-years
https://thebeaconnews.org/stories/2026/04/08/kansas-city-earnings-tax-renewed-results
https://showmeinstitute.org/wp-content/uploads/2025/06/20250610-Property-Tax-SS.pdf</t>
        </is>
      </c>
    </row>
    <row r="27" ht="409" customHeight="1">
      <c r="A27" s="13" t="inlineStr">
        <is>
          <t>Montana</t>
        </is>
      </c>
      <c r="B27" s="4" t="inlineStr">
        <is>
          <r>
            <rPr>
              <rFont val="Carlito"/>
              <b val="1"/>
              <sz val="14"/>
            </rPr>
            <t>C.</t>
          </r>
          <r>
            <rPr>
              <rFont val="Carlito"/>
              <sz val="11"/>
            </rPr>
            <t xml:space="preserve">
Restriction points 9.25 of 18 (spending limit 2; levy limit 4; rate cap 1; rollback 1; supermajority 0.5; school districts covered 0.5; use restrictions 0.25). Deductions: built-in loopholes -1.5; workarounds in practice -0.5; state buydowns +0; data record -1. Total 6.25 = C (A 11+, B 8.5-10.9, C 5.5-8.4, D 3-5.4, F under 3).
Why: The record is weak: real homeowner bills rose 31.9% from 2010 to 2024 against 9.3% nationally (48th), and property tax takes 3.16% of personal income against 2.89% nationally. The 2025 rate law and state rebates moved the bill among taxpayers without limiting the total.</t>
          </r>
        </is>
      </c>
      <c r="C27" s="4">
        <f>((LEFT(D27,3)="Yes")+(LEFT(E27,3)="Yes")+(LEFT(F27,3)="Yes")+(LEFT(G27,3)="Yes"))&amp;" of 4 in force"&amp;IF(((LEFT(D27,7)="Partial")+(LEFT(E27,7)="Partial")+(LEFT(F27,7)="Partial")+(LEFT(G27,7)="Partial"))&gt;0," + "&amp;((LEFT(D27,7)="Partial")+(LEFT(E27,7)="Partial")+(LEFT(F27,7)="Partial")+(LEFT(G27,7)="Partial"))&amp;" partial","")&amp;CHAR(10)&amp;CHAR(10)&amp;IF(LEFT(D27,3)="Yes","✓",IF(LEFT(D27,7)="Partial","◐","✗"))&amp;" Spending limit"&amp;CHAR(10)&amp;IF(LEFT(E27,3)="Yes","✓",IF(LEFT(E27,7)="Partial","◐","✗"))&amp;" Levy limit"&amp;CHAR(10)&amp;IF(LEFT(F27,3)="Yes","✓",IF(LEFT(F27,7)="Partial","◐","✗"))&amp;" Assessment cap"&amp;CHAR(10)&amp;IF(LEFT(G27,3)="Yes","✓",IF(LEFT(G27,7)="Partial","◐","✗"))&amp;" Rate cap"</f>
        <v/>
      </c>
      <c r="D27" s="4" t="inlineStr">
        <is>
          <r>
            <rPr>
              <rFont val="Carlito"/>
              <b val="1"/>
              <sz val="11"/>
            </rPr>
            <t>Partial.</t>
          </r>
          <r>
            <rPr>
              <rFont val="Carlito"/>
              <sz val="11"/>
            </rPr>
            <t xml:space="preserve">
No spending limit for counties, cities or towns; their property tax revenue is limited under Levy. School district general fund budgets are capped at a state-set maximum general fund budget, and levies above the state-defined base budget (BASE) need voter approval.
Authority: Mont. Code Ann. §§20-9-308, 20-9-353.</t>
          </r>
        </is>
      </c>
      <c r="E27" s="4" t="inlineStr">
        <is>
          <r>
            <rPr>
              <rFont val="Carlito"/>
              <b val="1"/>
              <sz val="11"/>
            </rPr>
            <t>Yes.</t>
          </r>
          <r>
            <rPr>
              <rFont val="Carlito"/>
              <sz val="11"/>
            </rPr>
            <t xml:space="preserve">
Counties, cities, towns and other non-school governments may levy only enough mills to raise the property taxes assessed in the prior year plus the average inflation rate (CPI-U) for the prior three years, capped at 4%. New construction adds revenue on top of the cap: the formula lets a government keep the taxes on 75% of newly taxable residential value and on 40% to 50% of other newly taxable value (100% for some abated property). Unused mill authority carries forward. Excluded: school district levies, the 95 statewide school equalization mills, the 6-mill university levy, one other state education levy (20-25-439) and newly created regional resource authorities. Voters may approve new levies, increases or levies above the limit by simple majority.
Authority: Mont. Code Ann. §§15-10-420 (as amended through 2025), 15-10-425.</t>
          </r>
        </is>
      </c>
      <c r="F27" s="4" t="inlineStr">
        <is>
          <r>
            <rPr>
              <rFont val="Carlito"/>
              <b val="1"/>
              <sz val="11"/>
            </rPr>
            <t>No.</t>
          </r>
          <r>
            <rPr>
              <rFont val="Carlito"/>
              <sz val="11"/>
            </rPr>
            <t xml:space="preserve">
No cap on growth in market value. The Department of Revenue reappraises residential, commercial and agricultural land every two years, with no phase-in. From tax year 2026, owner-occupied homes and long-term rentals are taxed at tiered rates on value bands tied to the statewide median residential value (see Rate), and other residential property pays a flat 1.9% rate.
Authority: Mont. Code Ann. §§15-7-111, 15-6-134; HB 231 (2025).</t>
          </r>
        </is>
      </c>
      <c r="G27" s="4" t="inlineStr">
        <is>
          <r>
            <rPr>
              <rFont val="Carlito"/>
              <b val="1"/>
              <sz val="11"/>
            </rPr>
            <t>Partial.</t>
          </r>
          <r>
            <rPr>
              <rFont val="Carlito"/>
              <sz val="11"/>
            </rPr>
            <t xml:space="preserve">
No general cap on local mill rates; the Levy limit sets each government's maximum mills every year. Montana's tax rates apply to market value to produce taxable value:
- Homestead and long-term rental (from 2026): 0.76% on value up to the statewide median residential value, 0.9% from the median to 2 times it, 1.1% from 2 to 4 times it and 1.9% above 4 times it. For tax year 2026 the bands break at $378,000, $756,000 and $1,512,000.
- Multifamily dwellings used as long-term rentals: flat 1.1%.
- Other residential (second homes, short-term rentals and similar): 1.9%.
- Commercial and industrial: 1.5% on value below 6 times the median commercial value, with a higher rate above that.
Some special-purpose levies carry statutory mill limits, and the statewide school mills are fixed at 95.
Authority: Mont. Code Ann. §15-6-134; HB 231 and SB 542 (2025).</t>
          </r>
        </is>
      </c>
      <c r="H27" s="4" t="inlineStr">
        <is>
          <r>
            <rPr>
              <rFont val="Carlito"/>
              <b val="1"/>
              <sz val="11"/>
            </rPr>
            <t>Partial.</t>
          </r>
          <r>
            <rPr>
              <rFont val="Carlito"/>
              <sz val="11"/>
            </rPr>
            <t xml:space="preserve">
School districts are exempt from the mill levy limit. Their general fund budgets are capped at the state maximum, levies above the base budget need voter approval, and school bond elections held at polling places need at least 30% turnout, with 60% approval when turnout is between 30% and 40%. Most school funding runs through the 95 statewide mills and state aid.
Authority: Mont. Code Ann. §§15-10-420(5), 20-9-308, 20-9-353, 20-9-428.</t>
          </r>
        </is>
      </c>
      <c r="I27" s="4" t="inlineStr">
        <is>
          <r>
            <rPr>
              <rFont val="Carlito"/>
              <b val="1"/>
              <sz val="11"/>
            </rPr>
            <t>Yes.</t>
          </r>
          <r>
            <rPr>
              <rFont val="Carlito"/>
              <sz val="11"/>
            </rPr>
            <t xml:space="preserve">
95 mills for school equalization levied on all taxable property: 33 mills county elementary and 22 mills county high school levies (20-9-331, 20-9-333) and a 40-mill state equalization levy (20-9-360) remitted to the state. These fund the state's share of school costs, so they work as state school taxes collected locally. The 6-mill university levy (15-10-109) is an additional state tax approved by voters every ten years (renewed in 2018). In 2023, when most counties levied 77.9 mills to blunt reappraisal increases, the Montana Supreme Court ordered the full 95, adding an estimated $80 million. Census FY2022 state property tax revenue: about $360 million.
Authority: Mont. Code Ann. §§20-9-331, 20-9-333, 20-9-360, 15-10-109.</t>
          </r>
        </is>
      </c>
      <c r="J27" s="4" t="inlineStr">
        <is>
          <r>
            <rPr>
              <rFont val="Carlito"/>
              <b val="1"/>
              <sz val="11"/>
            </rPr>
            <t>Partial.</t>
          </r>
          <r>
            <rPr>
              <rFont val="Carlito"/>
              <sz val="11"/>
            </rPr>
            <t xml:space="preserve">
No dollar exemption. Coded Partial: the relief is a lower homestead class rate, which the definition counts as a classification difference. From tax year 2026, an owner who has lived in a principal residence at least seven months a year qualifies for the homestead reduced tax rate (0.76% on value up to the statewide median, $378,000 for tax year 2026, rising in tiers), while second homes pay 1.9%. Low-income homeowners receive the Property Tax Assistance Program: the first $350,000 of value is taxed at 20%, 50% or 70% of the normal rate depending on income. Veterans rated 100% disabled and certain surviving spouses receive a separate income-tested reduction.
Authority: Mont. Code Ann. §§15-6-134, 15-6-405 (homestead rate), 15-6-305 (PTAP), 15-6-311 (disabled veterans).</t>
          </r>
        </is>
      </c>
      <c r="K27" s="4" t="inlineStr">
        <is>
          <r>
            <rPr>
              <rFont val="Carlito"/>
              <b val="1"/>
              <sz val="11"/>
            </rPr>
            <t>Yes.</t>
          </r>
          <r>
            <rPr>
              <rFont val="Carlito"/>
              <sz val="11"/>
            </rPr>
            <t xml:space="preserve">
- Elderly Homeowner/Renter Credit: a refundable state income tax credit for residents 62 and older with household income under $45,000, based on property tax or rent paid.
- Property tax rebates paid by the state from surplus revenue on principal residences: up to $675 for 2022 taxes and up to $675 for 2023 taxes (HB 222, 2023), and $400 for 2024 taxes (2025).
Authority: Mont. Code Ann. §§15-30-2337 to 15-30-2341; HB 222 (2023); HB 231 (2025).</t>
          </r>
        </is>
      </c>
      <c r="L27" s="4" t="inlineStr">
        <is>
          <r>
            <rPr>
              <rFont val="Carlito"/>
              <b val="1"/>
              <sz val="11"/>
            </rPr>
            <t>Yes.</t>
          </r>
          <r>
            <rPr>
              <rFont val="Carlito"/>
              <sz val="11"/>
            </rPr>
            <t xml:space="preserve">
The state reimburses local taxing units, including tax increment financing districts and the 6-mill university levy, for revenue lost to the 2011 and 2013 cuts in the business equipment (class 8) tax rate and to increases in the class 8 exemption, which reached $1 million in 2023. Each reimbursement equals the difference between taxes collected and the taxes the earlier rate or exemption would have produced, and it is paid with the entitlement share from a statutory general fund appropriation ($173.1 million for all entitlement share payments in FY2026; the class 8 portion is not reported separately). The 2025 rate changes (HB 231, SB 542) shift tax among classes of property, and their reimbursement for certain fixed mill levies takes effect only if a court strikes down the new levy rules. The one-time homestead rebates paid to owners do not count under this test.
Authority: MCA 15-1-121, 15-1-123, 15-1-124, 15-6-138; Ch. 411, L. 2011; Ch. 396, L. 2013; Ch. 506, L. 2021; Ch. 45, L. 2023; Ch. 767, L. 2025.</t>
          </r>
        </is>
      </c>
      <c r="M27" s="4" t="inlineStr">
        <is>
          <r>
            <rPr>
              <rFont val="Carlito"/>
              <b val="1"/>
              <sz val="11"/>
            </rPr>
            <t>No.</t>
          </r>
          <r>
            <rPr>
              <rFont val="Carlito"/>
              <sz val="11"/>
            </rPr>
            <t/>
          </r>
        </is>
      </c>
      <c r="N27" s="4" t="inlineStr">
        <is>
          <r>
            <rPr>
              <rFont val="Carlito"/>
              <b val="1"/>
              <sz val="11"/>
            </rPr>
            <t>Yes.</t>
          </r>
          <r>
            <rPr>
              <rFont val="Carlito"/>
              <sz val="11"/>
            </rPr>
            <t xml:space="preserve">
The mill levy limit works as an automatic rollback: after each reappraisal a government's maximum mills fall so that revenue from existing property grows by no more than inflation (up to 4%). The limit does not apply to school districts or the 95 statewide mills, and in 2023 the state collected the full 95 mills on reappraised values.
Authority: Mont. Code Ann. §15-10-420.</t>
          </r>
        </is>
      </c>
      <c r="O27" s="4" t="inlineStr">
        <is>
          <r>
            <rPr>
              <rFont val="Carlito"/>
              <b val="1"/>
              <sz val="11"/>
            </rPr>
            <t>Partial.</t>
          </r>
          <r>
            <rPr>
              <rFont val="Carlito"/>
              <sz val="11"/>
            </rPr>
            <t xml:space="preserve">
School bond elections held at polling places need at least 30% turnout; with turnout between 30% and 40% the bonds need 60% approval. Bond elections held by mail ballot or with a primary or general election pass by simple majority. Mill levy increases and overrides pass by simple majority.
Authority: Mont. Code Ann. §§20-9-428, 15-10-425.</t>
          </r>
        </is>
      </c>
      <c r="P27" s="4" t="inlineStr">
        <is>
          <r>
            <rPr>
              <rFont val="Carlito"/>
              <b val="1"/>
              <sz val="11"/>
            </rPr>
            <t>No.</t>
          </r>
          <r>
            <rPr>
              <rFont val="Carlito"/>
              <sz val="11"/>
            </rPr>
            <t xml:space="preserve">
Mill levy elections follow the general election laws or the school election laws (regular school elections are in May), and may be held by mail ballot.
Authority: Mont. Code Ann. §15-10-425(2); Title 13, ch. 1; Title 20, ch. 20.</t>
          </r>
        </is>
      </c>
      <c r="Q27" s="4" t="inlineStr">
        <is>
          <r>
            <rPr>
              <rFont val="Carlito"/>
              <b val="1"/>
              <sz val="11"/>
            </rPr>
            <t>Partial.</t>
          </r>
          <r>
            <rPr>
              <rFont val="Carlito"/>
              <sz val="11"/>
            </rPr>
            <t xml:space="preserve">
A voted levy's resolution or petition must state the specific purpose and amount to be raised, and many permissive levies are dedicated by statute (for example, fire, library and public safety levies). The statewide mills are dedicated to schools and the university system. General fund levies are unrestricted.
Authority: Mont. Code Ann. §15-10-425(2).</t>
          </r>
        </is>
      </c>
      <c r="R27" s="4" t="inlineStr">
        <is>
          <t>56 counties (Census counts 54 county governments; Butte-Silver Bow and Anaconda-Deer Lodge are consolidated city-counties counted as municipalities); 128 municipal governments; 310 school districts; 736 special districts in the Census count, led by 217 fire districts, 82 cemetery districts, 73 combined water and sewer districts, 60 water districts, 28 sewer districts and 55 conservation districts. Census of Governments 2022: 1,228 local governments.</t>
        </is>
      </c>
      <c r="S27" s="4" t="inlineStr">
        <is>
          <t>Verdict: Failed. Property tax per person rose 33.3% after inflation from FY2002 to FY2024, above the U.S. 25.9%.
Why it leaks: The levy limit holds non-school governments to prior-year taxes plus inflation, capped at 4%, but adds taxes on new construction and lets unused mill authority carry forward. School district levies and the 95 statewide school mills sit outside it, and voters can approve levies above the limit by simple majority. Cities and counties have no spending limit. State-paid rebates ($675, $675, then $400) cover part of the bills, which counts against the state.
How localities get around it: Helena will ask voters on March 9, 2027 for a $5.387 million public safety levy after voters rejected one in 2024. Voters passed school levies outside the limit in cities including Bozeman and Missoula on May 5, 2026.
Full record:
The levy limit holds each city's, county's and special district's revenue from existing property to inflation (up to 4%), but school levies and the 95 statewide mills sit outside it, and the 2025 law moved the bill among taxpayers without limiting the total.
The record (Census, BEA, ACS): state and local property tax was $2,173 per person in FY2024 (U.S. $2,132), 3.16% of personal income (14th-highest of 50; U.S. 2.89%). After inflation, collections per person (all state and local property tax divided by residents) rose 33.3% from FY2002 to FY2024 (U.S. +25.9%) and rose 0.2% from FY2019 to FY2024 (U.S. -1.1%). The median homeowner paid $2,939 in 2024 (U.S. $3,211); the median bill rose 31.9% after inflation from 2010 to 2024 (U.S. +9.3%). The Tax Foundation's 2026 ranking puts its effective property tax rate on owner-occupied homes at 0.61%, 16th-lowest of 50. By the same measure it was 0.73% in 2010 (U.S. 1.00% in 2010, 0.94% in 2024).
- School mills: the 95 statewide school mills are outside the limit. Most counties cut them to 77.9 mills in 2023; the state sued and the Montana Supreme Court ordered the full 95 (November 2023), adding an estimated $80 million. The Frontier Institute puts school funding levies at over 50% of property taxes.
- Outside the limit: school district levies, voted levies and part of new construction value, and unused mills carry forward.
- Big cities: the Missoula City Council's 2026 budget raises property tax revenue by $2.8 million, or 3.8% (Frontier Institute, Aug. 28, 2026). Helena will ask voters on March 9, 2027 for a $5.387 million public safety levy after voters rejected one in 2024. Yellowstone County (Billings) voters are weighing a $175 million jail expansion this fall.
- Overrides: in the May 5, 2026 school levy elections some levies passed in Bozeman, Butte and Missoula, while voters rejected every levy in Helena and East Helena, Billings and Laurel and the Flathead Valley (Frontier Institute, May 8, 2026).
- Revenue shift: the state's response has been surplus-funded rebates ($675, $675, then $400) and the 2025 rate restructuring, which lowers rates on primary homes and long-term rentals and moves the bill onto second homes, short-term rentals, businesses and higher-value homes. The Frontier Institute says the laws "never tackled the real driver of rising taxes: how much government spends."
- Revenue mix: property tax is 96% of local tax revenue (Census FY2022); Montana has no general sales tax, though resort communities may levy resort taxes. Fees and charges are 36% of local own-source revenue.</t>
        </is>
      </c>
      <c r="T27" s="4" t="inlineStr">
        <is>
          <t>- Frontier Institute, "Permanent Tax Relief Requires Limiting Government Budget Growth" (August 28, 2026). It argues HB 231 and SB 542 created "a new progressive property tax system" tiered by value that favors primary residences and pushes more of the bill onto businesses, second homes and short-term rentals, while leaving spending growth untouched; it cites Missoula's new budget, which raises property tax revenue by $2.8 million, or 3.8%. "Permanent tax relief requires limiting the growth of government budgets." https://frontierinstitute.org/permanent-tax-relief-requires-limiting-government-budget-growth/
- Frontier Institute, Kendall Cotton, "Eliminate Montana's $35 Million University Property Tax" (August 7, 2026). Urges the 2027 Legislature to let the 6-mill university levy expire on Dec. 31, 2028 by not referring it to voters; the levy raises about $35 million a year, about 9-10% of state funding for the university system and about 1% of its operating budget. https://frontierinstitute.org/eliminate-montanas-35-million-university-property-tax/
- Frontier Institute, "2026 Real Government Budgets" (June 16, 2026). Full report measuring own-source revenue against chained CPI inflation: state and local governments collected a cumulative $6.85 billion more than inflation-paced growth would have allowed over the last decade, including $520.8 million for counties and $286.6 million for cities (FY2018-FY2024). Bozeman's own-source revenue grew 94.2%, Missoula's 62.8% and Billings' 43.0% from FY2018 to FY2024; Frontier calls for a cap on government budget growth at inflation with automatic refunds of overcollections. https://frontierinstitute.org/reports/2026-real-government-budgets/
- Frontier Institute, Kendall Cotton, "More Property Tax Relief Needed" (April 14, 2026). Argues the 2025 HB 231/SB 542 rate shifts redistributed the bill without cutting collections, which still rose about 5%, or $127 million, in 2026. Cotton backs Sen. Wylie Galt's draft BI-11 initiative, which would replace the statutory local revenue growth cap with a 2% per-parcel annual cap on taxes for existing owners, and welcomes the revised draft's tighter rule for voted levies above the cap, while calling for limits on the growth of state, school and local budgets. https://frontierinstitute.org/more-property-tax-relief-needed/
- Americans for Prosperity-Montana, "AFP–Montana Launches Statewide Accountability Campaign on Property Taxes" (January 28, 2026). Targets lawmakers who backed HB 231, which AFP says does nothing to control local spending, and points to TIF and TEDD districts that take over $100 million a year, including $25 million each in Gallatin and Flathead, $19 million in Missoula County and $15 million in Billings; it backed a Local Taxpayer Bill of Rights in 2023 and TIF reform in 2023 and 2025. https://americansforprosperity.org/press-release/afp-montana-launches-statewide-accountability-campaign-on-property-taxes/
- Montana Taxpayers Association, Bob Story, "Revenue Interim Committee" (July 11, 2025). Public comment showing the residential tax rate cut from 3.86% in 1996 to 0.76% in 2026 while the class 9 pipeline and utility rate stayed at 12%, almost 16 times the residential rate; it asks the committee to study the 16-class system and other ways to pay for services now funded by property taxes. https://archive.legmt.gov/content/Committees/Interim/2025-2026/RIC/Meetings/July_11_2025/4.3.MonTax%20public_comment.pdf
- Frontier Institute, Kendall Cotton, "The One-Way Property Tax Ratchet" (February 19, 2025). Backs the Property Tax Task Force bills to rein in voted levies: SB 204 (sunset voted levies every 10 years), SB 205 (minimum turnout and a higher threshold in low-turnout elections) and HB 20 (voted levies in dollars, which keeps them from growing with taxable value); it notes levy hikes are often approved by less than 25% of eligible voters. https://frontierinstitute.org/the-one-way-property-tax-ratchet/
- Mountain States Policy Center (State Policy Network affiliate): no Montana property tax report since 2021 was found.
- PERC (State Policy Network associate): no property tax report since 2021 was found; its work centers on conservation and property rights in land.
Linked list: 8 items on the Analyses sheet (filter State = Montana); every source URL is linked on the Sources sheet.</t>
        </is>
      </c>
      <c r="U27" s="4" t="inlineStr">
        <is>
          <t>1986: I-105 froze property tax revenue. 1999: the current mill levy limit (15-10-420) replaced the freeze; the inflation factor has since been raised to the full three-year average, capped at 4%.
2018: voters renewed the 6-mill university levy.
2023: HB 222 rebates; Montana Supreme Court ordered counties to levy the full 95 school mills.
2025: HB 231 and SB 542 created the homestead and long-term rental reduced rates (from 2026), a 1.9% rate on other residential property and a $400 rebate for 2024 taxes.
2026: Republican Sens. Greg Hertz and Tom McGillvray and former legislator Keith Regier sued in Gallatin County District Court, arguing SB 542 violates the constitution, raises taxes on multigenerational properties and was a backroom deal that cut out the public. On March 31, 2026, the Montana Supreme Court refused Gov. Greg Gianforte's request to take over the case, and in April the Montana Republican Party asked the court to void the whole law. No ruling was found as of Oct. 12, 2026.
2026: three constitutional initiatives were cleared to gather signatures: CI-129 (2% cap on annual valuation growth for primary residences), CI-130 (the same cap for all real property) and CI-134 (Sen. Wylie Galt's 2% cap on each parcel's annual local tax increase, which left out school levies). None appears on the Secretary of State's list of measures qualified on Aug. 17, 2026, so no Montana property tax measure is on the Nov. 3, 2026 ballot.
2028: the 6-mill university levy expires Dec. 31, 2028 unless the 2027 Legislature refers it to voters; the Frontier Institute urges letting it lapse.</t>
        </is>
      </c>
      <c r="V27" s="4" t="inlineStr">
        <is>
          <t>16th (0.61% effective rate; 0.73% in 2010)</t>
        </is>
      </c>
      <c r="W27" s="4" t="inlineStr">
        <is>
          <t>Montana limits each non-school government's revenue from existing property to inflation (up to 4%), but school levies and the 95 statewide school mills fall outside the limit, and there is no assessment cap. The 2025 law lowers rates on primary homes and long-term rentals from 2026 and raises them on second homes and short-term rentals; 2026 initiatives for 2% valuation or tax caps did not reach the ballot.</t>
        </is>
      </c>
      <c r="X27" s="4" t="inlineStr">
        <is>
          <t>https://archive.legmt.gov/bills/mca/title_0150/chapter_0100/part_0040/section_0200/0150-0100-0040-0200.html
https://archive.legmt.gov/bills/mca/title_0150/chapter_0100/part_0040/section_0250/0150-0100-0040-0250.html
https://archive.legmt.gov/bills/mca/title_0150/chapter_0060/part_0010/section_0340/0150-0060-0010-0340.html
https://archive.legmt.gov/bills/mca/title_0150/chapter_0060/part_0030/section_0050/0150-0060-0030-0050.html
https://archive.legmt.gov/bills/mca/title_0150/chapter_0300/part_0230/section_0380/0150-0300-0230-0380.html
https://archive.legmt.gov/bills/mca/title_0200/chapter_0090/part_0030/section_0600/0200-0090-0030-0600.html
https://archive.legmt.gov/bills/mca/title_0200/chapter_0090/part_0040/section_0280/0200-0090-0040-0280.html
https://parsonsbehle.com/insights/new-montana-state-income-and-property-taxes-for-2025-and-2026
https://dailymontanan.com/2023/11/28/montana-supreme-court-sides-with-state-orders-counties-levy-full-statewide-school-mills/
https://sosmt.gov/elections/ballot_issues/proposed-2026-ballot-issues/
https://montanafreepress.org/2026/03/23/republican-legislator-rolls-out-new-property-tax-cap-initiative/
https://www.lincolninst.edu/app/uploads/2024/12/levy_limits_2022.xlsx
https://www2.census.gov/programs-surveys/gov-finances/tables/2022/22slsstab1.xlsx
https://revenue.mt.gov/property/property-tax-changes/2026-property-tax-information
https://montanafreepress.org/2026/04/17/montana-gop-asks-court-to-nix-gianforte-backed-property-tax-law/
https://dailymontanan.com/2026/03/31/montana-supreme-court-denies-governors-request-to-take-up-property-tax-case/
https://montanafreepress.org/2026/09/21/city-to-put-5-3-levy-before-voters-this-spring/
https://montanafreepress.org/2026/10/05/yellowstone-county-jail-expansion/
https://frontierinstitute.org/the-latest-levy-report-card/
https://frontierinstitute.org/permanent-tax-relief-requires-limiting-government-budget-growth/
https://frontierinstitute.org/eliminate-montanas-35-million-university-property-tax/</t>
        </is>
      </c>
    </row>
    <row r="28" ht="409" customHeight="1">
      <c r="A28" s="13" t="inlineStr">
        <is>
          <t>Nebraska</t>
        </is>
      </c>
      <c r="B28" s="4" t="inlineStr">
        <is>
          <r>
            <rPr>
              <rFont val="Carlito"/>
              <b val="1"/>
              <sz val="14"/>
            </rPr>
            <t>C.</t>
          </r>
          <r>
            <rPr>
              <rFont val="Carlito"/>
              <sz val="11"/>
            </rPr>
            <t xml:space="preserve">
Restriction points 13.25 of 18 (spending limit 2; levy limit 4; rate cap 2; truth in taxation 2; rollback 1; supermajority 1; school districts covered 1; use restrictions 0.25). Deductions: built-in loopholes -2; workarounds in practice -1; state buydowns -1.5; data record -1. Total 7.75 = C (A 11+, B 8.5-10.9, C 5.5-8.4, D 3-5.4, F under 3).
Why: Limits are in force statewide: levy rate caps on every government, request caps on schools (LB 243) and on counties, cities and villages (LB 34), and a default rollback that takes a recorded board vote to exceed. The record is weak: real per-person collections grew 37.7% from FY2002 to FY2022 (U.S. 23.4%), the burden is 3.25% of personal income (U.S. 2.89%), and the effective rate is seventh-highest.</t>
          </r>
        </is>
      </c>
      <c r="C28" s="4">
        <f>((LEFT(D28,3)="Yes")+(LEFT(E28,3)="Yes")+(LEFT(F28,3)="Yes")+(LEFT(G28,3)="Yes"))&amp;" of 4 in force"&amp;IF(((LEFT(D28,7)="Partial")+(LEFT(E28,7)="Partial")+(LEFT(F28,7)="Partial")+(LEFT(G28,7)="Partial"))&gt;0," + "&amp;((LEFT(D28,7)="Partial")+(LEFT(E28,7)="Partial")+(LEFT(F28,7)="Partial")+(LEFT(G28,7)="Partial"))&amp;" partial","")&amp;CHAR(10)&amp;CHAR(10)&amp;IF(LEFT(D28,3)="Yes","✓",IF(LEFT(D28,7)="Partial","◐","✗"))&amp;" Spending limit"&amp;CHAR(10)&amp;IF(LEFT(E28,3)="Yes","✓",IF(LEFT(E28,7)="Partial","◐","✗"))&amp;" Levy limit"&amp;CHAR(10)&amp;IF(LEFT(F28,3)="Yes","✓",IF(LEFT(F28,7)="Partial","◐","✗"))&amp;" Assessment cap"&amp;CHAR(10)&amp;IF(LEFT(G28,3)="Yes","✓",IF(LEFT(G28,7)="Partial","◐","✗"))&amp;" Rate cap"</f>
        <v/>
      </c>
      <c r="D28" s="4" t="inlineStr">
        <is>
          <r>
            <rPr>
              <rFont val="Carlito"/>
              <b val="1"/>
              <sz val="11"/>
            </rPr>
            <t>Partial.</t>
          </r>
          <r>
            <rPr>
              <rFont val="Carlito"/>
              <sz val="11"/>
            </rPr>
            <t xml:space="preserve">
Counties, cities and villages have had no spending limit since FY2025-26, when the Property Tax Growth Limitation Act (see Levy) replaced their budget lid. Two spending limits remain for other governments:
- School districts: general fund budget authority may grow by the 2.5% base limitation, or by a student growth adjustment, or up to 110% of formula need, whichever is greatest. Special education and other listed items are excluded.
- Other governmental units (natural resources districts, educational service units, fire districts, sanitary and improvement districts older than five years and others): budgeted restricted funds, meaning property taxes plus state aid, sales taxes and other listed revenue, may grow 2.5% plus real growth. Capital improvements, bonds and judgments are excluded. A 75% vote of the governing body adds 1%; voters may approve more by simple majority.
Authority: Neb. Rev. Stat. §§13-518, 13-519 (budget lid, LB 299, 1996); 79-1023, 79-1025 (school budget authority, LB 1059, 1990); 77-3446 (2.5% base limitation).</t>
          </r>
        </is>
      </c>
      <c r="E28" s="4" t="inlineStr">
        <is>
          <r>
            <rPr>
              <rFont val="Carlito"/>
              <b val="1"/>
              <sz val="11"/>
            </rPr>
            <t>Yes.</t>
          </r>
          <r>
            <rPr>
              <rFont val="Carlito"/>
              <sz val="11"/>
            </rPr>
            <t xml:space="preserve">
Counties, cities and villages (Property Tax Growth Limitation Act, LB 34, 2024 special session; fiscal years from July 1, 2025): the property tax request may grow from the prior year's request by the growth percentage (new construction, improvements, annexation, changes in use, personal property and expiring TIF districts) plus the greater of zero or the inflation percentage. The inflation percentage is the change in the U.S. Bureau of Economic Analysis price index for state and local government consumption expenditures and gross investment (5.17% for FY2025-26). Outside the cap:
- approved bonds and declared emergencies;
- all property taxes budgeted for public safety services (police, fire, ambulance, crime prevention, detention and other emergency services), county attorneys and public defenders, and new public safety interlocal agreements;
- unused authority carried forward (up to 5% of the prior year's authority, plus up to 5% converted from the old budget lid);
- increases approved by a simple majority of voters (placed on the ballot by the governing body or a 5% petition).
The state auditor checks compliance; noncompliance suspends and then forfeits state aid.
School districts (School District Property Tax Limitation Act, LB 243, 2023): the general fund and special building fund property tax request may grow 3% plus adjustments for enrollment growth, limited English proficient students and students in poverty. The limit is applied to property taxes plus state and local non-property revenue, so a rise in state aid lowers the allowed property tax request. Bonds are excluded. Overrides: 60% of voters at a special election, or a 70% school board vote adding 4 to 7 percentage points (more for smaller districts). Unused authority carries forward with no limit.
Authority: Neb. Rev. Stat. §§13-3401 to 13-3408 (amended by LB 647, 2025, and LB 803, 2026); 79-3401 to 79-3408.</t>
          </r>
        </is>
      </c>
      <c r="F28" s="4" t="inlineStr">
        <is>
          <r>
            <rPr>
              <rFont val="Carlito"/>
              <b val="1"/>
              <sz val="11"/>
            </rPr>
            <t>No.</t>
          </r>
          <r>
            <rPr>
              <rFont val="Carlito"/>
              <sz val="11"/>
            </rPr>
            <t xml:space="preserve">
No cap on growth in assessed value. Residential and commercial property is assessed at full market value each year. Agricultural and horticultural land is assessed at 75% of market value, and at 50% for school bond levies approved by voters on or after January 1, 2022; qualifying farmland facing development pressure may receive special (use) valuation.
Authority: Neb. Const. art. VIII §1; Neb. Rev. Stat. §§77-201, 77-1344.</t>
          </r>
        </is>
      </c>
      <c r="G28" s="4" t="inlineStr">
        <is>
          <r>
            <rPr>
              <rFont val="Carlito"/>
              <b val="1"/>
              <sz val="11"/>
            </rPr>
            <t>Yes.</t>
          </r>
          <r>
            <rPr>
              <rFont val="Carlito"/>
              <sz val="11"/>
            </rPr>
            <t xml:space="preserve">
Maximum levies per $100 of taxable value (LB 1114, 1996; in effect since FY1998-99):
- School districts: $1.05.
- Counties: 50 cents, of which 5 cents may be used only for interlocal agreements; a county may allocate up to 15 cents of its authority to fire, cemetery, airport and other miscellaneous districts.
- Cities and villages: 45 cents plus 5 cents for interlocal agreements (90 cents inside a municipal county).
- Natural resources districts: 4.5 cents, plus up to 1 cent for groundwater management.
- Educational service units: 1.5 cents. Sanitary and improvement districts: 40 cents after five years, with no limit in their first five years. Rural and suburban fire districts: 10.5 cents in some counties.
Excluded: bonds approved according to law, judgments not covered by insurance and a few older items. Voters may approve a higher levy for up to five years by simple majority at a primary, general or special election; the question reaches the ballot by a two-thirds vote of the governing body or a petition of 5% of registered voters. Villages and districts that receive county allocations may instead approve a one-year excess at a residents' meeting with a 10% quorum.
Authority: Neb. Rev. Stat. §§77-3442, 77-3443, 77-3444.</t>
          </r>
        </is>
      </c>
      <c r="H28" s="4" t="inlineStr">
        <is>
          <r>
            <rPr>
              <rFont val="Carlito"/>
              <b val="1"/>
              <sz val="11"/>
            </rPr>
            <t>Yes.</t>
          </r>
          <r>
            <rPr>
              <rFont val="Carlito"/>
              <sz val="11"/>
            </rPr>
            <t xml:space="preserve">
School districts are covered by:
- the $1.05 levy limit (bond levies excluded; voter overrides for up to five years);
- the 3%-plus property tax request limit (LB 243, 2023), whose overrides need 60% of voters or 70% of the school board;
- general fund budget authority (2.5% base limitation, with special education and other exclusions);
- the School District Property Tax Relief Credit, which pays part of school taxes and excludes bond and override levies.
Levy overrides approved by voters before January 1, 2024 also let a district exceed its request limit until they expire.
Authority: Neb. Rev. Stat. §§77-3442(2), 79-3402 to 79-3405, 79-1023, 77-7303.</t>
          </r>
        </is>
      </c>
      <c r="I28" s="4" t="inlineStr">
        <is>
          <r>
            <rPr>
              <rFont val="Carlito"/>
              <b val="1"/>
              <sz val="11"/>
            </rPr>
            <t>No.</t>
          </r>
          <r>
            <rPr>
              <rFont val="Carlito"/>
              <sz val="11"/>
            </rPr>
            <t xml:space="preserve">
The state may not levy a property tax for state purposes (Initiative Measure 301, 1966). All property taxes are local.
Authority: Neb. Const. art. VIII §1A.</t>
          </r>
        </is>
      </c>
      <c r="J28" s="4" t="inlineStr">
        <is>
          <r>
            <rPr>
              <rFont val="Carlito"/>
              <b val="1"/>
              <sz val="11"/>
            </rPr>
            <t>Yes.</t>
          </r>
          <r>
            <rPr>
              <rFont val="Carlito"/>
              <sz val="11"/>
            </rPr>
            <t xml:space="preserve">
No general homestead exemption. Owners 65 and older, certain disabled owners and veterans with non-service-connected disabilities receive an income-tested exemption: in 2026 an owner 65+ is fully exempt on the exempt amount with household income up to $37,000 (single) or $43,400 (married), phasing down in 10% steps to zero at $54,301 (single) or $64,501 (married). For disabled owners and veterans the full-exemption limits are $41,600 (single) and $47,700 (married). The exempt amount is the greater of $40,000 or 100% of the county's average home value (seniors) and the greater of $50,000 or 120% (disabled owners); homes valued above a county-based maximum lose 10% of the exemption per $2,500 of excess and are ineligible $20,000 or more over it. Veterans with a 100% service-connected disability and certain surviving spouses are fully exempt regardless of income. The state reimburses local governments for the lost tax.
Authority: Neb. Rev. Stat. §§77-3501 to 77-3529 (exempt amounts at §77-3501.01; value limits at §77-3506.03).</t>
          </r>
        </is>
      </c>
      <c r="K28" s="4" t="inlineStr">
        <is>
          <r>
            <rPr>
              <rFont val="Carlito"/>
              <b val="1"/>
              <sz val="11"/>
            </rPr>
            <t>Yes.</t>
          </r>
          <r>
            <rPr>
              <rFont val="Carlito"/>
              <sz val="11"/>
            </rPr>
            <t xml:space="preserve">
State-funded credits printed on the property tax statement:
- School District Property Tax Relief Credit (LB 34, 2024): at least $750 million for tax year 2024, $780 million for 2025, $808 million for 2026, $838 million for 2027, $870 million for 2028 and $902 million for 2029, then growing 3% a year. From FY2026-27, General Fund receipts above both the forecast and 103% of the prior year's receipts are added. Each parcel's credit is proportional to its school district taxes, excluding bond and voter-override levies. It replaced the refundable income tax credit for school taxes paid (LB 1107, 2020), which reached $560.7 million for 2023.
- Property Tax Credit Act (2007): a credit on all real property, with agricultural land counted at 120% of taxable value; at least $430 million for 2025, $445 million for 2026, $460 million for 2027 and $475 million for 2028, then growing with statewide valuation (LB 243, 2023).
Homeowners who qualify for the homestead exemption receive the school credit on any remaining tax.
Authority: Neb. Rev. Stat. §§77-7301 to 77-7305; 77-4209 to 77-4212; 77-4602; 77-6703.</t>
          </r>
        </is>
      </c>
      <c r="L28" s="4" t="inlineStr">
        <is>
          <r>
            <rPr>
              <rFont val="Carlito"/>
              <b val="1"/>
              <sz val="11"/>
            </rPr>
            <t>Yes.</t>
          </r>
          <r>
            <rPr>
              <rFont val="Carlito"/>
              <sz val="11"/>
            </rPr>
            <t xml:space="preserve">
- School district property tax relief credit: since tax year 2024 the state pays a credit against non-bond school taxes on every parcel of taxable real property, shown on the tax statement. The fund was set at $750 million for FY2024-25, with intent amounts of $780 million for FY2025-26 and $808 million for FY2026-27.
- Property Tax Credit Act credit: a state-funded credit on real property tax statements. With the school credit, credits on the bill total $1.244 billion in the FY2025-26 appropriation.
- Community college levy reduction: LB 243 (2023) replaced the community colleges' general operating levy with state payments ($266.0 million in FY2025-26).
- Homestead exemption reimbursement ($159.9 million in FY2025-26) is narrower, since eligibility is limited to elderly or disabled owners, including disabled veterans, most under income limits.
Foundation aid and special education aid from the Education Future Fund are school aid and do not count under this test.
Authority: Neb. Rev. Stat. §§77-4209 to 77-4212, 77-7305, 77-3523; LB 34 (2024, First Special Session); LB 243 (2023); Nebraska Department of Revenue, 2025 Annual Report, Table 3C.</t>
          </r>
        </is>
      </c>
      <c r="M28" s="4" t="inlineStr">
        <is>
          <r>
            <rPr>
              <rFont val="Carlito"/>
              <b val="1"/>
              <sz val="11"/>
            </rPr>
            <t>Yes.</t>
          </r>
          <r>
            <rPr>
              <rFont val="Carlito"/>
              <sz val="11"/>
            </rPr>
            <t xml:space="preserve">
Current law (through 2026):
- Default rollback: if reassessment would raise a government's taxes at last year's rate, its property tax request is held to last year's amount and the rate falls, unless the governing body holds a special public hearing after published notice (prior and current valuations, the rate that would raise last year's amount, the proposed request and rate) and passes a resolution with a recorded vote.
- Postcard notice (LB 644, 2021): a county, city or school district seeking to raise its request by more than 2% plus real growth must join a countywide joint public hearing held between September 14 and 24 after 6 p.m., and each affected taxpayer receives a postcard listing every participating government's proposed increase.
From January 1, 2027 (LB 803, 2026): the Department of Revenue mails a postcard by June 25 to every owner who received a valuation-change notice; every county, city and school district joins a joint hearing between July 1 and 15; the September postcard process is repealed; and raising the request above last year's requires a two-thirds vote of the governing body (four of seven on seven-member boards).
Authority: Neb. Rev. Stat. §§77-1631 to 77-1633 (LB 644, 2021); 77-1632 as amended and LB 803 §18 (2026).</t>
          </r>
        </is>
      </c>
      <c r="N28" s="4" t="inlineStr">
        <is>
          <r>
            <rPr>
              <rFont val="Carlito"/>
              <b val="1"/>
              <sz val="11"/>
            </rPr>
            <t>Yes.</t>
          </r>
          <r>
            <rPr>
              <rFont val="Carlito"/>
              <sz val="11"/>
            </rPr>
            <t xml:space="preserve">
The default under §77-1632 holds each government's property tax request to last year's dollars after reassessment and lowers its rate, unless the governing body votes to exceed it after a special hearing (two-thirds of the board from 2027). Any increase must also fit within the LB 34 or LB 243 request caps and the levy rate limits.
Authority: Neb. Rev. Stat. §77-1632.</t>
          </r>
        </is>
      </c>
      <c r="O28" s="4" t="inlineStr">
        <is>
          <r>
            <rPr>
              <rFont val="Carlito"/>
              <b val="1"/>
              <sz val="11"/>
            </rPr>
            <t>Yes.</t>
          </r>
          <r>
            <rPr>
              <rFont val="Carlito"/>
              <sz val="11"/>
            </rPr>
            <t xml:space="preserve">
- 60% of voters to exceed a school district's property tax request limit.
- 70% of the school board to raise a district's growth allowance by 4 to 7 percentage points.
- Two-thirds of the governing body to place a levy limit override on the ballot (or a 5% petition); the override passes by simple majority.
- 75% of the governing body to add 1% to the budget lid (units still under the lid).
- From January 1, 2027: two-thirds of the governing body to raise the property tax request above last year's (four of seven on seven-member boards).
County, city and village cap overrides under LB 34 pass by simple majority of voters.
Authority: Neb. Rev. Stat. §§79-3405, 77-3444, 13-519(2), 13-3405; 77-1632 as amended by LB 803 (2026).</t>
          </r>
        </is>
      </c>
      <c r="P28" s="4" t="inlineStr">
        <is>
          <r>
            <rPr>
              <rFont val="Carlito"/>
              <b val="1"/>
              <sz val="11"/>
            </rPr>
            <t>No.</t>
          </r>
          <r>
            <rPr>
              <rFont val="Carlito"/>
              <sz val="11"/>
            </rPr>
            <t xml:space="preserve">
Levy limit overrides may be held at primary, general or special elections; school request overrides go to a special election called within 30 days; county, city and village cap overrides go to the next regularly scheduled or a special election (LB 647, 2025, dropped the earlier May odd-year date).
Authority: Neb. Rev. Stat. §§77-3444, 79-3405, 13-3405.</t>
          </r>
        </is>
      </c>
      <c r="Q28" s="4" t="inlineStr">
        <is>
          <r>
            <rPr>
              <rFont val="Carlito"/>
              <b val="1"/>
              <sz val="11"/>
            </rPr>
            <t>Partial.</t>
          </r>
          <r>
            <rPr>
              <rFont val="Carlito"/>
              <sz val="11"/>
            </rPr>
            <t xml:space="preserve">
Levy limits are set by type of government, and some levies are earmarked: school special building funds, natural resources district groundwater levies, and learning community levies for early childhood programs and learning centers. General county, city and school levies are unrestricted. LB 834 (2026) requires property tax statements to show the taxes that fund public safety services.
Authority: Neb. Rev. Stat. §77-3442; LB 834 (2026).</t>
          </r>
        </is>
      </c>
      <c r="R28" s="4" t="inlineStr">
        <is>
          <t>93 counties; 528 cities and villages; 350 townships (Census count, in counties with township government); school districts, educational service units and community college areas (Census counts 267 independent school governments); one learning community (Douglas and Sarpy counties); 23 natural resources districts; 1,303 special districts in the Census count, led by 412 fire protection districts and 375 multiple-function districts, which include the sanitary and improvement districts that finance new subdivisions with property taxes and special assessments. Census of Governments 2022: 2,541 local governments.</t>
        </is>
      </c>
      <c r="S28" s="4" t="inlineStr">
        <is>
          <t>Verdict: Failed. Property tax per person rose 33.4% after inflation from FY2002 to FY2024, above the U.S. 25.9%, though it fell 4.4% from FY2019 to FY2024 (U.S. -1.1%).
Why it leaks: The county and city cap (LB 34, 2024) excludes property taxes budgeted for public safety, and its government-cost inflation index allowed 5.17% for FY2025-26. Voters can lift it by simple majority. School districts carry unused authority forward without limit, and a 70% board vote adds 4 to 7 points without a public vote. State credits of $1.40 billion in 2025 lower net bills while gross levies rise, which counts against the state.
How localities get around it: Omaha's 2027 budget adds police officers and firefighters, funded outside the cap. Omaha voters decide Nov. 3, 2026 on over $150 million in bonds, which sit outside every limit.
Full record:
Nebraska has a levy rate cap on every government, request caps on schools, counties and cities, a default rollback with hearings and more than $1.4 billion a year in state credits, yet property taxes levied rose 48% from 2015 to 2025 ($3.78 billion to $5.59 billion), and the Tax Foundation ranks the state 46th on property tax.
The record (Census, BEA, ACS): state and local property tax was $2,354 per person in FY2024 (U.S. $2,132), 3.25% of personal income (11th-highest of 50; U.S. 2.89%). After inflation, collections per person (all state and local property tax divided by residents) rose 33.4% from FY2002 to FY2024 (U.S. +25.9%) and fell 4.4% from FY2019 to FY2024 (U.S. -1.1%). The median homeowner paid $3,739 in 2024 (U.S. $3,211); the median bill rose 12.1% after inflation from 2010 to 2024 (U.S. +9.3%). The Tax Foundation's 2026 ranking puts its effective property tax rate on owner-occupied homes at 1.44%, 45th-lowest of 50. By the same measure it was 1.68% in 2010 (U.S. 1.00% in 2010, 0.94% in 2024).
First years of the caps: Gross levies were flat in 2024 (-0.1%), when community college operating levies ended and state school aid rose, then grew 5.4% in 2025, the first year of the LB 34 caps.
Inflation index: The county and city cap uses a government-cost price index, which allowed 5.17% for FY2025-26. The Platte Institute puts the allowable growth factor at about 5.7% for the most recent year, against consumer inflation of roughly 2.7% to 2.9%.
Public safety: All taxes budgeted for police, fire, ambulance, jails and other emergency services, county attorneys and public defenders are added on top of the capped amount, and these are among the largest county and city costs. In April 2026 Gov. Pillen vetoed LB 1256, which would have counted snow and ice removal and flood management as emergency management, saying it would "end-run" the 2024 caps; the Legislature did not override.
Big cities: Lincoln kept its city rate flat apart from voter-approved stormwater bonds while its tax-funded budget rose from $284 million in FY2025 to $302 million, with $335 million planned for FY2028, an 18% increase (Platte Institute). Omaha's $1.7 billion 2027 budget holds the city levy at about 44 cents per $100 and adds firefighters and police officers, whose property tax funding the LB 34 cap excludes; on Aug. 25, 2026 the council rejected an amendment to use sales tax revenue to lower the rate.
Schools: The Omaha Public Schools board voted 9-0 on Sept. 21, 2026 to raise its levy to $1.21 per $100 after a $50.6 million state aid calculation error, about $200 a year on a $250,000 home. Districts carry unused request authority forward without limit, and a 70% board vote adds 4 to 7 points to the allowance without a public vote. School operating (non-bond) levies grew 4.3% in 2025, above the 3% base.
Banked authority: Counties and cities may bank up to 5% and convert up to 5% more from the old budget lid.
Bonds: Bond levies are outside every limit. Omaha voters decide on Nov. 3, 2026 whether to issue bonds for a youth sports complex and a joint police and fire headquarters priced at more than $150 million.
State money: Credits and homestead reimbursements reached $1.40 billion in 2025 and other state aid $2.18 billion; these lower net bills while gross levies keep rising.
Property tax is 77% of local tax revenue (Census FY2022); local sales taxes supply 10%, and fees and charges are 40% of local own-source revenue.</t>
        </is>
      </c>
      <c r="T28" s="4" t="inlineStr">
        <is>
          <t>- Common Sense Institute, "Iowa Leads the Nation in Property Tax Relief: Ranking State Reforms of the Past Decade" (Aug. 6, 2026). Estimates that LB 34 (2024) saved Nebraskans 0.09% of personal income and $998 per household over its first six years, fourth nationally on net savings per household (a ranking that excludes state-funded relief), behind Iowa's SF 2472, Indiana's SB 1 and Colorado's SB24-233. https://archive.commonsenseinstituteus.org/iowa/research/taxes-and-fees/iowa-leads-the-nation-in-property-tax-relief-ranking-state-reforms-of-the-past-decade
- Platte Institute, Jared Walczak, "How Lincoln Raised Property Taxes Without Raising Rates" (July 8, 2026). Lincoln kept its city rate flat apart from voter-approved stormwater bonds while taxable value rose from $35.5 billion to $38.5 billion, so the tax-funded budget grows from $284 million in FY2025 to $335 million planned for FY2028, an 18% rise; it notes that other Lancaster County taxing bodies cut their combined rate 6.9% in 2025 and that Grand Island trimmed rates seven years running to hold collections near $12.8 million. https://platteinstitute.org/how-lincoln-raised-property-taxes-without-raising-rates/
- Platte Institute, Jim Vokal, "Nebraska's Property Tax 'Caps' Are Not the Same as Iowa's" (June 3, 2026). Finds the LB 34 cap far weaker than Iowa's 2% limit on collections from existing property: it is indexed to a government spending measure (an allowable growth factor of about 5.7% in the past year, against consumer inflation of roughly 2.7% to 2.9%), carves out bonds, public safety, county attorneys and banked authority, and leaves school districts outside the new act. https://platteinstitute.org/nebraskas-property-tax-caps-are-not-the-same-as-iowas/
- Platte Institute, "Policy Pathway for Principled Tax Reform" (January 20, 2026). Full report: Nebraska has the fourth-highest property tax rate in the country, and its caps let taxes grow faster than incomes because school caps can be lifted by a school board vote, city and county public safety spending is exempt and growth is tied to government spending. It calls for one unified cap tied to inflation that only a referendum can override, automatic rate rollbacks when valuations rise, Truth in Taxation hearings held before budget decisions and triggered by the first dollar of increase, and repeal of the Educational Service Unit levy with the next $55 million of relief. https://files.platteinstitute.org/uploads/2026/01/FINAL-Policy-Pathway-for-Principled-Tax-Reform.pdf
- Platte Institute, "Nebraska Property Taxes Keep Rising Despite Tax Caps" (September 25, 2025). Uses a Douglas County Truth in Taxation notice: assessed value in Douglas County and the Omaha school district rose 5.25%, and Omaha Public Schools also raised its rate, for a 7.3% property tax increase against 2.9% inflation and 3.6% wage growth; one Omaha home's bill was set to rise 15.2%, from $8,263 to $9,519. It calls for one cap covering all local spending, held to about inflation unless voters approve more. https://platteinstitute.org/nebraska-property-taxes-keep-rising-despite-tax-caps/
- Platte Institute, "How Nebraska Can Improve Truth-in-Taxation: Lessons from Utah's Property Tax Reform" (September 16, 2025). Utah runs its truth-in-taxation notice, hearing and vote to exceed the rollback rate before budgets are adopted, while Nebraska holds its September hearings after key budget decisions and lets revenue rise beyond the prior year without triggering the process; Platte backs LB 575 (Sen. Robert Hallstrom) to fix both. "This provides a more transparent and accountable local governance system." https://platteinstitute.org/how-nebraska-can-improve-truth-in-taxation-lessons-from-utahs-property-tax-reform/
- Americans for Prosperity-Nebraska, "AFP-Nebraska Response to Pillen Tax Plan Press Conference" (July 18, 2024). Opposes Gov. Jim Pillen's plan to raise sales taxes statewide to buy down property taxes, heading into the 2024 special session, calling it the largest tax increase on Nebraskans in state history and a shift onto working- and middle-class families; AFP-NE had run two polls and a six-figure campaign against it. https://americansforprosperity.org/press-release/afp-nebraska-response-to-pillen-tax-plan-press-conference/
Linked list: 7 items on the Analyses sheet (filter State = Nebraska); every source URL is linked on the Sources sheet.</t>
        </is>
      </c>
      <c r="U28" s="4" t="inlineStr">
        <is>
          <t>1990: school budget limitation (LB 1059). 1996: levy limits (LB 1114) and the budget lid (LB 299), in effect from FY1998-99. 2007: Property Tax Credit Act. 2020: LB 1107 income tax credit for school taxes. 2021: LB 644 postcard notice and joint hearings.
2023: LB 243 (school request limit, end of community college operating levies, larger Property Tax Credit; passed 44-0); LB 583 and LB 818 (foundation aid and special education funding).
2024: special session; LB 34 (county, city and village request caps; School District Property Tax Relief Credit) passed 40-3. Revenue Committee vice chair Brad von Gillern called it the "absolute minimum"; amendments to remove sales tax exemptions and tax services were withdrawn, and the final bill left sales taxes unchanged.
2025: LB 647 revised the LB 34 formula and override elections; LB 123 revised the state aid penalty.
2026: LB 803 (two-thirds board vote and state-mailed postcard from 2027); LB 1256 vetoed.
No Nebraska property tax measure is on the Nov. 3, 2026 ballot. The Secretary of State lists initiatives 440 and 441 (online sports wagering) and 442 (girls' sports) and the Legislature's LR19CA (legislative term limits). Petition drives to halve taxable value and cap valuation growth (Advocates for All Nebraskans) and to replace property, income and sales taxes with a consumption tax (EPIC Option) ended before the July 2, 2026 deadline.</t>
        </is>
      </c>
      <c r="V28" s="4" t="inlineStr">
        <is>
          <t>45th (1.44% effective rate; 1.68% in 2010)</t>
        </is>
      </c>
      <c r="W28" s="4" t="inlineStr">
        <is>
          <t>Nebraska layers a levy rate cap on every government, a 3%-plus request cap on schools (2023), a growth-plus-inflation request cap on counties, cities and villages (2025), a default rollback with hearings and about $1.25 billion a year in state-funded credits on tax bills (2026). Broad exceptions for public safety and bonds, banked authority, school board supermajorities and a generous inflation index let gross levies keep rising, and the state has answered with larger credits paid from state revenue.</t>
        </is>
      </c>
      <c r="X28" s="4" t="inlineStr">
        <is>
          <t>https://nebraskalegislature.gov/laws/statutes.php?statute=13-3403
https://nebraskalegislature.gov/laws/statutes.php?statute=13-3404
https://nebraskalegislature.gov/laws/statutes.php?statute=13-3405
https://nebraskalegislature.gov/laws/statutes.php?statute=13-3406
https://nebraskalegislature.gov/laws/statutes.php?statute=79-3402
https://nebraskalegislature.gov/laws/statutes.php?statute=79-3405
https://nebraskalegislature.gov/laws/statutes.php?statute=77-3442
https://nebraskalegislature.gov/laws/statutes.php?statute=77-3444
https://nebraskalegislature.gov/laws/statutes.php?statute=13-519
https://nebraskalegislature.gov/laws/statutes.php?statute=79-1023
https://nebraskalegislature.gov/laws/statutes.php?statute=77-1631
https://nebraskalegislature.gov/laws/statutes.php?statute=77-1633
https://nebraskalegislature.gov/laws/statutes.php?statute=77-7305
https://nebraskalegislature.gov/laws/statutes.php?statute=77-4212
https://nebraskalegislature.gov/laws/statutes.php?statute=77-201
https://nebraskalegislature.gov/laws/statutes.php?statute=77-3501.01
https://nebraskalegislature.gov/laws/articles.php?article=VIII-1A
https://nebraskalegislature.gov/FloorDocs/109/PDF/Slip/LB803.pdf
https://www.NebraskaLegislature.gov/FloorDocs/108/PDF/Final/LB243.pdf
https://update.legislature.ne.gov/?p=34462
https://update.legislature.ne.gov/?p=34653
https://revenue.nebraska.gov/about/2026-nebraska-legislative-changes
https://revenue.nebraska.gov/sites/default/files/doc/pad/research/annual-reports/2025/annrpt2025%20table%203.pdf
https://revenue.nebraska.gov/sites/default/files/doc/pad/homestead/2026%20Income%20Table.pdf
https://auditors.nebraska.gov/Budget_Info/B2025-2026/2025_Budget_Updates_Slides.pdf
https://nebraskaexaminer.com/2024/08/16/absolute-minimum-property-tax-relief-plan-advances-in-nebraska-legislature-with-few-changes/
https://nebraskaexaminer.com/2026/04/16/pillen-vetoes-bill-defining-snow-ice-removal-flood-management-as-emergency-management-duties/
https://www.wowt.com/2026/04/17/nebraska-unicameral-fails-override-any-gov-pillens-vetoes/
https://nebraskaexaminer.com/2025/08/25/petition-effort-seeks-to-halve-nebraska-property-taxes-cap-valuations/
https://nebraskaexaminer.com/2026/06/10/advocates-end-nebraska-property-tax-winner-take-all-hand-count-ballots-petition-effort/
https://www.lincolninst.edu/app/uploads/2024/10/truth_in_taxation_2024.xlsx
https://www2.census.gov/programs-surveys/gov-finances/tables/2022/22slsstab1.xlsx
https://platteinstitute.org/how-lincoln-raised-property-taxes-without-raising-rates/
https://platteinstitute.org/nebraskas-property-tax-caps-are-not-the-same-as-iowas/
https://archive.commonsenseinstituteus.org/iowa/research/taxes-and-fees/iowa-leads-the-nation-in-property-tax-relief-ranking-state-reforms-of-the-past-decade
https://sos.nebraska.gov/elections
https://www.nebraskalegislature.gov/bills/search_by_number.php?DocumentNumber=LR19CA&amp;Legislature=109
https://www.3newsnow.com/central-omaha/we-are-holding-the-line-on-the-levy-mayor-ewing-unveils-proposed-2027-budget-keeps-property-tax-rates-flat
https://www.3newsnow.com/central-omaha/omaha-city-council-approves-2027-budget-after-debate-over-property-tax-amendment
https://www.wowt.com/2026/09/22/omaha-public-schools-raises-property-tax-levy-after-506m-budget-error/</t>
        </is>
      </c>
    </row>
    <row r="29" ht="409" customHeight="1">
      <c r="A29" s="13" t="inlineStr">
        <is>
          <t>Nevada</t>
        </is>
      </c>
      <c r="B29" s="4" t="inlineStr">
        <is>
          <r>
            <rPr>
              <rFont val="Carlito"/>
              <b val="1"/>
              <sz val="14"/>
            </rPr>
            <t>B.</t>
          </r>
          <r>
            <rPr>
              <rFont val="Carlito"/>
              <sz val="11"/>
            </rPr>
            <t xml:space="preserve">
Restriction points 9.75 of 18 (levy limit 4; assessment cap 1; rate cap 2; truth in taxation 1; rollback 0.5; school districts covered 1; use restrictions 0.25). Deductions: built-in loopholes -0.5; workarounds in practice -0.5; state buydowns +0; data record +1. Total 9.75 = B (A 11+, B 8.5-10.9, C 5.5-8.4, D 3-5.4, F under 3).
Why: Binding limits are in force statewide: a 6% cap on each government's property tax revenue plus new property, a $3.64 combined rate cap and a parcel-level abatement that holds owner-occupied homes to 3% a year (8% at most for other property), and the state runs no buydown of local levies. The long-run record is strong: real per-person collections rose 5.5% from FY2002 to FY2022 (U.S. 23.4%), real homeowner bills fell 13.4% from 2010 to 2024, the burden is 2.24% of personal income (U.S. 2.89%) and the effective rate is seventh-lowest.</t>
          </r>
        </is>
      </c>
      <c r="C29" s="4">
        <f>((LEFT(D29,3)="Yes")+(LEFT(E29,3)="Yes")+(LEFT(F29,3)="Yes")+(LEFT(G29,3)="Yes"))&amp;" of 4 in force"&amp;IF(((LEFT(D29,7)="Partial")+(LEFT(E29,7)="Partial")+(LEFT(F29,7)="Partial")+(LEFT(G29,7)="Partial"))&gt;0," + "&amp;((LEFT(D29,7)="Partial")+(LEFT(E29,7)="Partial")+(LEFT(F29,7)="Partial")+(LEFT(G29,7)="Partial"))&amp;" partial","")&amp;CHAR(10)&amp;CHAR(10)&amp;IF(LEFT(D29,3)="Yes","✓",IF(LEFT(D29,7)="Partial","◐","✗"))&amp;" Spending limit"&amp;CHAR(10)&amp;IF(LEFT(E29,3)="Yes","✓",IF(LEFT(E29,7)="Partial","◐","✗"))&amp;" Levy limit"&amp;CHAR(10)&amp;IF(LEFT(F29,3)="Yes","✓",IF(LEFT(F29,7)="Partial","◐","✗"))&amp;" Assessment cap"&amp;CHAR(10)&amp;IF(LEFT(G29,3)="Yes","✓",IF(LEFT(G29,7)="Partial","◐","✗"))&amp;" Rate cap"</f>
        <v/>
      </c>
      <c r="D29" s="4" t="inlineStr">
        <is>
          <r>
            <rPr>
              <rFont val="Carlito"/>
              <b val="1"/>
              <sz val="11"/>
            </rPr>
            <t>No.</t>
          </r>
          <r>
            <rPr>
              <rFont val="Carlito"/>
              <sz val="11"/>
            </rPr>
            <t xml:space="preserve">
No cap on local government spending. Local revenue is limited through the property tax revenue cap, the overall rate cap and the partial abatement on individual bills.</t>
          </r>
        </is>
      </c>
      <c r="E29" s="4" t="inlineStr">
        <is>
          <r>
            <rPr>
              <rFont val="Carlito"/>
              <b val="1"/>
              <sz val="11"/>
            </rPr>
            <t>Yes.</t>
          </r>
          <r>
            <rPr>
              <rFont val="Carlito"/>
              <sz val="11"/>
            </rPr>
            <t xml:space="preserve">
Each local government's property tax revenue may grow no more than 6% a year over its prior-year allowed revenue base, plus revenue from new property (1983). A government need not cut its rate below the prior year's rate even if that rate would raise more than 6%. Voters may approve additional levies.
Authority: NRS 354.59811.</t>
          </r>
        </is>
      </c>
      <c r="F29" s="4" t="inlineStr">
        <is>
          <r>
            <rPr>
              <rFont val="Carlito"/>
              <b val="1"/>
              <sz val="11"/>
            </rPr>
            <t>Partial.</t>
          </r>
          <r>
            <rPr>
              <rFont val="Carlito"/>
              <sz val="11"/>
            </rPr>
            <t xml:space="preserve">
No cap on taxable value itself, but a 2005 partial abatement caps the growth of each property's tax bill (a bill cap, applied parcel by parcel):
- Single-family owner-occupied homes and qualifying low-rent rentals: no more than 3% a year.
- All other property: the greater of the 10-year average growth in assessed value or twice the change in CPI, up to 8%.
Excluded: new construction and improvements, changes in use, and property that was not previously assessed. Assessed value is 35% of taxable value, and improvements are valued at replacement cost less depreciation.
Since October 1, 2025, a buyer may claim the 3% abatement on the declaration of value filed with the deed (AB 377, 2025).
Authority: NRS 361.4722 (general abatement, up to 8%), 361.4723 (owner-occupied single-family homes, 3%), 361.4724 (qualifying low-rent rentals); AB 489 (2005); AB 377 (2025).</t>
          </r>
        </is>
      </c>
      <c r="G29" s="4" t="inlineStr">
        <is>
          <r>
            <rPr>
              <rFont val="Carlito"/>
              <b val="1"/>
              <sz val="11"/>
            </rPr>
            <t>Yes.</t>
          </r>
          <r>
            <rPr>
              <rFont val="Carlito"/>
              <sz val="11"/>
            </rPr>
            <t xml:space="preserve">
Combined rate for all public purposes: no more than $3.64 per $100 of assessed value (statutory; the Constitution allows 5 cents on the dollar), with exceptions listed in the statute: localities under state financial management, certain school levies (NRS 387.3288, 387.3289, 387.3342), county hospitals (NRS 450.760) and voter-approved levies in counties under 52,000 people whose combined rate was at least $3.50 in 1998. Cities are separately limited to 3% of assessed value (30 mills).
Authority: NRS 361.453; Nev. Const. art. 10 §2.</t>
          </r>
        </is>
      </c>
      <c r="H29" s="4" t="inlineStr">
        <is>
          <r>
            <rPr>
              <rFont val="Carlito"/>
              <b val="1"/>
              <sz val="11"/>
            </rPr>
            <t>Yes.</t>
          </r>
          <r>
            <rPr>
              <rFont val="Carlito"/>
              <sz val="11"/>
            </rPr>
            <t xml:space="preserve">
School taxes are inside the $3.64 cap and the abatement. Every county must levy 75 cents per $100 for public schools, which feeds the state's Pupil-Centered Funding Plan; school debt levies count toward the cap as well.
Authority: NRS 387.195.</t>
          </r>
        </is>
      </c>
      <c r="I29" s="4" t="inlineStr">
        <is>
          <r>
            <rPr>
              <rFont val="Carlito"/>
              <b val="1"/>
              <sz val="11"/>
            </rPr>
            <t>Yes.</t>
          </r>
          <r>
            <rPr>
              <rFont val="Carlito"/>
              <sz val="11"/>
            </rPr>
            <t xml:space="preserve">
The state levies its own 17 cents per $100 for state debt service, an additional tax. The mandatory 75-cent county school levy works as part of state school funding. Census counts about $1.4 billion of state property tax in FY2022, reflecting both.
Authority: state rate set by the Legislature; NRS 387.195.</t>
          </r>
        </is>
      </c>
      <c r="J29" s="4" t="inlineStr">
        <is>
          <r>
            <rPr>
              <rFont val="Carlito"/>
              <b val="1"/>
              <sz val="11"/>
            </rPr>
            <t>Partial.</t>
          </r>
          <r>
            <rPr>
              <rFont val="Carlito"/>
              <sz val="11"/>
            </rPr>
            <t xml:space="preserve">
No general homestead exemption. Exemptions for veterans, disabled veterans, surviving spouses and blind residents reduce assessed value by fixed, indexed amounts. Homeowners' main protection is the 3% abatement.
Authority: NRS 361.090, 361.091 (veterans).</t>
          </r>
        </is>
      </c>
      <c r="K29" s="4" t="inlineStr">
        <is>
          <r>
            <rPr>
              <rFont val="Carlito"/>
              <b val="1"/>
              <sz val="11"/>
            </rPr>
            <t>No.</t>
          </r>
          <r>
            <rPr>
              <rFont val="Carlito"/>
              <sz val="11"/>
            </rPr>
            <t xml:space="preserve">
No state circuit breaker or property tax refund; relief comes through the abatement and the veterans' and blind exemptions.</t>
          </r>
        </is>
      </c>
      <c r="L29" s="4" t="inlineStr">
        <is>
          <r>
            <rPr>
              <rFont val="Carlito"/>
              <b val="1"/>
              <sz val="11"/>
            </rPr>
            <t>No.</t>
          </r>
          <r>
            <rPr>
              <rFont val="Carlito"/>
              <sz val="11"/>
            </rPr>
            <t xml:space="preserve">
No state program reimburses local governments for property tax revenue lost to exemptions or to the statutory caps on annual tax increases, and no state payment is tied to a levy or rate reduction. The state funds schools through the Pupil-Centered Funding Plan and levies its own 17-cent rate. Consolidated tax distributions, which include the state-collected Supplemental City-County Relief Tax, are revenue sharing and do not count under this test.
Authority: NRS 361.4722-361.4728 (partial abatements); NRS 360.680-360.690 (consolidated tax distribution); NRS chapter 387 (Pupil-Centered Funding Plan).</t>
          </r>
        </is>
      </c>
      <c r="M29" s="4" t="inlineStr">
        <is>
          <r>
            <rPr>
              <rFont val="Carlito"/>
              <b val="1"/>
              <sz val="11"/>
            </rPr>
            <t>Partial.</t>
          </r>
          <r>
            <rPr>
              <rFont val="Carlito"/>
              <sz val="11"/>
            </rPr>
            <t xml:space="preserve">
Local budget hearings must disclose proposed tax increases (required since 1985), but the disclosure shows tax increases without a parcel-level comparison of prior-year and current taxes.
Coded Partial because Nevada meets none of the three key truth-in-taxation requirements (a rollback rate calculation, mailed parcel-specific notices and a governing-body vote to exceed the rollback rate); its newspaper notices and hearings remain.</t>
          </r>
        </is>
      </c>
      <c r="N29" s="4" t="inlineStr">
        <is>
          <r>
            <rPr>
              <rFont val="Carlito"/>
              <b val="1"/>
              <sz val="11"/>
            </rPr>
            <t>Partial.</t>
          </r>
          <r>
            <rPr>
              <rFont val="Carlito"/>
              <sz val="11"/>
            </rPr>
            <t xml:space="preserve">
The 6% revenue cap forces rate reductions when assessed values rise faster, but a government may keep its prior-year rate. The abatement protects each property's bill separately.</t>
          </r>
        </is>
      </c>
      <c r="O29" s="4" t="inlineStr">
        <is>
          <r>
            <rPr>
              <rFont val="Carlito"/>
              <b val="1"/>
              <sz val="11"/>
            </rPr>
            <t>No.</t>
          </r>
          <r>
            <rPr>
              <rFont val="Carlito"/>
              <sz val="11"/>
            </rPr>
            <t xml:space="preserve">
Local tax overrides need a simple majority of voters. A two-thirds vote of the Legislature is required for state tax increases (Nev. Const. art. 4 §18), which does not apply to local levies.</t>
          </r>
        </is>
      </c>
      <c r="P29" s="4" t="inlineStr">
        <is>
          <r>
            <rPr>
              <rFont val="Carlito"/>
              <b val="1"/>
              <sz val="11"/>
            </rPr>
            <t>No.</t>
          </r>
          <r>
            <rPr>
              <rFont val="Carlito"/>
              <sz val="11"/>
            </rPr>
            <t xml:space="preserve">
No statewide rule limiting local tax questions to November.</t>
          </r>
        </is>
      </c>
      <c r="Q29" s="4" t="inlineStr">
        <is>
          <r>
            <rPr>
              <rFont val="Carlito"/>
              <b val="1"/>
              <sz val="11"/>
            </rPr>
            <t>Partial.</t>
          </r>
          <r>
            <rPr>
              <rFont val="Carlito"/>
              <sz val="11"/>
            </rPr>
            <t xml:space="preserve">
Levies are made by purpose within the $3.64 cap (schools, county general, debt, special districts), and the 75-cent school levy is dedicated to schools. General county and city levies are unrestricted.</t>
          </r>
        </is>
      </c>
      <c r="R29" s="4" t="inlineStr">
        <is>
          <t>16 counties and Carson City (consolidated); 19 cities in the Census count; 17 county school districts; 135 special districts in the Census count, including fire protection, water, sewer, hospital, library and general improvement districts; redevelopment agencies that capture tax increment. Census of Governments 2022: 187 local governments.</t>
        </is>
      </c>
      <c r="S29" s="4" t="inlineStr">
        <is>
          <t>Verdict: Partly. Property tax per person rose 15.8% after inflation from FY2002 to FY2024, below the U.S. 25.9%, but jumped 17.2% from FY2019 to FY2024 while the U.S. fell 1.1%.
Why it leaks: The 6% revenue cap excludes new property, and a government may keep last year's rate even if it would raise more than 6%. The 2005 abatement caps yearly bill growth at 3% for homes and up to 8% for other property, but certain new taxes and voter-approved levies can apply to the full bill. Voters approve added levies by simple majority, and Nevada has no limit on local spending.
How localities get around it: SB 451 (2025) extended the 20-cent Las Vegas police levy to 2057 with no new public vote. Redevelopment agencies and special improvement districts capture or add revenue outside the limits.
Full record:
The 3% abatement, the 6% revenue cap and the $3.64 rate cap keep bills low, and the Tax Foundation ranks Nevada's property tax 9th. Las Vegas and Clark County still find ways to keep or add revenue.
The record (Census, BEA, ACS): state and local property tax was $1,582 per person in FY2024 (U.S. $2,132), 2.24% of personal income (38th-highest of 50; U.S. 2.89%). After inflation, collections per person (all state and local property tax divided by residents) rose 15.8% from FY2002 to FY2024 (U.S. +25.9%) and rose 17.2% from FY2019 to FY2024 (U.S. -1.1%). The median homeowner paid $2,143 in 2024 (U.S. $3,211); the median bill fell 13.4% after inflation from 2010 to 2024 (U.S. +9.3%). The Tax Foundation's 2026 ranking puts its effective property tax rate on owner-occupied homes at 0.50%, 8th-lowest of 50. By the same measure it was 0.67% in 2010 (U.S. 1.00% in 2010, 0.94% in 2024).
Las Vegas police levy: SB 451 (2025) extended the 20-cent Las Vegas Metropolitan Police Department levy that voters approved in 1996 for 30 more years, from June 30, 2027 to June 30, 2057, by act of the Legislature with no new public vote. With a permanent 8-cent levy approved in 1988, property in Las Vegas and unincorporated Clark County pays 28 cents per $100 for police. Assm. Jill Dickman, who voted no, said the measure should go back to the voters.
Abatement exemptions: State law lets certain new taxes, rate increases and voter-approved levies be exempt from the partial abatement, so they apply to the full bill (NRS 361.4726, 361.4728).
Unequal bills: Because the cap follows each property, neighbors with identical homes can pay very different taxes depending on purchase and construction dates, and abated value accumulates over years.
Revenue shift: The cap squeezes the base, so local governments lean on sales taxes: local sales taxes supply 41% of local tax revenue (Census FY2022), and Clark County's combined rate is among the highest in the West. Fees and charges are 41% of local own-source revenue.
Special districts: Redevelopment agencies and special improvement districts capture or add revenue outside the general limits.</t>
        </is>
      </c>
      <c r="T29" s="4" t="inlineStr">
        <is>
          <t>- Nevada Taxpayers Association, Becky Dutro, "Real Property Claim to Partial Abatement" (August 5, 2026). Public comment to the Nevada Tax Commission supporting Regulation R098-26, which carries out AB 377 (2025), a bill the association backed: property tax cap eligibility information goes on the Declaration of Value form at recording, because buyers often do not know they must act to keep the correct cap abatement percentage after a title transfer. It says the change should cut repeat mailings and rebillings by county assessors and treasurers. https://tax.nv.gov/wp-content/uploads/2026/08/R098-26-Public-Comment-Nevada-Taxpayers-Assn.pdf
- Nevada Policy (formerly Nevada Policy Research Institute), "Week 8 Under the Dome: Key Hearings &amp; Work Sessions" (March 25, 2025). Lists among bills it opposes AJR 1, a proposed constitutional amendment that would change assessments after a sale by ending the first-year depreciation adjustment and recalculating depreciation as if improvements were newly built, and that would mandate a property tax refund program for some seniors and people with disabilities; it also opposes AB 362, which would extend the real property transfer tax to sales of controlling interests in entities that own Nevada real estate. https://nevadapolicy.org/week-8-under-the-dome-key-hearings-work-sessions/
- Nevada Policy, Kevin Dietrich, "Bill to Sharply Increase State Property Tax Fails" (April 27, 2023). Reports that SB 96 would have repealed the 3% cap on annual increases for homes and required bills to rise at least 3% every year, so owners could have faced increases of up to 8% a year; it defends the cap as protection for retirees and people on fixed incomes and notes the bill died in committee. https://nevadapolicy.org/bill-to-sharply-increase-state-property-tax-fails/
- Nevada Policy (State Policy Network affiliate): no full property tax report since 2021 was found; the two items above are its main property tax work.
Linked list: 3 items on the Analyses sheet (filter State = Nevada); every source URL is linked on the Sources sheet.</t>
        </is>
      </c>
      <c r="U29" s="4" t="inlineStr">
        <is>
          <t>1979-1981: post-Prop 13 tax shift and rate caps; 1983: 6% revenue limit.
2005: AB 489 partial abatement (3% residential, up to 8% other).
2019: SB 543 created the Pupil-Centered Funding Plan (in effect 2021).
2023: SB 96 (Sen. Dina Neal), which would have repealed the 3% cap and required bills to rise at least 3% a year, died in committee without a vote.
2025: SB 451, signed by Gov. Lombardo, extends the 20-cent Las Vegas Metropolitan Police Department levy (approved by voters in 1996 and due to expire June 30, 2027) through June 30, 2057 without a new public vote. AB 377 lets owners claim the residential abatement on the declaration of value filed with a deed.
Nov. 3, 2026: the two statewide questions are Question 6 (abortion rights) and Question 7 (voter identification); neither concerns property tax. Local questions appear in Boulder City (Capital Improvement Fund allocations and data center land use) and in Churchill, Douglas, Lincoln and Washoe counties.</t>
        </is>
      </c>
      <c r="V29" s="4" t="inlineStr">
        <is>
          <t>8th (0.50% effective rate; 0.67% in 2010)</t>
        </is>
      </c>
      <c r="W29" s="4" t="inlineStr">
        <is>
          <t>Nevada caps combined rates at $3.64 per $100, limits each government's revenue growth to 6% plus new property, and caps each homeowner's bill growth at 3% (up to 8% for other property). Local governments rely heavily on sales taxes and fees, and the abatement creates large differences between similar properties.</t>
        </is>
      </c>
      <c r="X29" s="4" t="inlineStr">
        <is>
          <t>https://www.leg.state.nv.us/NRS/NRS-354.html
https://www.leg.state.nv.us/NRS/NRS-361.html
https://www.leg.state.nv.us/NRS/NRS-387.html
https://www.lincolninst.edu/app/uploads/2024/12/levy_limits_2022.xlsx
https://apps.lincolninst.edu/uploads/summary-tables/rate-limits-summary-tables/rate-limits-2022-4.xlsx
https://www.lincolninst.edu/app/uploads/2024/10/truth_in_taxation_2024.xlsx
https://www2.census.gov/programs-surveys/gov-finances/tables/2022/22slsstab1.xlsx
https://www.leg.state.nv.us/Session/83rd2025/Bills/SB/SB451_EN.pdf
https://www.leg.state.nv.us/Session/83rd2025/Bills/AB/AB377_EN.pdf
https://thenevadaindependent.com/article/is-lombardo-staying-true-to-his-no-taxes-pledge-a-bill-signing-raises-questions
https://nevadapolicy.org/bill-to-sharply-increase-state-property-tax-fails/
https://www.fox5vegas.com/2026/09/30/nevada-releases-2026-ballot-question-guide-ahead-general-election/
https://news3lv.com/news/election/nevadans-will-only-vote-on-two-statewide-ballot-questions-this-year-the-fewest-since-2012-voter-id-identification-abortion-rights</t>
        </is>
      </c>
    </row>
    <row r="30" ht="409" customHeight="1">
      <c r="A30" s="13" t="inlineStr">
        <is>
          <t>New Hampshire</t>
        </is>
      </c>
      <c r="B30" s="4" t="inlineStr">
        <is>
          <r>
            <rPr>
              <rFont val="Carlito"/>
              <b val="1"/>
              <sz val="14"/>
            </rPr>
            <t>F.</t>
          </r>
          <r>
            <rPr>
              <rFont val="Carlito"/>
              <sz val="11"/>
            </rPr>
            <t xml:space="preserve">
Restriction points 5.25 of 18 (spending limit 2; levy limit 2; supermajority 0.5; school districts covered 0.5; November-ballot rule 0.25). Deductions: built-in loopholes -1; workarounds in practice -1; state buydowns +0; data record -1. Total 2.25 = F (A 11+, B 8.5-10.9, C 5.5-8.4, D 3-5.4, F under 3).
Why: New Hampshire has no binding statewide limit: city charter caps cover a handful of cities and carry council overrides, RSA 32:5-b caps are local option, and the new RSA 32:5-i school levy cap applies only where three-fifths of voters adopt it and lasts two years. The record is among the worst in the nation: the highest property tax per person and the highest share of personal income (4.82% in FY2024), a 1.46% effective rate, and real per-person growth above the U.S. average both long-run and since FY2019.</t>
          </r>
        </is>
      </c>
      <c r="C30" s="4">
        <f>((LEFT(D30,3)="Yes")+(LEFT(E30,3)="Yes")+(LEFT(F30,3)="Yes")+(LEFT(G30,3)="Yes"))&amp;" of 4 in force"&amp;IF(((LEFT(D30,7)="Partial")+(LEFT(E30,7)="Partial")+(LEFT(F30,7)="Partial")+(LEFT(G30,7)="Partial"))&gt;0," + "&amp;((LEFT(D30,7)="Partial")+(LEFT(E30,7)="Partial")+(LEFT(F30,7)="Partial")+(LEFT(G30,7)="Partial"))&amp;" partial","")&amp;CHAR(10)&amp;CHAR(10)&amp;IF(LEFT(D30,3)="Yes","✓",IF(LEFT(D30,7)="Partial","◐","✗"))&amp;" Spending limit"&amp;CHAR(10)&amp;IF(LEFT(E30,3)="Yes","✓",IF(LEFT(E30,7)="Partial","◐","✗"))&amp;" Levy limit"&amp;CHAR(10)&amp;IF(LEFT(F30,3)="Yes","✓",IF(LEFT(F30,7)="Partial","◐","✗"))&amp;" Assessment cap"&amp;CHAR(10)&amp;IF(LEFT(G30,3)="Yes","✓",IF(LEFT(G30,7)="Partial","◐","✗"))&amp;" Rate cap"</f>
        <v/>
      </c>
      <c r="D30" s="4" t="inlineStr">
        <is>
          <r>
            <rPr>
              <rFont val="Carlito"/>
              <b val="1"/>
              <sz val="11"/>
            </rPr>
            <t>Partial.</t>
          </r>
          <r>
            <rPr>
              <rFont val="Carlito"/>
              <sz val="11"/>
            </rPr>
            <t xml:space="preserve">
No statewide limit. Local option only: several cities have charter tax or spending caps (among them Manchester, Nashua, Dover, Rochester and Laconia), usually tied to inflation and overridable by a supermajority of the city council or board of aldermen, and towns and school districts that use the official ballot ("SB 2") form of town meeting may adopt a tax cap by voter approval.
Under RSA 32:5-i (HB 1300, 2026), a school district that adopts the new two-year cap also limits central office (SAU) spending to 6% of total school district appropriations.
Authority: city charters; RSA 32:5-b (official ballot tax caps); RSA 32:5-i (HB 1300, 2026).</t>
          </r>
        </is>
      </c>
      <c r="E30" s="4" t="inlineStr">
        <is>
          <r>
            <rPr>
              <rFont val="Carlito"/>
              <b val="1"/>
              <sz val="11"/>
            </rPr>
            <t>Partial.</t>
          </r>
          <r>
            <rPr>
              <rFont val="Carlito"/>
              <sz val="11"/>
            </rPr>
            <t xml:space="preserve">
Only where a city charter cap, an RSA 32:5-b tax cap or the new RSA 32:5-i school district cap has been adopted; most towns and school districts have none today. HB 1300 (signed July 15, 2026) requires every town and city ward to vote at the Nov. 3, 2026 and November 2028 general elections on whether to cap its school district's levy. If three-fifths of voters approve, for two years the local school property tax levy may not grow beyond the prior year's amount adjusted for inflation and new construction, central office (SAU) spending may not exceed 6% of total school district appropriations, and bonded capital costs are excluded from both limits. The cap expires after two years and may be overridden by a three-fifths vote. In official ballot towns, if voters reject the proposed operating budget, a "default budget" (the prior year's budget plus contractual and legally required increases) takes effect, which limits the effect of a no vote.
Authority: RSA 32:5-b; RSA 32:5-i (HB 1300, 2026); RSA 40:13 (default budget).</t>
          </r>
        </is>
      </c>
      <c r="F30" s="4" t="inlineStr">
        <is>
          <r>
            <rPr>
              <rFont val="Carlito"/>
              <b val="1"/>
              <sz val="11"/>
            </rPr>
            <t>No.</t>
          </r>
          <r>
            <rPr>
              <rFont val="Carlito"/>
              <sz val="11"/>
            </rPr>
            <t xml:space="preserve">
No cap on assessed value growth. Municipalities assess at market value and must revalue at least every five years.
Authority: Part II, Art. 6 of the N.H. Constitution; RSA 75:8-a.</t>
          </r>
        </is>
      </c>
      <c r="G30" s="4" t="inlineStr">
        <is>
          <r>
            <rPr>
              <rFont val="Carlito"/>
              <b val="1"/>
              <sz val="11"/>
            </rPr>
            <t>No.</t>
          </r>
          <r>
            <rPr>
              <rFont val="Carlito"/>
              <sz val="11"/>
            </rPr>
            <t xml:space="preserve">
No limit on local tax rates. The state sets the rate of the Statewide Education Property Tax each year (see Statewide).</t>
          </r>
        </is>
      </c>
      <c r="H30" s="4" t="inlineStr">
        <is>
          <r>
            <rPr>
              <rFont val="Carlito"/>
              <b val="1"/>
              <sz val="11"/>
            </rPr>
            <t>Partial.</t>
          </r>
          <r>
            <rPr>
              <rFont val="Carlito"/>
              <sz val="11"/>
            </rPr>
            <t xml:space="preserve">
School district budgets are adopted at school district meetings or official ballot votes and fall under any locally adopted tax cap; there is no standing statewide limit. Under HB 1300 (2026), every school district's voters decide on Nov. 3, 2026 (and again in November 2028) whether to impose a two-year cap on the local school levy (prior year plus inflation and new construction, bonded capital costs excluded), which needs three-fifths to adopt and three-fifths to override.
Authority: RSA 32:5-b; RSA 32:5-i (HB 1300, 2026).</t>
          </r>
        </is>
      </c>
      <c r="I30" s="4" t="inlineStr">
        <is>
          <r>
            <rPr>
              <rFont val="Carlito"/>
              <b val="1"/>
              <sz val="11"/>
            </rPr>
            <t>Yes.</t>
          </r>
          <r>
            <rPr>
              <rFont val="Carlito"/>
              <sz val="11"/>
            </rPr>
            <t xml:space="preserve">
The Statewide Education Property Tax (SWEPT, 1999, created after the Claremont school-funding decisions) is levied at a uniform rate set by the state to raise $363 million a year. Municipalities collect it and keep it for their schools to pay part of the state-defined cost of an adequate education, so it reduces what the state would otherwise owe in aid. Since 2011, property-rich municipalities may keep SWEPT revenue above their adequacy cost ($26.3 million in more than two dozen communities in 2024), and the state sets negative local school rates in 21 places with no schoolchildren. In June 2025 the N.H. Supreme Court (Rand v. State) upheld that arrangement, reversing a 2023 trial court ruling. On July 1, 2025, in the ConVal case (joined by Manchester, Nashua and Concord school districts), the court held 3-2 that the state's education funding system is facially unconstitutional and upheld the trial court's minimum of $7,356 per pupil in base adequacy aid (against $4,100 at the time), but reversed the order requiring the state to pay about $538 million more at once, leaving the remedy to the Legislature. On Aug. 14, 2026 the Attorney General filed an appeal asking the Supreme Court to overturn the Claremont decisions. The state also taxes utility property directly. Census FY2022 state property tax revenue: about $407 million.
Authority: RSA 76:3; RSA 198:39-58; RSA 83-F (utility property tax).</t>
          </r>
        </is>
      </c>
      <c r="J30" s="4" t="inlineStr">
        <is>
          <r>
            <rPr>
              <rFont val="Carlito"/>
              <b val="1"/>
              <sz val="11"/>
            </rPr>
            <t>Partial.</t>
          </r>
          <r>
            <rPr>
              <rFont val="Carlito"/>
              <sz val="11"/>
            </rPr>
            <t xml:space="preserve">
No general homestead exemption. Local option exemptions for the elderly and disabled (amounts and income limits set by each town) and a veterans' tax credit (standard credit, with towns allowed to raise it) are available.
Authority: RSA 72:39-a (elderly), 72:37-b (disabled), 72:28 (veterans).</t>
          </r>
        </is>
      </c>
      <c r="K30" s="4" t="inlineStr">
        <is>
          <r>
            <rPr>
              <rFont val="Carlito"/>
              <b val="1"/>
              <sz val="11"/>
            </rPr>
            <t>Yes.</t>
          </r>
          <r>
            <rPr>
              <rFont val="Carlito"/>
              <sz val="11"/>
            </rPr>
            <t xml:space="preserve">
Low and Moderate Income Homeowners Property Tax Relief: a state refund of part of the SWEPT paid by owners with incomes below set limits. Local veterans' credits and elderly exemptions as above.
Authority: RSA 198:56-61.</t>
          </r>
        </is>
      </c>
      <c r="L30" s="4" t="inlineStr">
        <is>
          <r>
            <rPr>
              <rFont val="Carlito"/>
              <b val="1"/>
              <sz val="11"/>
            </rPr>
            <t>No.</t>
          </r>
          <r>
            <rPr>
              <rFont val="Carlito"/>
              <sz val="11"/>
            </rPr>
            <t xml:space="preserve">
No state program reimburses municipalities or school districts for lost property tax revenue or pays them to lower local rates. Adequacy aid and the statewide education property tax (SWEPT), which towns raise and keep, fund part of school costs as general school funding. The low- and moderate-income homeowners property tax relief program is an income-tested refund paid to owners and belongs in the Credits and rebates row.
Authority: RSA 198:38-198:42 (adequacy aid); RSA 76:3 (SWEPT); RSA 198:56-198:61 (low- and moderate-income relief).</t>
          </r>
        </is>
      </c>
      <c r="M30" s="4" t="inlineStr">
        <is>
          <r>
            <rPr>
              <rFont val="Carlito"/>
              <b val="1"/>
              <sz val="11"/>
            </rPr>
            <t>No.</t>
          </r>
          <r>
            <rPr>
              <rFont val="Carlito"/>
              <sz val="11"/>
            </rPr>
            <t/>
          </r>
        </is>
      </c>
      <c r="N30" s="4" t="inlineStr">
        <is>
          <r>
            <rPr>
              <rFont val="Carlito"/>
              <b val="1"/>
              <sz val="11"/>
            </rPr>
            <t>No.</t>
          </r>
          <r>
            <rPr>
              <rFont val="Carlito"/>
              <sz val="11"/>
            </rPr>
            <t xml:space="preserve">
No rollback after revaluation.</t>
          </r>
        </is>
      </c>
      <c r="O30" s="4" t="inlineStr">
        <is>
          <r>
            <rPr>
              <rFont val="Carlito"/>
              <b val="1"/>
              <sz val="11"/>
            </rPr>
            <t>Partial.</t>
          </r>
          <r>
            <rPr>
              <rFont val="Carlito"/>
              <sz val="11"/>
            </rPr>
            <t xml:space="preserve">
Bond and note issues over $100,000 require a two-thirds ballot vote at a traditional town or school district meeting and three-fifths in official ballot towns. Overrides of charter tax caps require supermajorities of city councils. The RSA 32:5-i school district cap needs three-fifths of voters to adopt and three-fifths to override. Operating budgets and RSA 32:5-b tax caps pass by simple majority.
Authority: RSA 33:8; RSA 32:5-i (HB 1300, 2026).</t>
          </r>
        </is>
      </c>
      <c r="P30" s="4" t="inlineStr">
        <is>
          <r>
            <rPr>
              <rFont val="Carlito"/>
              <b val="1"/>
              <sz val="11"/>
            </rPr>
            <t>Partial.</t>
          </r>
          <r>
            <rPr>
              <rFont val="Carlito"/>
              <sz val="11"/>
            </rPr>
            <t xml:space="preserve">
Town and school district meetings and budget votes are held in the spring (usually March). HB 1300 (2026) puts a local school district tax cap question on the November state general election ballot in every town and city ward in 2026 and 2028.
Authority: RSA 32:5-i (HB 1300, 2026).</t>
          </r>
        </is>
      </c>
      <c r="Q30" s="4" t="inlineStr">
        <is>
          <r>
            <rPr>
              <rFont val="Carlito"/>
              <b val="1"/>
              <sz val="11"/>
            </rPr>
            <t>No.</t>
          </r>
          <r>
            <rPr>
              <rFont val="Carlito"/>
              <sz val="11"/>
            </rPr>
            <t xml:space="preserve">
No statewide restriction on what the local property tax may fund. SWEPT revenue must go to schools.</t>
          </r>
        </is>
      </c>
      <c r="R30" s="4" t="inlineStr">
        <is>
          <t>10 counties; 13 cities and 221 towns; school districts (Census counts 166 independent school governments, including cooperative districts); village districts and other special districts (Census counts 128); unincorporated places. Census of Governments 2022: 538 local governments.</t>
        </is>
      </c>
      <c r="S30" s="4" t="inlineStr">
        <is>
          <t>Verdict: Failed. Property tax per person rose 36.4% after inflation from FY2002 to FY2024, above the U.S. 25.9%.
Why it leaks: New Hampshire has no statewide limit on local levies or rates. School districts levy more than 70% of local property taxes and faced no statewide cap before RSA 32:5-i (HB 1300, 2026). That cap applies only where three-fifths of voters adopt it, lasts two years, excludes bonded capital costs and can be overridden by the same three-fifths vote. Operating budgets pass by simple majority.
How localities get around it: Manchester, Nashua and other cities have charter caps whose override provisions councils and boards of aldermen use in tight years. In official ballot towns, voters who reject a budget still get a default budget that rises for contracts and legal obligations.
Full record:
New Hampshire has no standing statewide limit. Taxpayers rely on local votes and a few city charter caps with council overrides; a two-year local option school levy cap arrives Nov. 3, 2026, and only where three-fifths of voters adopt it. Property tax is 98% of local tax revenue (Census FY2022) because there is no broad-based state income or sales tax, and the Tax Foundation ranks the state 3rd overall but 44th on property tax.
The record (Census, BEA, ACS): state and local property tax was $4,066 per person in FY2024 (U.S. $2,132), 4.82% of personal income (1st-highest of 50; U.S. 2.89%). After inflation, collections per person (all state and local property tax divided by residents) rose 36.4% from FY2002 to FY2024 (U.S. +25.9%) and rose 3.6% from FY2019 to FY2024 (U.S. -1.1%). The median homeowner paid $6,707 in 2024 (U.S. $3,211); the median bill rose 0.0% after inflation from 2010 to 2024 (U.S. +9.3%). The Tax Foundation's 2026 ranking puts its effective property tax rate on owner-occupied homes at 1.50%, 46th-lowest of 50. By the same measure it was 1.64% in 2010 (U.S. 1.00% in 2010, 0.94% in 2024).
- Big cities: the charter caps in Manchester, Nashua, Dover, Rochester and Laconia carry override provisions that councils and boards of aldermen use in tight years.
- Default budget: a rejected budget in an official ballot town still allows increases for contracts and obligations.
- Schools: school districts account for more than 70% of local property taxes (Josiah Bartlett Center, Sept. 18, 2026), and none faced a statewide cap before RSA 32:5-i.
- Weak by design: the RSA 32:5-i cap lasts two years, excludes bonded capital costs and can be overridden by the same three-fifths vote that adopts it; the Josiah Bartlett Center called it "by national standards a relatively weak effort to place a temporary restraint on SAU spending growth."
- SWEPT design: property-rich towns keep excess SWEPT, which lowers their effective rate while others pay the full rate; the Supreme Court upheld this in 2025 over a dissent calling it "an unfortunate triumph of form over substance."
- Courts: the July 1, 2025 ConVal ruling pushes the state toward higher base adequacy aid ($7,356 per pupil minimum found by the trial court), which would move school costs onto state taxpayers without limiting local school spending.</t>
        </is>
      </c>
      <c r="T30" s="4" t="inlineStr">
        <is>
          <t>- Josiah Bartlett Center for Public Policy, Andrew Cline, "New Hampshire's first statewide chance to cap property tax growth comes in November" (Sept. 18, 2026). Explains the RSA 32:5-i question every town will vote on (levy capped at prior year plus inflation and new construction, SAU central office spending at 6% of appropriations, bonded capital excluded, three-fifths to adopt), notes school districts are more than 70% of local property taxes, and calls the two-year cap "by national standards a relatively weak effort to place a temporary restraint on SAU spending growth." https://jbartlett.org/2026/09/new-hampshires-first-statewide-chance-to-cap-property-tax-growth-comes-in-november/
- Josiah Bartlett Center for Public Policy, "Claremont's missing word" (Aug. 28, 2026). Backs the Attorney General's Aug. 14, 2026 appeal asking the Supreme Court to overturn the Claremont decisions, arguing the 1784 constitutional text on education does not require the state to fund 100% of the cost of an adequate education. https://jbartlett.org/2026/08/claremonts-missing-word/
- New Hampshire House Republican Caucus, "HOUSE REPUBLICANS APPLUAD GOV. AYOTTE FOR SIGNING TAXPAYER PROTECTION ACT" (posted Aug. 5, 2026). House Election Law Chairman Ross Berry (R-Weare) praises HB 1300, which puts a school district tax cap question on the 2026 and 2028 ballots, saying New Hampshire spends the fourth-most per pupil in the nation while families face "outrageous increases," and citing a UNH poll in which voters backed a school spending cap by more than 20 points. https://www.nhhousegop.com/press-releases/house-republicans-appluad-gov-ayotte-for-signing-taxpayer-protection-act/
- Josiah Bartlett Center for Public Policy, "Capping school district budget growth (and property taxes) the Massachusetts way" (July 29, 2026). Compares the HB 1300 school levy cap (prior year's base plus inflation plus new taxable property) with Massachusetts' Proposition 2 1/2, citing a Tax Foundation analysis that Massachusetts local tax revenues more than doubled from 1984 to 2024 after adjusting for inflation and population, and a Jared Walczak study for the Fiscal Alliance Foundation finding the cap helped cut the effective property tax rate by two-thirds ($6,896 on the median home against $24,613 at pre-cap rates); calls HB 1300 weaker because it is voluntary and covers only school districts, and says "even high caps work to restrain property tax growth." https://jbartlett.org/2026/07/capping-school-district-budget-growth-and-property-taxes-the-massachusetts-way/
- Americans for Prosperity-New Hampshire, statement on HB 1300 (July 15, 2026, as reported by InDepthNH). Praised the law, "which lets Granite Staters decide whether to cap school property tax hikes and rein in administrative overhead." https://indepthnh.org/2026/07/15/ayotte-signs-20-bills-including-the-controversial-local-school-budget-cap-hb-1300/
- Josiah Bartlett Center for Public Policy, Andrew Cline, "An income tax for New Hampshire? Delaware &amp; Connecticut offer a warning" (March 3, 2026). Answers Andru Volinsky's plan for a 3% income tax paired with a 3% statewide property tax, pitched as property tax relief, by noting that future legislatures and local governments could not be compelled to pass the money through as property tax cuts; recounts Delaware's income tax climbing from 1% in 1917 to 19.8% in 1974, and notes that Connecticut's 1991 income tax was sold as a solution to high property taxes while its property tax burden now ranks third-highest in the country. https://jbartlett.org/2026/03/an-income-tax-for-new-hampshire-delaware-connecticut-offer-a-warning/
- Josiah Bartlett Center for Public Policy, Andrew Cline, "How both sides lost the ConVal school funding case" (July 1, 2025). Says the Supreme Court's $7,356.01 per-pupil adequacy minimum leaves the state only $247.22 per pupil ($37.6 million) above what it committed for fiscal 2026 by the Center's count, an amount a slight increase in the Statewide Education Property Tax could cover after the court upheld that tax; faults the ruling for leaving the Claremont interpretation intact. https://jbartlett.org/2025/07/how-both-sides-lost-the-conval-school-funding-case/
- Josiah Bartlett Center for Public Policy, Andrew Cline, "Per-pupil spending in NH nearly doubles from 2001-2024 as district public schools spend $1.25 billion more on 54,000 fewer students" (June 4, 2025). Center study finds district school spending rose an inflation-adjusted $1.25 billion (45%) from 2001 to 2024 as enrollment fell by 54,381 students (26%), lifting per-pupil spending 96% to $26,347; administrator positions grew 78% while average teacher salaries rose 8% after inflation. https://jbartlett.org/2025/06/per-pupil-spending-in-nh-nearly-doubles-from-2001-2024-as-district-public-schools-spend-1-25-billion-more-on-54000-fewer-students/
- Josiah Bartlett Center for Public Policy, Andrew Cline, "Legislators vote to strengthen local tax caps, especially for school districts" (May 10, 2024). Backs SB 383, which lets town and school district tax caps cover all warrant articles with a tax impact and lets school district caps track inflation times enrollment; cites the Center's finding that districts lost 29,946 students from 2001 to 2019 while raising spending by an inflation-adjusted $937 million, and says the bill would make tax caps "a more powerful and more appealing tool for taxpayers." https://jbartlett.org/2024/05/legislators-vote-to-strengthen-local-tax-caps-especially-for-school-districts/
- Libertarian Policy Foundation (State Policy Network associate): no property tax report since 2021 was found (site search blocked; web search found none).
- Ludlow Institute (State Policy Network associate): no property tax report since 2021 was found.
Linked list: 9 items on the Analyses sheet (filter State = New Hampshire); every source URL is linked on the Sources sheet.</t>
        </is>
      </c>
      <c r="U30" s="4" t="inlineStr">
        <is>
          <t>1999: SWEPT created after Claremont II. 2011: towns allowed to keep excess SWEPT.
2023: Superior Court ruled excess SWEPT retention unconstitutional (Rand); reversed by the N.H. Supreme Court in June 2025.
July 1, 2025: N.H. Supreme Court (ConVal, 3-2) held the school funding system facially unconstitutional and upheld a $7,356 per-pupil base adequacy minimum, but reversed the trial court's order to pay about $538 million more at once.
July 15, 2026: Gov. Kelly Ayotte signed HB 1300 (RSA 32:5-i), requiring a local school district tax cap question in every town and city ward at the November 2026 and November 2028 general elections (three-fifths to adopt; two-year cap of prior-year levy plus inflation and new construction; SAU central office spending capped at 6% of district appropriations; bonded capital costs excluded). Merrimack Superior Court Justice Dan St. Hilaire rejected a suit seeking to block the 2026 ballot question (Josiah Bartlett Center).
Aug. 14, 2026: the Attorney General filed an appeal asking the Supreme Court to overturn the Claremont decisions.
Nov. 3, 2026: local school tax cap questions on every town and ward ballot under RSA 32:5-i. The only statewide measure certified is a constitutional amendment eliminating the register of probate; a proposed amendment requiring a two-thirds legislative vote for any new broad-based tax did not reach the ballot.</t>
        </is>
      </c>
      <c r="V30" s="4" t="inlineStr">
        <is>
          <t>46th (1.50% effective rate; 1.64% in 2010)</t>
        </is>
      </c>
      <c r="W30" s="4" t="inlineStr">
        <is>
          <t>New Hampshire has no standing statewide spending, levy, assessment or rate cap; limits exist in some city charters and official ballot towns, and from Nov. 3, 2026 each school district's voters decide whether to adopt a two-year school levy cap under RSA 32:5-i. The state levies SWEPT for schools and lets towns keep it locally, including the excess in property-rich towns. With no income or sales tax, the property tax carries almost all local revenue.</t>
        </is>
      </c>
      <c r="X30" s="4" t="inlineStr">
        <is>
          <t>https://www.nhbr.com/nh-supreme-court-rules-wealthy-municipalities-can-keep-excess-education-property-tax/
https://www.concordmonitor.com/2025/06/10/new-hampshire-supreme-court-ruling-rand-v-nh-education-funding-61692049/
https://indepthnh.org/2025/06/14/nh-supreme-court-decision-takes-lawmakers-off-the-hook/
https://www2.census.gov/programs-surveys/gov-finances/tables/2022/22slsstab1.xlsx
https://www.nhpr.org/politics/2026-07-15/ayotte-signs-bill-local-school-tax-cap-question-november-ballot
https://indepthnh.org/2026/07/15/ayotte-signs-20-bills-including-the-controversial-local-school-budget-cap-hb-1300/
https://news.bloombergtax.com/daily-tax-report-state/new-hampshire-requires-school-district-property-tax-cap-vote
https://jbartlett.org/2026/09/new-hampshires-first-statewide-chance-to-cap-property-tax-growth-comes-in-november/
https://jbartlett.org/2026/08/claremonts-missing-word/
https://indepthnh.org/2025/07/01/nh-supreme-court-sides-with-school-districts-on-adequate-funding/
https://ballotpedia.org/New_Hampshire_2026_ballot_measures</t>
        </is>
      </c>
    </row>
    <row r="31" ht="409" customHeight="1">
      <c r="A31" s="13" t="inlineStr">
        <is>
          <t>New Jersey</t>
        </is>
      </c>
      <c r="B31" s="4" t="inlineStr">
        <is>
          <r>
            <rPr>
              <rFont val="Carlito"/>
              <b val="1"/>
              <sz val="14"/>
            </rPr>
            <t>D.</t>
          </r>
          <r>
            <rPr>
              <rFont val="Carlito"/>
              <sz val="11"/>
            </rPr>
            <t xml:space="preserve">
Restriction points 9.75 of 18 (spending limit 4; levy limit 4; rollback 0.5; school districts covered 1; November-ballot rule 0.25). Deductions: built-in loopholes -2; workarounds in practice -1; state buydowns -1.5; data record +0. Total 5.25 = D (A 11+, B 8.5-10.9, C 5.5-8.4, D 3-5.4, F under 3).
Why: New Jersey has binding statewide limits (the 2% levy cap and the 1976 appropriations cap), and real per-person collections fell 14.8% from FY2019 to FY2024, among the slowest in the nation. The burden stays among the nation's highest: 4.28% of personal income and a 1.89% effective rate in 2024.</t>
          </r>
        </is>
      </c>
      <c r="C31" s="4">
        <f>((LEFT(D31,3)="Yes")+(LEFT(E31,3)="Yes")+(LEFT(F31,3)="Yes")+(LEFT(G31,3)="Yes"))&amp;" of 4 in force"&amp;IF(((LEFT(D31,7)="Partial")+(LEFT(E31,7)="Partial")+(LEFT(F31,7)="Partial")+(LEFT(G31,7)="Partial"))&gt;0," + "&amp;((LEFT(D31,7)="Partial")+(LEFT(E31,7)="Partial")+(LEFT(F31,7)="Partial")+(LEFT(G31,7)="Partial"))&amp;" partial","")&amp;CHAR(10)&amp;CHAR(10)&amp;IF(LEFT(D31,3)="Yes","✓",IF(LEFT(D31,7)="Partial","◐","✗"))&amp;" Spending limit"&amp;CHAR(10)&amp;IF(LEFT(E31,3)="Yes","✓",IF(LEFT(E31,7)="Partial","◐","✗"))&amp;" Levy limit"&amp;CHAR(10)&amp;IF(LEFT(F31,3)="Yes","✓",IF(LEFT(F31,7)="Partial","◐","✗"))&amp;" Assessment cap"&amp;CHAR(10)&amp;IF(LEFT(G31,3)="Yes","✓",IF(LEFT(G31,7)="Partial","◐","✗"))&amp;" Rate cap"</f>
        <v/>
      </c>
      <c r="D31" s="4" t="inlineStr">
        <is>
          <r>
            <rPr>
              <rFont val="Carlito"/>
              <b val="1"/>
              <sz val="11"/>
            </rPr>
            <t>Yes.</t>
          </r>
          <r>
            <rPr>
              <rFont val="Carlito"/>
              <sz val="11"/>
            </rPr>
            <t xml:space="preserve">
Local Government Cap Law (1976): county and municipal appropriations may grow no more than the lesser of 2.5% or an inflation index (the cost-of-living adjustment). A governing body may go up to 3.5% by ordinance or resolution and bank unused capacity for two years. Excluded: debt service, prior-year deficits, spending funded by taxes on new construction, certain fees and grants, and a long list of other items.
Authority: N.J.S.A. 40A:4-45.1 et seq.</t>
          </r>
        </is>
      </c>
      <c r="E31" s="4" t="inlineStr">
        <is>
          <r>
            <rPr>
              <rFont val="Carlito"/>
              <b val="1"/>
              <sz val="11"/>
            </rPr>
            <t>Yes.</t>
          </r>
          <r>
            <rPr>
              <rFont val="Carlito"/>
              <sz val="11"/>
            </rPr>
            <t xml:space="preserve">
2% property tax levy cap (2010): counties, municipalities, school districts and fire districts may raise the amount of property tax they levy by no more than 2% a year. Excluded: increases in pension contributions above 2%, health care cost increases above set thresholds, debt service, capital spending, declared emergencies and, for schools, enrollment growth. Unused capacity may be banked for three years. Voters may approve a larger increase at referendum by simple majority; in Type I school districts the board of school estimate decides. A4161 (signed May 2024) let school districts facing state aid reductions in 2024-2025 request levy increases above the 2% cap, alongside a $44.7 million Stabilized School Budget Aid Grant Program.
Authority: N.J.S.A. 40A:4-45.45 (municipalities and counties); N.J.S.A. 18A:7F-38 (school districts); P.L. 2010, c. 44; A4161 (2024).</t>
          </r>
        </is>
      </c>
      <c r="F31" s="4" t="inlineStr">
        <is>
          <r>
            <rPr>
              <rFont val="Carlito"/>
              <b val="1"/>
              <sz val="11"/>
            </rPr>
            <t>No.</t>
          </r>
          <r>
            <rPr>
              <rFont val="Carlito"/>
              <sz val="11"/>
            </rPr>
            <t xml:space="preserve">
No cap on assessed value growth. Municipalities assess at a percentage of market value adjusted by county equalization ratios; full revaluations occur irregularly, and some counties now use annual reassessment.</t>
          </r>
        </is>
      </c>
      <c r="G31" s="4" t="inlineStr">
        <is>
          <r>
            <rPr>
              <rFont val="Carlito"/>
              <b val="1"/>
              <sz val="11"/>
            </rPr>
            <t>No.</t>
          </r>
          <r>
            <rPr>
              <rFont val="Carlito"/>
              <sz val="11"/>
            </rPr>
            <t xml:space="preserve">
No limit on property tax rates; the levy and appropriations caps limit dollars.</t>
          </r>
        </is>
      </c>
      <c r="H31" s="4" t="inlineStr">
        <is>
          <r>
            <rPr>
              <rFont val="Carlito"/>
              <b val="1"/>
              <sz val="11"/>
            </rPr>
            <t>Yes.</t>
          </r>
          <r>
            <rPr>
              <rFont val="Carlito"/>
              <sz val="11"/>
            </rPr>
            <t xml:space="preserve">
School district levies are subject to the 2% cap, with extra exclusions for enrollment growth. Since 2012, districts that moved their elections to November no longer put budgets within the cap to voters at all, and most districts moved; P.L.2023, c.289 (2024) ended the within-cap budget vote in the remaining April districts too. A4161 (2024) let districts losing state aid in 2024-2025 under the school funding formula's phase-in request levy increases above the cap.
Authority: N.J.S.A. 18A:7F-38; P.L. 2011, c. 202; P.L. 2023, c. 289; A4161 (2024).</t>
          </r>
        </is>
      </c>
      <c r="I31" s="4" t="inlineStr">
        <is>
          <r>
            <rPr>
              <rFont val="Carlito"/>
              <b val="1"/>
              <sz val="11"/>
            </rPr>
            <t>No.</t>
          </r>
          <r>
            <rPr>
              <rFont val="Carlito"/>
              <sz val="11"/>
            </rPr>
            <t xml:space="preserve">
No state property tax.</t>
          </r>
        </is>
      </c>
      <c r="J31" s="4" t="inlineStr">
        <is>
          <r>
            <rPr>
              <rFont val="Carlito"/>
              <b val="1"/>
              <sz val="11"/>
            </rPr>
            <t>Partial.</t>
          </r>
          <r>
            <rPr>
              <rFont val="Carlito"/>
              <sz val="11"/>
            </rPr>
            <t xml:space="preserve">
No general homestead exemption. A $250 annual deduction applies for qualifying seniors, disabled residents and veterans; veterans with a 100% service-connected disability are fully exempt. Most relief comes through state programs (see Credits).
Authority: N.J.S.A. 54:4-8.40 et seq.; 54:4-3.30.</t>
          </r>
        </is>
      </c>
      <c r="K31" s="4" t="inlineStr">
        <is>
          <r>
            <rPr>
              <rFont val="Carlito"/>
              <b val="1"/>
              <sz val="11"/>
            </rPr>
            <t>Yes.</t>
          </r>
          <r>
            <rPr>
              <rFont val="Carlito"/>
              <sz val="11"/>
            </rPr>
            <t xml:space="preserve">
All state-funded. The FY2027 Appropriations Act (signed June 30, 2026) budgets over $4.1 billion for property tax relief, including:
- ANCHOR ($2.186 billion): annual property tax relief payments to homeowners (up to $1,500 for incomes up to $150,000, smaller amounts up to $250,000) and renters, with extra amounts for seniors.
- Senior Freeze, or Property Tax Reimbursement ($345 million): reimburses eligible seniors and disabled residents for increases above their base-year tax.
- Stay NJ ($756 million; enacted 2023, first benefits in 2026): pays homeowners 65 and older half of their property tax bill, combined with ANCHOR and Senior Freeze. Changes adopted with the FY2027 budget cap income eligibility at $200,000 (down from $500,000) and set tiered maximums: $6,500 for income of $100,000 or less, $5,000 for more than $100,000 up to $150,000, and $4,000 for more than $150,000 up to $200,000.
Authority: FY2027 Appropriations Act (2026); Stay NJ law (2023).</t>
          </r>
        </is>
      </c>
      <c r="L31" s="4" t="inlineStr">
        <is>
          <r>
            <rPr>
              <rFont val="Carlito"/>
              <b val="1"/>
              <sz val="11"/>
            </rPr>
            <t>Partial.</t>
          </r>
          <r>
            <rPr>
              <rFont val="Carlito"/>
              <sz val="11"/>
            </rPr>
            <t xml:space="preserve">
- The state reimburses municipalities for the $250 annual property tax deductions granted to qualifying veterans and surviving spouses and to low-income seniors and disabled homeowners. The FY2027 budget appropriates $34.1 million ($28.5 million veterans, $5.6 million senior and disabled).
- Smaller payments reach only some municipalities: open space payments in lieu of taxes for land held by the state and nonprofit conservation groups ($8.0 million) and Highlands watershed moratorium offset aid ($2.2 million).
ANCHOR and Senior Freeze benefits are paid to owners, as is Stay NJ, which pays eligible seniors up to half of their property tax in installments ($756 million in FY2027). School aid and municipal aid such as Energy Tax Receipts Property Tax Relief Aid are general aid, so these programs do not count under this test.
Authority: N.J. Const. art. VIII, §I, ¶3; N.J.S.A. 54:4-8.10 et seq.; N.J.S.A. 54:4-8.40 et seq.; N.J.S.A. 13:8C-29, -30; P.L.2004, c.120; FY2027 Appropriations Act (signed June 30, 2026).</t>
          </r>
        </is>
      </c>
      <c r="M31" s="4" t="inlineStr">
        <is>
          <r>
            <rPr>
              <rFont val="Carlito"/>
              <b val="1"/>
              <sz val="11"/>
            </rPr>
            <t>No.</t>
          </r>
          <r>
            <rPr>
              <rFont val="Carlito"/>
              <sz val="11"/>
            </rPr>
            <t/>
          </r>
        </is>
      </c>
      <c r="N31" s="4" t="inlineStr">
        <is>
          <r>
            <rPr>
              <rFont val="Carlito"/>
              <b val="1"/>
              <sz val="11"/>
            </rPr>
            <t>Partial.</t>
          </r>
          <r>
            <rPr>
              <rFont val="Carlito"/>
              <sz val="11"/>
            </rPr>
            <t xml:space="preserve">
No certified rollback rate. The 2% cap limits the levy in dollars, so rates fall as values rise unless the cap is exceeded under its exclusions or by referendum.</t>
          </r>
        </is>
      </c>
      <c r="O31" s="4" t="inlineStr">
        <is>
          <r>
            <rPr>
              <rFont val="Carlito"/>
              <b val="1"/>
              <sz val="11"/>
            </rPr>
            <t>No.</t>
          </r>
          <r>
            <rPr>
              <rFont val="Carlito"/>
              <sz val="11"/>
            </rPr>
            <t xml:space="preserve">
Levy cap overrides pass by simple majority of voters.</t>
          </r>
        </is>
      </c>
      <c r="P31" s="4" t="inlineStr">
        <is>
          <r>
            <rPr>
              <rFont val="Carlito"/>
              <b val="1"/>
              <sz val="11"/>
            </rPr>
            <t>Partial.</t>
          </r>
          <r>
            <rPr>
              <rFont val="Carlito"/>
              <sz val="11"/>
            </rPr>
            <t xml:space="preserve">
School districts may hold their elections in November, and those that do no longer submit budgets within the cap to voters; questions to exceed the cap may still go to a vote. Since 2024 (P.L. 2023, c. 289) April districts also vote only on spending above the cap. Municipal referenda follow the election calendar.
Authority: P.L. 2011, c. 202.</t>
          </r>
        </is>
      </c>
      <c r="Q31" s="4" t="inlineStr">
        <is>
          <r>
            <rPr>
              <rFont val="Carlito"/>
              <b val="1"/>
              <sz val="11"/>
            </rPr>
            <t>No.</t>
          </r>
          <r>
            <rPr>
              <rFont val="Carlito"/>
              <sz val="11"/>
            </rPr>
            <t xml:space="preserve">
No statewide restriction on what the general property tax may fund.</t>
          </r>
        </is>
      </c>
      <c r="R31" s="4" t="inlineStr">
        <is>
          <t>21 counties; 564 municipalities (Census counts 323 municipal and 241 township governments); 521 independent school districts and 72 school systems dependent on municipalities; fire districts and other special districts (Census counts 222, including housing authorities and utility and parking authorities, most of which levy no tax). Census of Governments 2022: 1,328 local governments.</t>
        </is>
      </c>
      <c r="S31" s="4" t="inlineStr">
        <is>
          <t>Verdict: Failed. Property tax per person rose 12.0% after inflation from FY2002 to FY2024, less than the U.S. 25.9%, but New Jersey started from the top: it ranked first or second among the states in every year of the record, and in FY2024 it collected $3,665 per person against $2,132 nationally. The median homeowner paid $9,358 in 2024, nearly three times the U.S. median of $3,211, and the 1.88% effective rate is the highest in the country (Tax Foundation 2026).
Why it leaks: The greatest weakness of New Jersey's property tax caps is their treatment of pension and health care costs, which are among the largest and fastest-growing expenses facing local governments. By allowing qualifying increases in these costs to fall outside the caps, the state exempts significant drivers of local spending growth from its taxpayer protections. As pension obligations and employee health benefit costs continue to rise, local governments can pass much of that burden on to property taxpayers without being fully constrained by the statutory limits. Pension contributions are largely dictated by state-administered retirement systems, while employee health benefits are heavily influenced by state regulations, collective bargaining agreements, and statewide insurance costs. When the State Health Benefits Program raised local premiums 36.2% for 2026, the cap let every participating town levy 34.2 points of that increase outside the 2% limit. Debt service and capital spending are excluded as well.
Trenton's pension bill: The benefits that drive these costs are written into state law. Police and firefighters may retire after 25 years at any age on 65% to 70% of final pay, and an accidental disability pension pays two-thirds of salary (N.J.S.A. 43:16A). The state pension systems compute each town's contribution and bill it; the town must pay by April 1 and cannot negotiate the amount. Local employer pension bills rose from about $1.72 billion in FY2011 to $3.04 billion in FY2027 (+77%), and local governments still owe about $25.8 billion in unfunded pension liability. Responsibility for that part of every New Jersey property tax bill lies with the Legislature and the governors who signed these benefits into law.
Full record:
The 2% levy cap slowed levy growth after 2010, but wide exclusions and billions in state rebate money let New Jersey keep some of the highest property taxes in the country (Tax Foundation ranks it 42nd on property tax and 49th overall).
The record (Census, BEA, ACS): state and local property tax was $3,665 per person in FY2024 (U.S. $2,132), 4.28% of personal income (3rd-highest of 50; U.S. 2.89%). After inflation, collections per person (all state and local property tax divided by residents) rose 12.0% from FY2002 to FY2024 (U.S. +25.9%) and fell 14.8% from FY2019 to FY2024 (U.S. -1.1%). The median homeowner paid $9,358 in 2024 (U.S. $3,211); the median bill fell 4.7% after inflation from 2010 to 2024 (U.S. +9.3%). The Tax Foundation's 2026 ranking puts its effective property tax rate on owner-occupied homes at 1.88%, 50th-lowest of 50. By the same measure it was 1.69% in 2010 (U.S. 1.00% in 2010, 0.94% in 2024). The FY2024 Census figure is a sample estimate with a 12% coefficient of variation.
- Exclusions: pension and health benefit increases above 2%, debt service and capital spending sit outside the cap, so bills can rise well above 2%. In the latest municipal budgets these costs take 34% to 46% of the general budget in Hoboken, Edison, Jersey City, Paterson, Newark and Trenton (see Recent reforms). The statewide municipal levy rose 42.4% from 2011 to 2025, against 31.9% for 2% a year.
- Pensions set in Trenton: benefit formulas are state law and the state pension systems bill each employer; local pension bills rose from about $1.72 billion in FY2011 to $3.04 billion in FY2027.
- Banked capacity: governments carry unused cap room forward three years.
- Cap waivers: A4161 (May 2024) let school districts facing state aid cuts request levy increases above the cap for 2024-2025.
- School budgets: districts that moved elections to November (P.L.2011, c.202) and, since 2024, April districts too (P.L.2023, c.289) adopt budgets within the cap without a vote.
- Abatements: municipalities grant PILOT agreements (payments in lieu of taxes) on new development under the Long Term Tax Exemption Law; the municipality keeps most of the payment while schools and the county get little or nothing. A Jersey City audit found the city had been losing $16.4 million a year since 2016 to inaccurate payments under its abatement agreements (NJBIZ, Feb. 12, 2020).
- State money: the FY2027 budget puts over $4.1 billion into ANCHOR, Senior Freeze and Stay NJ, shifting local tax bills onto state taxpayers. The Common Sense Institute (Aug. 6, 2026) excluded ANCHOR from its national relief ranking because "the state's general fund pays for the relief, resulting in no net tax savings."
Property tax is 98% of local tax revenue (Census FY2022).</t>
        </is>
      </c>
      <c r="T31" s="4" t="inlineStr">
        <is>
          <t>- New Jersey Policy Institute, Aiden DeMarsey, "The New Jersey School Funding Crisis: A Problem in Need of Solutions" (Aug. 28, 2026). A former Evesham school board member writes that 2018 changes to the School Funding Reform Act (S2) left about a third of the state's 590 operating districts with a cumulative $600 million aid decrease, and that Trenton's one answer was a one-year suspension of the 2% cap, after which districts chose tax hikes that in some cases "reached over $1,000 on the average household." He calls for replacing the formula with a system modeled on peer states. https://newjerseypolicyinstitute.org/2026/08/the-new-jersey-school-funding-crisis-a-problem-in-need-of-solutions/
- Common Sense Institute, "Iowa Leads the Nation in Property Tax Relief: Ranking State Reforms of the Past Decade" (Aug. 6, 2026). Ranks state property tax reforms from 2016 through 2026 by net savings; it puts ANCHOR at about $2.3 billion in FY2027 but excludes it entirely because "the state's general fund pays for the relief, resulting in no net tax savings," adding: "Were the tax savings not backfilled, this reform would put New Jersey in the number one rank." https://archive.commonsenseinstituteus.org/iowa/research/taxes-and-fees/iowa-leads-the-nation-in-property-tax-relief-ranking-state-reforms-of-the-past-decade
- Garden State Initiative, Christian Barnard, "Rebalancing the Scales: How to Achieve a Fairer, More Transparent School Funding Formula in New Jersey" (Feb. 24, 2026). Finds New Jersey third nationally in K-12 funding at $26,990 per student, with Local Fair Share assumptions that grew faster than the 2% levy cap for nearly all districts in FY25, and FY26 aid caps that gave 192 districts $396 million more than the formula and 284 districts $383 million less. Recommends keeping the 2% cap, which it says "has shielded local taxpayers" since 2010, and aligning local share growth with it. https://www.gardenstateinitiative.org/app/uploads/2026/02/GSI-School-Funding-2.26.pdf
- Garden State Initiative, Regina M. Egea, "Governor's Budget Insufficient to Improve Business Climate, Won't Reduce Property Taxes" (Feb. 28, 2023). Says the FY2024 budget "seeks to once again paper over the unabated and accelerating growth in spending with a temporary and targeted rebate program," and blames record property taxes on letting the 2% arbitration cap expire and on public employee health costs. https://www.gardenstateinitiative.org/press-release/gsis-egea-governors-budget-insufficient-to-improve-business-climate-wont-reduce-property-taxes/
- Garden State Initiative, Regina M. Egea, "New Jersey needs a plan to slay its property tax dragon" (June 30, 2022). Finds New Jersey spends over $67 billion to sustain "local control," $31.4 billion of it from property tax, and that 60% to 70% of bills (over $43 billion) pays salary, health and pension costs for about 350,000 public employees; of $40.2 billion in K-12 spending, $26 billion is salaries and benefits. https://www.gardenstateinitiative.org/op-ed/new-jersey-needs-a-plan-to-slay-its-property-tax-dragon/
- Jersey 1st, "Recycled rebate checks can't paper over need for real reform" (June 16, 2022). Calls ANCHOR "a recycled gimmick" dating to Gov. Brendan Byrne in 1977, noting the average bill was $4,000 when the SAVER rebate began in 1999 and is over $9,300 today; it argues relief requires changing the school funding formula, which leaves suburban districts leaning on local property taxpayers. https://jersey1st.org/recycled-rebate-checks-cant-paper-over-need-for-real-reform-opinion/
Linked list: 7 items on the Analyses sheet (filter State = New Jersey); every source URL is linked on the Sources sheet.</t>
        </is>
      </c>
      <c r="U31" s="4" t="inlineStr">
        <is>
          <t>1976: THE CAP LAW, THE INCOME TAX AND HOMESTEAD REBATES
The Local Government Cap Law (P.L.1976, c.68) limited municipal appropriations and county tax levies to 5% growth from 1977. Debt service, spending funded by new construction, declared emergencies, new state mandates and spending approved by referendum were excluded. The law was temporary at first; P.L.1990, c.89 made it permanent at the lesser of 5% or an inflation index, and the FY2005 budget law (P.L.2004, c.74) cut it to the lesser of 2.5% or the cost-of-living adjustment, with 3.5% allowed by ordinance and unused room banked for two years.
State subsidy: the cap arrived with New Jersey's first broad income tax (P.L.1976, c.47), passed after the Robinson v. Cahill school funding rulings closed the schools. Voters dedicated every dollar of it to "reducing or offsetting property taxes" (N.J. Const. art. VIII, §I, ¶7, Nov. 1976). Gov. Brendan Byrne put the first year's relief at $750 million, mostly $374 million in added school aid and homestead rebate checks averaging $190 to 1.4 million homeowners under the Homestead Rebate Act (P.L.1976, c.72), whose cost the Senate committee estimated at about $340 million. The income tax raised $710 million in FY1977 (Census). From the start, state taxes paid part of local bills while the cap restrained only their growth.
2007: THE 4% LEVY CAP AND BIGGER REBATES
P.L.2007, c.62 capped growth in the property tax levies of municipalities, counties and school districts at 4%. Excluded: all debt service, certain pension contributions, health cost growth above 4% (up to the state health plan's increase) and replacement of cuts in state aid; schools could also add enrollment growth. The Local Finance Board could waive the cap for energy, insurance, mandates or "any purpose ... the board deems essential," the Education Commissioner had his own waivers, and voters could override by 60%.
State subsidy: the same law roughly tripled homestead rebates, to 20% of the first $10,000 of tax (up to $2,000) for incomes up to $100,000, with floors of up to $1,200 for seniors. The average non-senior rebate rose from $316 in FY2007 to $998 in FY2008, and direct taxpayer relief reached $2.85 billion in FY2008 (FY2009 Budget in Brief).
2010: THE 2% LEVY CAP
P.L.2010, c.44 (July 13, 2010) cut the cap to 2% for municipalities, counties, fire districts, solid waste districts and school districts, ended the Local Finance Board waivers and let voters override by simple majority. What it still excludes (N.J.S.A. 40A:4-45.45; 18A:7F-38):
- Debt service and capital spending: any increase in the amount raised for capital, including principal and interest on bonds, sits outside the cap, so a town that borrows may raise the levy to repay it without limit. Municipalities reported $28.1 billion in gross debt and about $1.46 billion in budgeted debt service in 2025 (DCA user-friendly budgets).
- Pensions: increases above 2% in the contributions the state pension systems bill to each employer. Those bills rose from about $1.72 billion in FY2011 to $3.04 billion in FY2027.
- Health care: increases above 2%, up to the State Health Benefits Program's average increase. Local premiums rose 7.4% for 2024, 16.4% for 2025, 36.2% for 2026 and 22.1% for 2027, about doubling in four years, and each year's excess passed outside the cap.
- Also excluded: costs of declared emergencies and, for schools, enrollment growth. Unused cap room banks for three years.
How large the excluded costs are, in the latest municipal budgets (pension contributions, employee and retiree health benefits and debt service, as a share of the general budget; DCA user-friendly budget data and state pension bills):
- Hoboken (2026): 45.7% (pensions 10.2%, health 22.7%, debt 12.8%).
- Edison (2026): 39.0% (pensions 10.7%, health 22.4%, debt 5.9%).
- Jersey City (2025): 37.1% (pensions 9.3%, health 17.9%, debt 9.9%).
- Paterson (2023): 35.8% (pensions 11.0%, health 21.1%, debt 3.6%).
- Newark (2024): 34.7% (pensions 8.8%, health 17.8%, debt 8.1%).
- Trenton (2025): 33.6% (pensions 9.4%, health 17.6%, debt 6.6%).
The result: the statewide municipal levy rose 42.4% from 2011 to 2025, 2.6% a year, against 31.9% for 2% compounded, and the total levy rose from $25.65 billion to $36.15 billion (DCA). P.L.2010, c.105 capped police and fire arbitration awards at 2%, but that cap expired at the end of 2017. P.L.2011, c.78 raised employee pension and health contributions and suspended pension cost-of-living increases.
State subsidy: Gov. Chris Christie cut direct relief while imposing the cap. The $1.118 billion Homestead Rebate became a smaller bill credit, direct property tax relief fell from $1.73 billion in FY2010 to $852 million in FY2011, municipal aid fell from $1.91 billion to $1.46 billion, and Senior Freeze closed to new applicants (FY2011 Budget in Brief).
2011: NOVEMBER SCHOOL ELECTIONS WITHOUT BUDGET VOTES
P.L.2011, c.202 (signed Jan. 17, 2012) let school districts move board elections from April to November. A district that moves no longer puts its general fund tax levy to voters at all, provided the levy stays within its "adjusted tax levy": the prior levy grown by the 2% cap, plus allowances for enrollment growth and for health and pension increases above 2%, plus cap room banked from the prior three years (debt service is levied separately). Only spending above that amount goes to voters, as a separate question, and the district may not move back for four years. About 538 districts held April budget votes in 2011; 25 did in 2014. P.L.2023, c.289 (2024) removed the base budget vote from the remaining April districts as well, so no New Jersey voter now approves a school budget that stays within cap. Schools take the largest share of the bill: $5,516 of the $10,570 average residential tax in 2025 (DCA).
State subsidy: none. The law changed who votes on school budgets and left their funding untouched.
STAY NJ
Stay NJ (P.L.2023, c.75) pays homeowners 65 and older half of their property tax bill, up to $6,500 in 2026, in place of ANCHOR and Senior Freeze when it is larger. The law set the income limit below $500,000 and indexes the maximum to growth in the average residential bill, so the subsidy ceiling rises with local taxes. The state pays it by quarterly check, about 430,000 of them in 2026; the levy and the bill itself do not change. The Office of Legislative Services estimated the first-year cost at $2.1 billion to $2.4 billion, or $1.2 billion to $1.7 billion after ANCHOR and Senior Freeze savings. The FY2027 budget cut the income limit to $200,000, set maximums of $6,500, $5,000 and $4,000 by income and funded it at $756 million, with a $1.35 billion structural deficit.
Consequences: for a senior below the maximum, the state pays half of every local increase, so the household bears only half of each increase its town and school district adopt. The full levy still falls on everyone else, and the state's half comes from income and sales taxpayers statewide. Bloomberg Tax (July 5, 2026) warned of the FY2027 changes that "no one should conflate it with solving New Jersey's property tax problem."
OTHER CHANGES
2022: ANCHOR replaced the Homestead Benefit, paying homeowners and renters by check or direct deposit.
2024: A4161 (passed the Assembly 52-20 on April 15, 2024; signed May 2024) let school districts facing state aid reductions request levy increases above the 2% cap for 2024-2025 and created a $44.7 million aid grant program.
2026: The FY2027 budget again funded ANCHOR, Senior Freeze and Stay NJ as "property tax relief." All three are state payments to residents. None lowers a local levy or limits local spending: towns and school districts collect the full levy, and the state repays part of it to households with income and sales tax money. In effect the state underwrites local spending by shrinking the net bill voters see.</t>
        </is>
      </c>
      <c r="V31" s="4" t="inlineStr">
        <is>
          <t>50th (1.88% effective rate; 1.69% in 2010)</t>
        </is>
      </c>
      <c r="W31" s="4" t="inlineStr">
        <is>
          <t>New Jersey has two local limits: a 1976 law that generally caps annual growth in municipal appropriations and county property tax levies at 2.5% or COLA, whichever is lower, and a 2010 law that generally limits property tax levy growth for municipalities, counties, school districts, and certain special districts to 2%. However, exceptions for costs such as pensions, health care, capital expenditures, and debt service, along with banked cap capacity and the ability of school districts to adopt budgets within their caps without voter approval, weaken these protections. Property taxes remain among the nation's highest, while the state has increasingly relied on rebate and relief programs (totaling over $4.1 billion in FY2027) that offset taxpayers' bills without directly addressing the underlying growth in local government spending.</t>
        </is>
      </c>
      <c r="X31" s="4" t="inlineStr">
        <is>
          <t>https://www.nj.gov/dca/dlgs/
https://www2.census.gov/programs-surveys/gov-finances/tables/2022/22slsstab1.xlsx
https://www.nj.gov/governor/news/2026/20260630d.shtml
https://archive.commonsenseinstituteus.org/iowa/research/taxes-and-fees/iowa-leads-the-nation-in-property-tax-relief-ranking-state-reforms-of-the-past-decade
https://www.gardenstateinitiative.org/op-ed/new-jersey-needs-a-plan-to-slay-its-property-tax-dragon/
https://www.gardenstateinitiative.org/op-ed/gsi-opinion-heres-why-your-new-jersey-property-taxes-will-never-go-down-unless-theres-radical-change/
https://insidernj.com/governor-murphy-signs-legislation-providing-support-to-school-districts-seeing-reductions-in-school-funding-aid
https://morrisfocus.com/2024/04/18/n-j-assembly-quietly-votes-to-end-2-property-tax-cap-for-schools/
https://njbiz.com/moodys-jersey-city-tax-abatement-audits-promising-sign-local-schools
https://www.nj.gov/state/elections/election-information-2026.shtml
https://pub.njleg.gov/bills/2010/PL10/44_.PDF
https://pub.njleg.gov/bills/2006/PL07/62_.PDF
https://pub.njleg.gov/bills/2010/PL11/202_.PDF
https://pub.njleg.gov/bills/2022/PL23/289_.PDF
https://pub.njleg.gov/bills/2022/PL23/75_.PDF
https://pub.njleg.state.nj.us/Bills/2022/A0500/1_E2.HTM
https://pub.njleg.gov/bills/2018/PL18/55_.HTM
https://governors.rutgers.edu/wp-content/uploads/2020/07/byrne_speech_1977SoS.pdf
https://repo.njstatelib.org/handle/10929.1/25986
https://www.nj.gov/treasury/omb/publications/09bib/BIB.pdf
https://www.nj.gov/treasury/omb/publications/11bib/BIB.pdf
https://nj.gov/dca/dlgs/lfns/2025/2025-14.pdf
https://www.nj.gov/dca/dlgs/programs/mc_budgets.shtml
https://www.nj.gov/dca/dlgs/resources/Property_Tax_info.shtml
https://www.nj.gov/treasury/pensions/documents/financial/2027-pfrs-comparison.pdf
https://www.nj.gov/treasury/pensions/documents/financial/2027-pers-comparison.pdf
https://www.nj.gov/pfrs/documents/pdf/financial/2025-PFRSNJ-Valuation.pdf
https://www.nj.gov/treasury/pensions/documents/hb/rate-renewal/py2026-rate-setting-analysis-local.pdf
https://nj.gov/treasury/news/2026/07012026.shtml
https://www.nj.gov/treasury/news/2026/02092026.shtml
https://news.bloombergtax.com/daily-tax-report/week-in-insights-new-jersey-property-tax-tweak-is-positive-step</t>
        </is>
      </c>
    </row>
    <row r="32" ht="409" customHeight="1">
      <c r="A32" s="13" t="inlineStr">
        <is>
          <t>New Mexico</t>
        </is>
      </c>
      <c r="B32" s="4" t="inlineStr">
        <is>
          <r>
            <rPr>
              <rFont val="Carlito"/>
              <b val="1"/>
              <sz val="14"/>
            </rPr>
            <t>C.</t>
          </r>
          <r>
            <rPr>
              <rFont val="Carlito"/>
              <sz val="11"/>
            </rPr>
            <t xml:space="preserve">
Restriction points 10 of 18 (levy limit 4; assessment cap 2; rate cap 2; rollback 1; school districts covered 0.5; November-ballot rule 0.25; use restrictions 0.25). Deductions: built-in loopholes -1.5; workarounds in practice -1; state buydowns +0; data record -0.5. Total 7 = C (A 11+, B 8.5-10.9, C 5.5-8.4, D 3-5.4, F under 3).
Why: Built-in loopholes -1.5: debt levies sit outside yield control and the 20-mill limit, voters can exceed the limits by simple majority, the residential cap resets on sale and nonresidential property is uncapped. Workarounds -1: Albuquerque and APS keep debt levies in place with "no rate increase" bond issues ($530 million in November 2025), and big projects get 30-year abatements through industrial revenue bonds. Buydowns 0: the school equalization guarantee is state school funding, with no program paying local governments to cut levies. Record -0.5: the burden is low (2.14% of personal income, effective rate 0.63%), but real per-person collections grew 66.9% in FY2002-FY2022 and 15.3% in FY2019-FY2024, 49th on both.</t>
          </r>
        </is>
      </c>
      <c r="C32" s="4">
        <f>((LEFT(D32,3)="Yes")+(LEFT(E32,3)="Yes")+(LEFT(F32,3)="Yes")+(LEFT(G32,3)="Yes"))&amp;" of 4 in force"&amp;IF(((LEFT(D32,7)="Partial")+(LEFT(E32,7)="Partial")+(LEFT(F32,7)="Partial")+(LEFT(G32,7)="Partial"))&gt;0," + "&amp;((LEFT(D32,7)="Partial")+(LEFT(E32,7)="Partial")+(LEFT(F32,7)="Partial")+(LEFT(G32,7)="Partial"))&amp;" partial","")&amp;CHAR(10)&amp;CHAR(10)&amp;IF(LEFT(D32,3)="Yes","✓",IF(LEFT(D32,7)="Partial","◐","✗"))&amp;" Spending limit"&amp;CHAR(10)&amp;IF(LEFT(E32,3)="Yes","✓",IF(LEFT(E32,7)="Partial","◐","✗"))&amp;" Levy limit"&amp;CHAR(10)&amp;IF(LEFT(F32,3)="Yes","✓",IF(LEFT(F32,7)="Partial","◐","✗"))&amp;" Assessment cap"&amp;CHAR(10)&amp;IF(LEFT(G32,3)="Yes","✓",IF(LEFT(G32,7)="Partial","◐","✗"))&amp;" Rate cap"</f>
        <v/>
      </c>
      <c r="D32" s="4" t="inlineStr">
        <is>
          <r>
            <rPr>
              <rFont val="Carlito"/>
              <b val="1"/>
              <sz val="11"/>
            </rPr>
            <t>No.</t>
          </r>
          <r>
            <rPr>
              <rFont val="Carlito"/>
              <sz val="11"/>
            </rPr>
            <t xml:space="preserve">
No statewide limit on growth in local spending. The Department of Finance and Administration's Local Government Division reviews and approves county, municipal and special district budgets for balance; the Public Education Department approves school budgets.</t>
          </r>
        </is>
      </c>
      <c r="E32" s="4" t="inlineStr">
        <is>
          <r>
            <rPr>
              <rFont val="Carlito"/>
              <b val="1"/>
              <sz val="11"/>
            </rPr>
            <t>Yes.</t>
          </r>
          <r>
            <rPr>
              <rFont val="Carlito"/>
              <sz val="11"/>
            </rPr>
            <t xml:space="preserve">
Yield control (1979): after each reassessment, the Department of Finance and Administration sets each government's operating tax rates so that revenue from existing property grows by no more than the lesser of 5% or inflation (the implicit price deflator for state and local government purchases), plus revenue from new growth. Separate rates are computed for residential and nonresidential property. Debt service levies are outside yield control.
Authority: NMSA 1978, §7-37-7.1.</t>
          </r>
        </is>
      </c>
      <c r="F32" s="4" t="inlineStr">
        <is>
          <r>
            <rPr>
              <rFont val="Carlito"/>
              <b val="1"/>
              <sz val="11"/>
            </rPr>
            <t>Yes.</t>
          </r>
          <r>
            <rPr>
              <rFont val="Carlito"/>
              <sz val="11"/>
            </rPr>
            <t xml:space="preserve">
Residential property: taxable value may rise no more than the greater of 3% over the prior year or 6.1% over the value two years earlier (since tax year 2001). The limit does not apply in the first year a property is valued or to physical improvements (solar energy installations excepted), and the property returns to full value in the tax year after a change of ownership or a change of use or zoning. HB 103 (2026), which would have kept the limit after a zoning change, passed the House 54-10 and failed in the Senate 16-26 on Feb. 17, 2026. Owners 65 and older or disabled, with income below an inflation-indexed limit, may freeze their valuation. Nonresidential property has no cap. All property is taxed on one-third of value.
Authority: NMSA 1978, §§7-36-21.2, 7-36-21.3; N.M. Const. art. VIII §1.</t>
          </r>
        </is>
      </c>
      <c r="G32" s="4" t="inlineStr">
        <is>
          <r>
            <rPr>
              <rFont val="Carlito"/>
              <b val="1"/>
              <sz val="11"/>
            </rPr>
            <t>Yes.</t>
          </r>
          <r>
            <rPr>
              <rFont val="Carlito"/>
              <sz val="11"/>
            </rPr>
            <t xml:space="preserve">
Operating rates are limited to 20 mills ($20 per $1,000 of taxable value) for all purposes combined, allocated by statute: counties 11.85 mills, municipalities 7.65 mills and school districts 0.5 mill. Outside the limit: debt service on voter-approved bonds and other levies approved by voters (for example school capital improvement levies of up to 2 mills and building levies of up to 10 mills), state debt service and certain judgments. Each district may exceed its limit by majority vote of its voters.
Authority: N.M. Const. art. VIII §2; NMSA 1978, §7-37-7.</t>
          </r>
        </is>
      </c>
      <c r="H32" s="4" t="inlineStr">
        <is>
          <r>
            <rPr>
              <rFont val="Carlito"/>
              <b val="1"/>
              <sz val="11"/>
            </rPr>
            <t>Partial.</t>
          </r>
          <r>
            <rPr>
              <rFont val="Carlito"/>
              <sz val="11"/>
            </rPr>
            <t xml:space="preserve">
The state funds school operations through the state equalization guarantee, and districts levy only 0.5 mill for operations. Local school property taxes are mostly voter-approved capital levies and bond debt service, which sit outside the 20-mill limit; bond debt service is also outside yield control. Both are subject to the residential 3% valuation cap.
Authority: NMSA 1978, §§7-37-7, 22-25-3, 22-26-3.</t>
          </r>
        </is>
      </c>
      <c r="I32" s="4" t="inlineStr">
        <is>
          <r>
            <rPr>
              <rFont val="Carlito"/>
              <b val="1"/>
              <sz val="11"/>
            </rPr>
            <t>Yes.</t>
          </r>
          <r>
            <rPr>
              <rFont val="Carlito"/>
              <sz val="11"/>
            </rPr>
            <t xml:space="preserve">
The state levies a property tax to pay debt service on voter-approved state general obligation bonds, set each year by the State Board of Finance. Voters approve each bond issue (three questions totaling $393.1 million are on the Nov. 3, 2026 ballot). It is an additional tax on all property. Census FY2022 state property tax revenue: about $117 million.</t>
          </r>
        </is>
      </c>
      <c r="J32" s="4" t="inlineStr">
        <is>
          <r>
            <rPr>
              <rFont val="Carlito"/>
              <b val="1"/>
              <sz val="11"/>
            </rPr>
            <t>Yes.</t>
          </r>
          <r>
            <rPr>
              <rFont val="Carlito"/>
              <sz val="11"/>
            </rPr>
            <t xml:space="preserve">
Head-of-family exemption of $2,000 of taxable value (equal to $6,000 of market value at the one-third ratio), a small amount. Veterans: $10,000 of taxable value for tax year 2025, indexed to inflation after that (2024 constitutional amendment; HB 47, 2025). Veterans with a 100% service-connected disability are fully exempt. Low-income owners 65+ or disabled may freeze their valuation (see Assessment).
Authority: NMSA 1978, §§7-37-4, 7-37-5, 7-37-5.1; N.M. Const. art. VIII §§5, 15.</t>
          </r>
        </is>
      </c>
      <c r="K32" s="4" t="inlineStr">
        <is>
          <r>
            <rPr>
              <rFont val="Carlito"/>
              <b val="1"/>
              <sz val="11"/>
            </rPr>
            <t>Yes.</t>
          </r>
          <r>
            <rPr>
              <rFont val="Carlito"/>
              <sz val="11"/>
            </rPr>
            <t xml:space="preserve">
- Property tax rebate for residents 65 and older: a refundable state income tax rebate for low-income owners and renters (up to $250 with income up to $16,000).
- County-option low-income property tax rebate (Los Alamos and Santa Fe counties), funded by the county.
Authority: NMSA 1978, §§7-2-14.3, 7-2-14.4.</t>
          </r>
        </is>
      </c>
      <c r="L32" s="4" t="inlineStr">
        <is>
          <r>
            <rPr>
              <rFont val="Carlito"/>
              <b val="1"/>
              <sz val="11"/>
            </rPr>
            <t>No.</t>
          </r>
          <r>
            <rPr>
              <rFont val="Carlito"/>
              <sz val="11"/>
            </rPr>
            <t xml:space="preserve">
New Mexico has no program that reimburses local governments for property tax lost to state exemptions or that pays them to lower their levies. Veterans' and other exemptions reduce local revenue with no state backfill. The state equalization guarantee, which took over most school operating costs in 1974 and keeps the school operating levy at 0.5 mill, is general school aid and does not count; the formula credits 75% of the 0.5 mill levy against it without tying any payment to a lost levy.
Authority: NMSA 1978 §§7-37-5, 22-8-25.</t>
          </r>
        </is>
      </c>
      <c r="M32" s="4" t="inlineStr">
        <is>
          <r>
            <rPr>
              <rFont val="Carlito"/>
              <b val="1"/>
              <sz val="11"/>
            </rPr>
            <t>No.</t>
          </r>
          <r>
            <rPr>
              <rFont val="Carlito"/>
              <sz val="11"/>
            </rPr>
            <t/>
          </r>
        </is>
      </c>
      <c r="N32" s="4" t="inlineStr">
        <is>
          <r>
            <rPr>
              <rFont val="Carlito"/>
              <b val="1"/>
              <sz val="11"/>
            </rPr>
            <t>Yes.</t>
          </r>
          <r>
            <rPr>
              <rFont val="Carlito"/>
              <sz val="11"/>
            </rPr>
            <t xml:space="preserve">
Yield control lowers each government's operating rates after reassessment so that revenue from existing property grows by no more than the lesser of 5% or inflation; the rates are computed and certified by the state.
Authority: NMSA 1978, §7-37-7.1.</t>
          </r>
        </is>
      </c>
      <c r="O32" s="4" t="inlineStr">
        <is>
          <r>
            <rPr>
              <rFont val="Carlito"/>
              <b val="1"/>
              <sz val="11"/>
            </rPr>
            <t>No.</t>
          </r>
          <r>
            <rPr>
              <rFont val="Carlito"/>
              <sz val="11"/>
            </rPr>
            <t xml:space="preserve">
Levies above the 20-mill limit, capital levies and bonds pass by simple majority of voters.</t>
          </r>
        </is>
      </c>
      <c r="P32" s="4" t="inlineStr">
        <is>
          <r>
            <rPr>
              <rFont val="Carlito"/>
              <b val="1"/>
              <sz val="11"/>
            </rPr>
            <t>Partial.</t>
          </r>
          <r>
            <rPr>
              <rFont val="Carlito"/>
              <sz val="11"/>
            </rPr>
            <t xml:space="preserve">
The Local Election Act (HB 98, 2018) consolidated school, municipal and most special district elections, including their bond and levy questions, into a regular local election in November of odd-numbered years. Special elections held apart from it remain allowed and must be conducted by mailed ballot.
Authority: NMSA 1978, §1-22-1 et seq.</t>
          </r>
        </is>
      </c>
      <c r="Q32" s="4" t="inlineStr">
        <is>
          <r>
            <rPr>
              <rFont val="Carlito"/>
              <b val="1"/>
              <sz val="11"/>
            </rPr>
            <t>Partial.</t>
          </r>
          <r>
            <rPr>
              <rFont val="Carlito"/>
              <sz val="11"/>
            </rPr>
            <t xml:space="preserve">
Operating mills are allocated by type of government, and voter-approved levies are tied to their purposes (school capital improvements, school buildings, hospitals, flood control and others). General operating levies are unrestricted.
Authority: NMSA 1978, §§7-37-7, 22-25-3, 22-26-3.</t>
          </r>
        </is>
      </c>
      <c r="R32" s="4" t="inlineStr">
        <is>
          <t>33 counties; 105 municipalities in the Census count; 89 school districts (Census counts 96 independent school governments); 769 special districts in the Census count, including 382 drainage and flood control districts (many are acequia and community ditch associations), 157 water supply districts, 48 soil and water conservation districts, hospital districts and community college districts. Census of Governments 2022: 1,003 local governments.</t>
        </is>
      </c>
      <c r="S32" s="4" t="inlineStr">
        <is>
          <t>Verdict: Failed. Property tax per person rose 76.1% after inflation from FY2002 to FY2024, second fastest nationally, against 25.9% for the U.S.; from FY2019 to FY2024 it rose 15.3% while the U.S. fell 1.1%.
Why it leaks: Yield control (NMSA 1978, §7-37-7.1) limits operating rates only and leaves debt service outside. The 20-mill limit excludes voter-approved bonds and levies, and any district may exceed it by a simple majority vote. The 3% residential cap resets on sale and does not apply to nonresidential property. There is no statewide spending limit.
How localities get around it: In November 2025 Albuquerque won $180 million in city bonds and Albuquerque Public Schools a $350 million bond, both sold as no tax rate increase, keeping debt levies in place between issues. Bernalillo County renewed its UNM Hospital mill levy in 2024.
Full record:
Yield control and the 3% residential cap hold down tax growth on existing homes and bills stay low by national standards, but voters routinely approve bond and special levies that sit outside the limits, and new buyers pay on full value.
The record (Census, BEA, ACS): state and local property tax was $1,251 per person in FY2024 (U.S. $2,132), 2.14% of personal income (39th-highest of 50; U.S. 2.89%). After inflation, collections per person (all state and local property tax divided by residents) rose 76.1% from FY2002 to FY2024 (U.S. +25.9%) and rose 15.3% from FY2019 to FY2024 (U.S. -1.1%). The median homeowner paid $1,776 in 2024 (U.S. $3,211); the median bill rose 15.6% after inflation from 2010 to 2024 (U.S. +9.3%). The Tax Foundation's 2026 ranking puts its effective property tax rate on owner-occupied homes at 0.63%, 17th-lowest of 50. By the same measure it was 0.55% in 2010 (U.S. 1.00% in 2010, 0.94% in 2024).
- Big cities: on Nov. 4, 2025, Albuquerque voters approved $180 million in city general obligation bonds and Albuquerque Public Schools voters approved a $350 million bond. Both were sold as no increase in the current tax rate, which keeps debt levies, outside yield control and the 20-mill limit, in place from one bond issue to the next.
- Special levies: Bernalillo County voters renewed the UNM Hospital operating mill levy on Nov. 5, 2024; it supplies about 10% of the hospital's revenue. Voter-approved school capital levies (up to 2 mills, plus building levies up to 10 mills) also sit outside the 20-mill limit, and all of these pass by simple majority.
- Tax lightning: the residential cap resets on sale, so new buyers pay on full value while long-time owners pay on capped values, and nonresidential property has no cap.
- Abatements: the Rio Grande Foundation notes that Oracle's $165 billion Project Jupiter data center in Santa Teresa (Doña Ana County) comes with a 30-year property tax exemption and up to $165 billion in industrial revenue bonds.
- Revenue shift: local governments rely on gross receipts taxes, which supply 45% of local tax revenue (Census FY2022); the average combined rate is 7.67% (Tax Foundation, 2026). Fees and charges are 28% of local own-source revenue. Property tax is 53% of local tax revenue.</t>
        </is>
      </c>
      <c r="T32" s="4" t="inlineStr">
        <is>
          <t>- Rio Grande Foundation (State Policy Network affiliate), "RGF opinion piece: Data centers are coming: How to handle them" (Jan. 15, 2026). Welcomes three planned data centers, including Oracle's $165 billion Project Jupiter in Santa Teresa and the $11.7 billion Project Zenith in Roswell, but warns the boom comes with "massive subsidies, including a 30-year property tax exemption and up to $165 billion in industrial revenue bonds." https://riograndefoundation.org/rgf-opinion-piece-data-centers-are-coming-how-to-handle-them/
- Rio Grande Foundation (State Policy Network affiliate), "RGF opinion piece: Voters should be skeptical of $350 million bond for APS" (Oct. 14, 2025). Paul Gessing argues Albuquerque Public Schools enrollment fell from about 85,336 in FY2016 to about 64,995 in FY2025 while per-pupil spending reached about $35,000, and that the district should close and consolidate schools before asking property taxpayers for new debt. Voters approved the bond on Nov. 4, 2025. https://riograndefoundation.org/rgf-opinion-piece-voters-should-be-skeptical-of-350-million-bond-for-aps/
- Rio Grande Foundation (State Policy Network affiliate), Douglas Peterson and Paul Gessing, "RGF op-ed: Mayor's Downtown taxing plans won't work because they don't address crime and vagrancy" (Sept. 16, 2024). Opposes Mayor Tim Keller's proposed Downtown Albuquerque tax increment district and business improvement district, saying a TIF makes the rest of the city pay for services in the district, and calls new taxes on Downtown owners "sheer folly" after Bernalillo County Assessor Damian Lara raised their property taxes "by as much as 100% in some cases." https://riograndefoundation.org/rgf-op-ed-mayors-downtown-taxing-plans-wont-work-because-they-dont-address-crime-and-vagrancy/
- Rio Grande Foundation (State Policy Network affiliate), "A conservative looks (down) the New Mexico ballot" (Oct. 10, 2022). Recommends voting against all bonds "because local voters have a tendency to blindly vote YES on nearly all bonds," noting that bonds are government debt "paid off by your property tax dollars" and are "almost never voted down" in the Albuquerque metro area. https://riograndefoundation.org/a-conservative-looks-down-the-new-mexico-ballot/
- Rio Grande Foundation (State Policy Network affiliate), Edwin Aybar Lopez of OAK NM, "OAK NM in ABQ Journal: Educate yourself and vote on school board, bond, mill levy" (Oct. 18, 2021). Questions why APS "quietly placed" a $200 million bond and a levy of $3.838 per $1,000 of net taxable value on residential property ($4.344 on non-residential) on the ballot while stimulus money flowed in and students left the district. https://riograndefoundation.org/oak-nm-in-abq-journal-educate-yourself-and-vote-on-school-board-bond-mill-levy/
Linked list: 5 items on the Analyses sheet (filter State = New Mexico); every source URL is linked on the Sources sheet.</t>
        </is>
      </c>
      <c r="U32" s="4" t="inlineStr">
        <is>
          <t>1914: 20-mill operating limit (constitution). 1974: state equalization guarantee for school operations. 1979: yield control. 2000: 3% residential valuation cap (from tax year 2001). 2018: Local Election Act (HB 98).
2024: voters approved raising the veterans' exemption to $10,000 with indexing; implemented by HB 47 (2025). Nov. 5, 2024: Bernalillo County voters renewed the UNM Hospital mill levy.
Nov. 4, 2025: Albuquerque voters approved $180 million in city bonds and APS voters a $350 million school bond.
2026 session: HB 103 (keep the residential valuation limit after a zoning change) passed the House 54-10 on Feb. 11 and failed in the Senate 16-26 on Feb. 17. SJR 5 (let the Legislature limit valuation increases on nonresidential property) died in committee without a vote.
Nov. 3, 2026 ballot: no property tax limitation measure. Constitutional Amendments 1-4 deal with pocket vetoes, separate school elections (Amendment 2 would remove the requirement that school elections be held separately from partisan elections), regents' party registration and legislative pay. Three state general obligation bond questions total $393.1 million ($21.6 million for senior facilities, $19.3 million for libraries and $352.2 million for higher education, special and tribal schools), repaid through the statewide property tax levy.</t>
        </is>
      </c>
      <c r="V32" s="4" t="inlineStr">
        <is>
          <t>17th (0.63% effective rate; 0.55% in 2010)</t>
        </is>
      </c>
      <c r="W32" s="4" t="inlineStr">
        <is>
          <t>New Mexico combines a 20-mill operating rate limit, yield control that holds revenue from existing property to the lesser of 5% or inflation, and a 3% residential valuation cap that resets on sale. State funding of school operations keeps property taxes among the lowest in the nation, while local governments lean on gross receipts taxes.</t>
        </is>
      </c>
      <c r="X32" s="4" t="inlineStr">
        <is>
          <t>https://nmlegis.gov/Sessions/25%20Regular/final/HB0047.pdf
https://www.nmsba.org/wp-content/uploads/2015/09/HB-98-Local-Election-Act-Briefing-Sheet.pdf
https://www.rooseveltcounty.com/wp-content/uploads/2026/08/2026-CA-and-GOB-Questions.pdf
https://sourcenm.com/2026/09/17/new-mexico-election-2026-constitutional-amendments-1-3/
https://www.lincolninst.edu/app/uploads/2024/12/levy_limits_2022.xlsx
https://apps.lincolninst.edu/uploads/summary-tables/rate-limits-summary-tables/rate-limits-2022-4.xlsx
https://www.lincolninst.edu/app/uploads/2024/10/truth_in_taxation_2024.xlsx
https://www2.census.gov/programs-surveys/gov-finances/tables/2022/22slsstab1.xlsx
https://www.nmlegis.gov/Legislation/Legislation?chamber=H&amp;legType=B&amp;legNo=103&amp;year=26
https://www.nmlegis.gov/Sessions/26%20Regular/bills/house/HB0103.HTML
https://www.nmlegis.gov/Legislation/Legislation?chamber=S&amp;legType=JR&amp;legNo=5&amp;year=26
https://www.nmlegis.gov/Sessions/13%20Regular/bills/house/HB0377.HTML
https://www.kanw.org/new-mexico-news/2025-11-05/aps-voters-approve-350m-bond-elect-four-to-board-of-education
https://www.gaar.com/blog/article/election-update-2025-abq-regular-local-election
https://hsc.unm.edu/news/2024/11/hsc-newsroom-post-nm-voters-approve-bonds-mill-levy.html
https://taxfoundation.org/location/new-mexico/
https://riograndefoundation.org/rgf-opinion-piece-data-centers-are-coming-how-to-handle-them/
https://riograndefoundation.org/rgf-opinion-piece-voters-should-be-skeptical-of-350-million-bond-for-aps/</t>
        </is>
      </c>
    </row>
    <row r="33" ht="409" customHeight="1">
      <c r="A33" s="13" t="inlineStr">
        <is>
          <t>New York</t>
        </is>
      </c>
      <c r="B33" s="4" t="inlineStr">
        <is>
          <r>
            <rPr>
              <rFont val="Carlito"/>
              <b val="1"/>
              <sz val="14"/>
            </rPr>
            <t>D.</t>
          </r>
          <r>
            <rPr>
              <rFont val="Carlito"/>
              <sz val="11"/>
            </rPr>
            <t xml:space="preserve">
Restriction points 8.5 of 18 (levy limit 4; assessment cap 1; rate cap 1; rollback 0.5; supermajority 1; school districts covered 1). Deductions: built-in loopholes -1.5; workarounds in practice -1.5; state buydowns +0; data record -0.5. Total 5 = D (A 11+, B 8.5-10.9, C 5.5-8.4, D 3-5.4, F under 3).
Why: Built-in loopholes -1.5: New York City and the Big Four school districts are outside the 2% cap, governing boards can override it by a 60% vote with no public vote, and exclusions plus carryover and the growth factor let levies exceed 2%. Workarounds -1.5: overrides are routine and rising (45% of cities and 35.5% of villages planned them for 2026, against 13.1% of cities in 2022), and 40 school districts planned overrides for 2026-27. Buydowns 0: STAR (about $2.3 billion) is about 3.3% of FY2024 collections. Record -0.5: the burden is among the heaviest (4.07% of personal income, effective rate 1.45%, both 46th) and long-run real growth per person was 45.5% in FY2002-FY2022, though FY2019-FY2024 fell 8.4%.</t>
          </r>
        </is>
      </c>
      <c r="C33" s="4">
        <f>((LEFT(D33,3)="Yes")+(LEFT(E33,3)="Yes")+(LEFT(F33,3)="Yes")+(LEFT(G33,3)="Yes"))&amp;" of 4 in force"&amp;IF(((LEFT(D33,7)="Partial")+(LEFT(E33,7)="Partial")+(LEFT(F33,7)="Partial")+(LEFT(G33,7)="Partial"))&gt;0," + "&amp;((LEFT(D33,7)="Partial")+(LEFT(E33,7)="Partial")+(LEFT(F33,7)="Partial")+(LEFT(G33,7)="Partial"))&amp;" partial","")&amp;CHAR(10)&amp;CHAR(10)&amp;IF(LEFT(D33,3)="Yes","✓",IF(LEFT(D33,7)="Partial","◐","✗"))&amp;" Spending limit"&amp;CHAR(10)&amp;IF(LEFT(E33,3)="Yes","✓",IF(LEFT(E33,7)="Partial","◐","✗"))&amp;" Levy limit"&amp;CHAR(10)&amp;IF(LEFT(F33,3)="Yes","✓",IF(LEFT(F33,7)="Partial","◐","✗"))&amp;" Assessment cap"&amp;CHAR(10)&amp;IF(LEFT(G33,3)="Yes","✓",IF(LEFT(G33,7)="Partial","◐","✗"))&amp;" Rate cap"</f>
        <v/>
      </c>
      <c r="D33" s="4" t="inlineStr">
        <is>
          <r>
            <rPr>
              <rFont val="Carlito"/>
              <b val="1"/>
              <sz val="11"/>
            </rPr>
            <t>No.</t>
          </r>
          <r>
            <rPr>
              <rFont val="Carlito"/>
              <sz val="11"/>
            </rPr>
            <t xml:space="preserve">
No limit on growth in local spending; the property tax cap limits the levy only.</t>
          </r>
        </is>
      </c>
      <c r="E33" s="4" t="inlineStr">
        <is>
          <r>
            <rPr>
              <rFont val="Carlito"/>
              <b val="1"/>
              <sz val="11"/>
            </rPr>
            <t>Yes.</t>
          </r>
          <r>
            <rPr>
              <rFont val="Carlito"/>
              <sz val="11"/>
            </rPr>
            <t xml:space="preserve">
Property tax cap (2011, first applied in 2012; made permanent in 2019): counties (outside New York City), cities other than New York City, towns, villages, fire districts and school districts outside the Big Five cities may raise their levy by no more than the lesser of 2% or inflation, multiplied by a tax base growth factor for new construction, plus carryover of unused capacity (up to 1.5%). Excluded: increases in pension contributions when system rates rise more than 2 percentage points, tort judgments above 5% of the levy and, for school districts, capital costs (including debt service on voter-approved bonds). Overrides: a local law or resolution passed by 60% of the total voting power of the governing body; for school districts, 60% of voters. New York City and the Buffalo, Rochester, Syracuse and Yonkers school districts are not covered.
Authority: N.Y. Gen. Mun. Law §3-c; N.Y. Educ. Law §2023-a; L. 2011, ch. 97.</t>
          </r>
        </is>
      </c>
      <c r="F33" s="4" t="inlineStr">
        <is>
          <r>
            <rPr>
              <rFont val="Carlito"/>
              <b val="1"/>
              <sz val="11"/>
            </rPr>
            <t>Partial.</t>
          </r>
          <r>
            <rPr>
              <rFont val="Carlito"/>
              <sz val="11"/>
            </rPr>
            <t xml:space="preserve">
New York City and Nassau County only (special assessing units): assessed value of 1-3 family homes may rise no more than 6% a year and 20% over five years; small apartment buildings and condominiums with up to 10 units, 8% a year and 30% over five years; other property phases in market changes over five years. New construction and improvements are added in full. The caps were still 6% and 20% in 2026; a 2025 Adams administration plan to raise them to 8% and 35% was never introduced in Albany. Elsewhere there is no cap; assessing units may adopt a homestead/non-homestead class system that limits shifts of the tax burden between classes after revaluation.
Authority: N.Y. Real Prop. Tax Law §§1805, 1903.</t>
          </r>
        </is>
      </c>
      <c r="G33" s="4" t="inlineStr">
        <is>
          <r>
            <rPr>
              <rFont val="Carlito"/>
              <b val="1"/>
              <sz val="11"/>
            </rPr>
            <t>Partial.</t>
          </r>
          <r>
            <rPr>
              <rFont val="Carlito"/>
              <sz val="11"/>
            </rPr>
            <t xml:space="preserve">
Constitutional limits on taxes for operating purposes, as a share of the five-year average full value of taxable property: counties 1.5% (up to 2% if the county chooses), cities and villages 2%, New York City 2.5%. Debt service is excluded. Towns and school districts outside the Big Five cities have no rate limit.
Authority: N.Y. Const. art. VIII §§10, 11.</t>
          </r>
        </is>
      </c>
      <c r="H33" s="4" t="inlineStr">
        <is>
          <r>
            <rPr>
              <rFont val="Carlito"/>
              <b val="1"/>
              <sz val="11"/>
            </rPr>
            <t>Yes.</t>
          </r>
          <r>
            <rPr>
              <rFont val="Carlito"/>
              <sz val="11"/>
            </rPr>
            <t xml:space="preserve">
School districts outside the Big Five cities are under the tax cap and hold annual budget votes on the third Tuesday in May. A budget whose levy exceeds the cap needs 60% voter approval. If voters reject a budget twice, the district must adopt a contingent budget with no levy increase. In May 2026 voters approved 96% of budgets: 98% of those within the cap passed on the first try, and about 25 of 38 override budgets passed (66%). Voter-approved capital and debt costs are excluded from the cap.
Authority: N.Y. Educ. Law §§2003, 2023-a, 2601-a.</t>
          </r>
        </is>
      </c>
      <c r="I33" s="4" t="inlineStr">
        <is>
          <r>
            <rPr>
              <rFont val="Carlito"/>
              <b val="1"/>
              <sz val="11"/>
            </rPr>
            <t>No.</t>
          </r>
          <r>
            <rPr>
              <rFont val="Carlito"/>
              <sz val="11"/>
            </rPr>
            <t xml:space="preserve">
New York has no state property tax.</t>
          </r>
        </is>
      </c>
      <c r="J33" s="4" t="inlineStr">
        <is>
          <r>
            <rPr>
              <rFont val="Carlito"/>
              <b val="1"/>
              <sz val="11"/>
            </rPr>
            <t>Yes.</t>
          </r>
          <r>
            <rPr>
              <rFont val="Carlito"/>
              <sz val="11"/>
            </rPr>
            <t xml:space="preserve">
School Tax Relief (STAR): Basic STAR exempts $30,000 of full value from school taxes for owners with income up to $250,000 who have kept the exemption since before 2016; newer owners receive the STAR credit by check (income up to $500,000). Enhanced STAR gives a larger benefit to owners 65 and older below an inflation-indexed income limit. Local options: senior citizens' exemption of up to 50% of assessed value (income limits set locally, up to $58,399 with a sliding scale), persons with disabilities, veterans (alternative, cold war and combat veterans) and others.
Authority: N.Y. Real Prop. Tax Law §§425, 467, 459-c, 458-a; N.Y. Tax Law §606(eee).</t>
          </r>
        </is>
      </c>
      <c r="K33" s="4" t="inlineStr">
        <is>
          <r>
            <rPr>
              <rFont val="Carlito"/>
              <b val="1"/>
              <sz val="11"/>
            </rPr>
            <t>Yes.</t>
          </r>
          <r>
            <rPr>
              <rFont val="Carlito"/>
              <sz val="11"/>
            </rPr>
            <t xml:space="preserve">
- STAR credit: paid by the state to eligible homeowners as a check in place of the exemption, allowed to grow up to 2% a year.
- Real property tax credit: a refundable income tax credit for households with income up to $18,000 (up to $375 for those 65 and older, $75 for others).
- One-time Homeowner Tax Rebate Credit checks (2022).
Authority: N.Y. Tax Law §606(e), (eee).</t>
          </r>
        </is>
      </c>
      <c r="L33" s="4" t="inlineStr">
        <is>
          <r>
            <rPr>
              <rFont val="Carlito"/>
              <b val="1"/>
              <sz val="11"/>
            </rPr>
            <t>Yes.</t>
          </r>
          <r>
            <rPr>
              <rFont val="Carlito"/>
              <sz val="11"/>
            </rPr>
            <t xml:space="preserve">
The state reimburses school districts for the school taxes lost to STAR exemptions, which are credited on homeowners' bills. Basic STAR covers owner-occupied primary residences with incomes up to $250,000, and Enhanced STAR covers seniors under a lower income limit; the exemption has been closed to new applicants since 2016, who receive the STAR credit instead. The State Education Department estimates 2026-27 STAR aid to school districts at $1.295 billion, including the state's reimbursement of New York City's STAR income tax credit. The STAR credit, paid to homeowners by check, and general school aid do not count here.
Authority: N.Y. Real Prop. Tax Law §§425, 1306-a; N.Y. Educ. Law §3609-e; N.Y. Tax Law §606(eee); NYSED, 2026-27 State Aid Handbook, Section S.</t>
          </r>
        </is>
      </c>
      <c r="M33" s="4" t="inlineStr">
        <is>
          <r>
            <rPr>
              <rFont val="Carlito"/>
              <b val="1"/>
              <sz val="11"/>
            </rPr>
            <t>No.</t>
          </r>
          <r>
            <rPr>
              <rFont val="Carlito"/>
              <sz val="11"/>
            </rPr>
            <t/>
          </r>
        </is>
      </c>
      <c r="N33" s="4" t="inlineStr">
        <is>
          <r>
            <rPr>
              <rFont val="Carlito"/>
              <b val="1"/>
              <sz val="11"/>
            </rPr>
            <t>Partial.</t>
          </r>
          <r>
            <rPr>
              <rFont val="Carlito"/>
              <sz val="11"/>
            </rPr>
            <t xml:space="preserve">
No certified rollback rate. The tax cap limits the levy in dollars, so rates fall as values rise unless a governing body or school district overrides the cap.</t>
          </r>
        </is>
      </c>
      <c r="O33" s="4" t="inlineStr">
        <is>
          <r>
            <rPr>
              <rFont val="Carlito"/>
              <b val="1"/>
              <sz val="11"/>
            </rPr>
            <t>Yes.</t>
          </r>
          <r>
            <rPr>
              <rFont val="Carlito"/>
              <sz val="11"/>
            </rPr>
            <t xml:space="preserve">
- School districts: 60% of voters to approve a budget whose levy exceeds the cap.
- Counties, cities, towns, villages and fire districts: 60% of the total voting power of the governing body to override the cap.
Authority: N.Y. Educ. Law §2023-a(6); N.Y. Gen. Mun. Law §3-c(5).</t>
          </r>
        </is>
      </c>
      <c r="P33" s="4" t="inlineStr">
        <is>
          <r>
            <rPr>
              <rFont val="Carlito"/>
              <b val="1"/>
              <sz val="11"/>
            </rPr>
            <t>No.</t>
          </r>
          <r>
            <rPr>
              <rFont val="Carlito"/>
              <sz val="11"/>
            </rPr>
            <t xml:space="preserve">
School budget votes are held on the third Tuesday in May; other local governments adopt levies by board action.
Authority: N.Y. Educ. Law §2003.</t>
          </r>
        </is>
      </c>
      <c r="Q33" s="4" t="inlineStr">
        <is>
          <r>
            <rPr>
              <rFont val="Carlito"/>
              <b val="1"/>
              <sz val="11"/>
            </rPr>
            <t>No.</t>
          </r>
          <r>
            <rPr>
              <rFont val="Carlito"/>
              <sz val="11"/>
            </rPr>
            <t xml:space="preserve">
No statewide restriction on what the general property tax may fund beyond the purposes of special district and school levies.</t>
          </r>
        </is>
      </c>
      <c r="R33" s="4" t="inlineStr">
        <is>
          <t>57 counties outside New York City (the city's five boroughs are counties without separate governments); 62 cities and about 533 villages (Census counts 595 municipal governments); 930 towns; 676 independent school districts and 38 dependent school systems (including the Big Five cities); 1,189 special districts in the Census count, led by 890 fire districts and 231 library districts. Town special districts for water, sewer and lighting levy taxes but are not separate governments. Census of Governments 2022: 3,447 local governments.</t>
        </is>
      </c>
      <c r="S33" s="4" t="inlineStr">
        <is>
          <t>Verdict: Failed. Property tax per person rose 44.7% after inflation from FY2002 to FY2024, against 25.9% for the U.S., though it fell 8.4% from FY2019 to FY2024 (U.S. -1.1%).
Why it leaks: The 2% levy cap (2011) leaves out New York City and the Buffalo, Rochester, Syracuse and Yonkers school districts. A new-construction growth factor and carryover of unused capacity push the allowable levy above 2%, and school capital costs sit outside it. Boards override with a 60% board vote and no public vote. There is no spending limit, and STAR (about $2.3 billion in FY2027) shifts school taxes onto state taxpayers, which counts against the state.
How localities get around it: For fiscal years ending in 2026, 45% of cities planned board overrides, up from 13.1% in 2022. New York City, outside the cap, sets its rates each year.
Full record:
The 2% cap has slowed levy growth outside New York City, but the state's largest taxing government sits outside it, and overrides and exclusions let a growing share of governments raise levies faster than 2%.
The record (Census, BEA, ACS): state and local property tax was $3,538 per person in FY2024 (U.S. $2,132), 4.07% of personal income (4th-highest of 50; U.S. 2.89%). After inflation, collections per person (all state and local property tax divided by residents) rose 44.7% from FY2002 to FY2024 (U.S. +25.9%) and fell 8.4% from FY2019 to FY2024 (U.S. -1.1%). The median homeowner paid $6,542 in 2024 (U.S. $3,211); the median bill rose 11.2% after inflation from 2010 to 2024 (U.S. +9.3%). The Tax Foundation's 2026 ranking puts its effective property tax rate on owner-occupied homes at 1.30%, 40th-lowest of 50. By the same measure it was 1.29% in 2010 (U.S. 1.00% in 2010, 0.94% in 2024).
- Big cities: New York City is outside the cap. Its Class 1 caps (6% a year, 20% over five years) limit assessments, and the city still sets its rates each year. In February 2026 Mayor Zohran Mamdani's preliminary budget proposed a $3.7 billion property tax increase as a fallback if Albany did not approve income tax increases; he dropped it in the May executive budget after a cold reception from the City Council. The Buffalo, Rochester, Syracuse and Yonkers school districts are also outside the cap and hold no budget votes.
- Overrides: for fiscal years ending in 2026, 45% of cities, 35.5% of villages, 28.6% of towns, nearly one-fourth of counties and 31.5% of fire districts told the State Comptroller they planned to override, up from 13.1% of cities and 3.5% of counties in 2022. Governing-body overrides need 60% of the board, with no public vote.
- Schools: the Empire Center found that for 2026-27, 40 districts planned to override their caps, 352 planned to raise levies by exactly the amount the cap allows and 274 planned levy increases above core inflation (2.8%). School levies reach $25.9 billion, or $18,979 per student (up 3.8%), while enrollment falls 1.03%.
- Exclusions: pension spikes, tort judgments and school capital costs sit outside the cap, and the tax base growth factor and carryover push the allowable levy above 2%; school levies rose an average of 2.94% in 2026.
- State money: STAR (about $2.3 billion in FY2027) and record school aid move part of the school tax onto state taxpayers.
Property tax is 55% of local tax revenue (Census FY2022); local income taxes (New York City and Yonkers) supply 21% and local sales taxes 19%, with an average combined sales tax rate of 8.54%.</t>
        </is>
      </c>
      <c r="T33" s="4" t="inlineStr">
        <is>
          <t>- Empire Center for Public Policy (State Policy Network affiliate), "New York's School Districts Plan To Spend Over $37K Per Student" (May 18, 2026). Abdullah Ar Rafee finds districts outside the Big Five planned to spend $37,033 per student in 2026-27, up 4.9%, while enrollment falls 1.03%. Levies reach $25.9 billion ($18,979 per student, up 3.8%); 274 districts planned levy increases above core inflation, 352 planned to raise levies by exactly the cap and 40 planned overrides, led by Randolph (37% above cap) and Plattsburgh (32%). https://www.empirecenter.org/publications/new-yorks-school-districts-plan-to-spend-over-37k-per-student/
- Manhattan Institute (State Policy Network associate), City Journal, Eric Kober, "Mamdani Closes New York City's $12 Billion Budget Gap—For Now" (May 14, 2026). Reports that Mayor Mamdani's February preliminary budget added $6.6 billion in tax revenue over FY2026-FY2027, drew down reserves and proposed a $3.7 billion property tax increase in lieu of income tax hikes that needed state approval; the Council received it coldly and the mayor dropped it in May. https://www.city-journal.org/article/mamdani-closes-12-billion-new-york-city-budget-gap
- Empire Center for Public Policy (State Policy Network affiliate), Bill Hammond, "Four Problems with a Statewide Pied-à-Terre Tax" (May 4, 2026). Opposes Sen. Patricia Fahy's opt-in tax on non-primary homes worth over $5 million, noting few such homes exist upstate and that their owners already pay full property taxes; Saratoga's Palazzo Riggi owes about $157,000 a year. It adds that New Yorkers pay $3,457 per capita in property taxes, second to New Jersey. https://www.empirecenter.org/publications/four-problems-with-a-statewide-pied-a-terre-tax/
- Empire Center for Public Policy (State Policy Network affiliate), Cam Macdonald, "Two Dozen School Districts Are Returning to the Polls for Budget Revotes" (June 16, 2025). Of 683 districts voting, 42 budgets exceeded the levy cap and needed 60% approval; of 24 defeated budgets, 17 failed that supermajority, and 12 districts came back with cap-compliant budgets. Proposed per-pupil spending averaged $35,012. https://www.empirecenter.org/publications/two-dozen-school-districts-are-returning-to-the-polls-for-budget-revotes/
- Empire Center for Public Policy (State Policy Network affiliate), "Empire Index: State's On Wrong Track, Tax Cap Popular And More" (June 5, 2024). Its poll found 67% of voters outside New York City support the 2011 property tax cap and 12% oppose it. https://www.empirecenter.org/publications/empire-index-june-2024/
- Empire Center for Public Policy (State Policy Network affiliate), Ken Girardin, "A Tale of Two Levies" (May 16, 2023). Finds about a third of school districts raising levies by every dollar the cap allows even as state school aid grew more than 24% in three years; only 12 districts planned levy cuts. It concludes that Albany's long effort to steer aid to schools "has rarely translated into lower property taxes." https://www.empirecenter.org/publications/a-tale-of-two-levies/
- National Review Institute (State Policy Network associate): no property tax report since 2021 was found.
- Children's Scholarship Fund (State Policy Network associate): no property tax report since 2021 was found.
Linked list: 6 items on the Analyses sheet (filter State = New York); every source URL is linked on the Sources sheet.</t>
        </is>
      </c>
      <c r="U33" s="4" t="inlineStr">
        <is>
          <t>1938: constitutional tax limits. 1981: assessment caps and classes for New York City and Nassau County. 1997: STAR. 2011: property tax cap (first applied in 2012). 2016-2019: STAR moved from an exemption to a state-paid credit for new owners. 2019: cap made permanent.
2025: the Adams administration showed state lawmakers a plan to raise New York City's Class 1 assessment caps to 8% a year and 35% over five years; it was never introduced.
2026: Mayor Mamdani pledged to send Albany a New York City property tax reform plan; no enacted reform was found as of Oct. 12, 2026. His February preliminary budget proposed a $3.7 billion property tax increase as a fallback, dropped in May. The State Comptroller reported a sharp rise in planned cap overrides since 2022. The Legislature gave first passage to a redistricting amendment (A.11553), which needs second passage in 2027 before a vote in November 2027.
No statewide property tax measure was found for the Nov. 3, 2026 ballot.</t>
        </is>
      </c>
      <c r="V33" s="4" t="inlineStr">
        <is>
          <t>40th (1.30% effective rate; 1.29% in 2010)</t>
        </is>
      </c>
      <c r="W33" s="4" t="inlineStr">
        <is>
          <t>New York caps levy growth at the lesser of 2% or inflation for most governments outside New York City, with 60% overrides by voters (schools) or governing boards (others), constitutional rate limits for counties, cities and villages, and assessment caps only in New York City and Nassau County. Overrides, exclusions and the exemption of New York City leave the state with some of the highest property taxes in the nation.</t>
        </is>
      </c>
      <c r="X33" s="4" t="inlineStr">
        <is>
          <t>https://www.osc.ny.gov/press/releases/2026/08/dinapoli-growing-number-local-governments-reporting-plans-override-property-tax-cap
https://www.osc.ny.gov/files/local-government/publications/pdf/planned-tax-cap-overrides.pdf
https://www.nyssba.org/news/2026/05/20/press-releases/voters-approve-96-of-school-district-budgets/
https://www.lincolninst.edu/app/uploads/2024/12/levy_limits_2022.xlsx
https://www.lincolninst.edu/app/uploads/2024/12/assessment_limits_2022-3.xlsx
https://www.lincolninst.edu/app/uploads/2024/10/truth_in_taxation_2024.xlsx
https://www2.census.gov/programs-surveys/gov-finances/tables/2022/22slsstab1.xlsx
https://www.empirecenter.org/publications/new-yorks-school-districts-plan-to-spend-over-37k-per-student/
https://www.city-journal.org/article/mamdani-closes-12-billion-new-york-city-budget-gap
https://nysfocus.com/2026/03/02/mamdani-eric-adams-property-tax-plan
https://www.smithmoses.com/2026/budget/agency/star
https://www.evesun.com/news/stories/2026-08-31/45426/author-story/</t>
        </is>
      </c>
    </row>
    <row r="34" ht="409" customHeight="1">
      <c r="A34" s="13" t="inlineStr">
        <is>
          <t>North Carolina</t>
        </is>
      </c>
      <c r="B34" s="4" t="inlineStr">
        <is>
          <r>
            <rPr>
              <rFont val="Carlito"/>
              <b val="1"/>
              <sz val="14"/>
            </rPr>
            <t>D.</t>
          </r>
          <r>
            <rPr>
              <rFont val="Carlito"/>
              <sz val="11"/>
            </rPr>
            <t xml:space="preserve">
Restriction points 5.5 of 18 (assessment cap 1; rate cap 2; truth in taxation 1; rollback 0.5; school districts covered 0.5; November-ballot rule 0.25; use restrictions 0.25). Deductions: built-in loopholes -2; workarounds in practice -1; state buydowns +0; data record +0.75. Total 3.25 = D (A 11+, B 8.5-10.9, C 5.5-8.4, D 3-5.4, F under 3).
Why: Built-in loopholes -2: the $1.50 rate cap never binds (top county rate 99 cents) and excludes county school, social services and debt taxes; the revenue-neutral rate is disclosure only; every override passes by simple majority; the 2026 moratorium froze values for one year and left rates free. Workarounds -1: Mecklenburg, Durham and Guilford set rates above revenue-neutral or raised rates under the freeze, Wake added 2 cents in FY2027, the John Locke Foundation found $2.6 billion collected above an inflation-plus-population benchmark in the 10 largest counties, and S.L. 2026-12 adds 90% abatements. Buydowns 0: no state buydown. Record +0.75: real per-person collections rose 10.3% from FY2002 to FY2022 (U.S. 23.4%) and fell 5.9% from FY2019 to FY2024, the burden is 1.84% of income (U.S. 2.89%) and the effective rate 0.61%, offset by real homeowner bill growth of 13.1% from 2010 to 2024 (U.S. 9.3%).</t>
          </r>
        </is>
      </c>
      <c r="C34" s="4">
        <f>((LEFT(D34,3)="Yes")+(LEFT(E34,3)="Yes")+(LEFT(F34,3)="Yes")+(LEFT(G34,3)="Yes"))&amp;" of 4 in force"&amp;IF(((LEFT(D34,7)="Partial")+(LEFT(E34,7)="Partial")+(LEFT(F34,7)="Partial")+(LEFT(G34,7)="Partial"))&gt;0," + "&amp;((LEFT(D34,7)="Partial")+(LEFT(E34,7)="Partial")+(LEFT(F34,7)="Partial")+(LEFT(G34,7)="Partial"))&amp;" partial","")&amp;CHAR(10)&amp;CHAR(10)&amp;IF(LEFT(D34,3)="Yes","✓",IF(LEFT(D34,7)="Partial","◐","✗"))&amp;" Spending limit"&amp;CHAR(10)&amp;IF(LEFT(E34,3)="Yes","✓",IF(LEFT(E34,7)="Partial","◐","✗"))&amp;" Levy limit"&amp;CHAR(10)&amp;IF(LEFT(F34,3)="Yes","✓",IF(LEFT(F34,7)="Partial","◐","✗"))&amp;" Assessment cap"&amp;CHAR(10)&amp;IF(LEFT(G34,3)="Yes","✓",IF(LEFT(G34,7)="Partial","◐","✗"))&amp;" Rate cap"</f>
        <v/>
      </c>
      <c r="D34" s="4" t="inlineStr">
        <is>
          <r>
            <rPr>
              <rFont val="Carlito"/>
              <b val="1"/>
              <sz val="11"/>
            </rPr>
            <t>No.</t>
          </r>
          <r>
            <rPr>
              <rFont val="Carlito"/>
              <sz val="11"/>
            </rPr>
            <t xml:space="preserve">
No limit on growth in local spending. Counties, cities and districts must adopt balanced annual budget ordinances under the Local Government Budget and Fiscal Control Act, which does not limit their size.</t>
          </r>
        </is>
      </c>
      <c r="E34" s="4" t="inlineStr">
        <is>
          <r>
            <rPr>
              <rFont val="Carlito"/>
              <b val="1"/>
              <sz val="11"/>
            </rPr>
            <t>No.</t>
          </r>
          <r>
            <rPr>
              <rFont val="Carlito"/>
              <sz val="11"/>
            </rPr>
            <t xml:space="preserve">
No cap on growth in property tax levies. Each board sets its rate every year in the budget ordinance, within the rate limits (see Rate). Between reappraisals, revenue from existing real property grows only when rates rise.
Pending (Nov. 3, 2026 ballot): S.L. 2026-5 (HB 1089) would add to the Constitution: "The General Assembly shall enact general laws limiting the amount by which the levy of taxes on property may increase, which may include exceptions." The amendment sets no percentage, formula or deadline; the limit and its exceptions would come in later legislation. The Fiscal Research Division found no fiscal impact for that reason.
Authority: N.C. Const. art. V §2(5) as proposed by S.L. 2026-5 (HB 1089, ratified May 21, 2026).</t>
          </r>
        </is>
      </c>
      <c r="F34" s="4" t="inlineStr">
        <is>
          <r>
            <rPr>
              <rFont val="Carlito"/>
              <b val="1"/>
              <sz val="11"/>
            </rPr>
            <t>Partial.</t>
          </r>
          <r>
            <rPr>
              <rFont val="Carlito"/>
              <sz val="11"/>
            </rPr>
            <t xml:space="preserve">
No cap on growth in a property's assessed value. Real property is appraised at market value as of the county's last general reappraisal, which must take place at least every eighth year. A county of 75,000 or more people must advance its reappraisal when its sales assessment ratio falls below 0.85 or rises above 1.15, effective no later than the third year after the notice. Between reappraisals, the assessor may correct errors and recognize changes in the property itself, but may not adjust values for inflation, deflation or other economic changes. Values then reset to market in one step.
Temporary freeze for 2026-27: S.L. 2026-8 (SB 889), as amended by S.L. 2026-47 (SB 474), bars nine counties whose reappraisals took effect January 1, 2026 (Anson, Bladen, Buncombe, Chowan, Davidson, Guilford, Onslow, Pamlico and Pender) from using the new values for the taxable year beginning July 1, 2026. They keep their prior values for one year, apply the 2026 values from July 1, 2027, and are treated as having reappraised on January 1, 2027 for the eight-year clock. Exempt: counties under 12,000 people (Clay), counties under 150,000 in the third year after a mandatory advancement notice (Harnett), counties that levied more than 95 cents per $100 in any of the prior four years (Scotland), and Hurricane Helene-area counties that adopted a 2026-27 rate at or below the revenue-neutral rate rounded up to the next cent (Buncombe could have qualified this way and did not). The freeze places no limit on tax rates.
Farm and forest land in the present-use value program is taxed on its use value; the difference is deferred, and deferred taxes for the preceding three fiscal years become due when the land loses eligibility.
Authority: N.C. Gen. Stat. §§105-286, 105-287, 105-277.4; S.L. 2026-8 (SB 889, 2026); S.L. 2026-47 (SB 474, 2026).</t>
          </r>
        </is>
      </c>
      <c r="G34" s="4" t="inlineStr">
        <is>
          <r>
            <rPr>
              <rFont val="Carlito"/>
              <b val="1"/>
              <sz val="11"/>
            </rPr>
            <t>Yes.</t>
          </r>
          <r>
            <rPr>
              <rFont val="Carlito"/>
              <sz val="11"/>
            </rPr>
            <t xml:space="preserve">
Each county and each city may levy up to a combined $1.50 per $100 of appraised value for the purposes listed in its statute (current limits since 1973):
- Counties: outside the limit, with no restriction on rate or amount, are taxes for schools (the county's share of public school and community college costs), social services, courts, jails, elections, debt service on general obligation bonds and notes, unforeseen revenue deficits and joint undertakings for these purposes. Sheriffs, fire protection, health, libraries, parks and general administration are inside the limit.
- Cities: outside the limit are general obligation debt service, unforeseen deficits and the added cost of suppressing riots or civil disorders. Police, fire, streets, solid waste and city supplements to public schools are inside it.
- Service districts: county and city service district taxes count toward the $1.50 limit when added to the countywide or citywide rate, unless district voters approve the excess.
- Rural fire protection districts: up to 10 cents per $100, or 15 cents when district voters approve the higher limit.
Overrides by simple majority of voters: a county or city may levy a voted tax for any authorized purpose outside the limit, or raise the limit itself. No limit applies to the combined county, city and district rate.
Authority: N.C. Gen. Stat. §§153A-149, 160A-209, 153A-307, 160A-542, 69-25.4.</t>
          </r>
        </is>
      </c>
      <c r="H34" s="4" t="inlineStr">
        <is>
          <r>
            <rPr>
              <rFont val="Carlito"/>
              <b val="1"/>
              <sz val="11"/>
            </rPr>
            <t>Partial.</t>
          </r>
          <r>
            <rPr>
              <rFont val="Carlito"/>
              <sz val="11"/>
            </rPr>
            <t xml:space="preserve">
North Carolina has no independent school districts. County and city boards of education have no taxing power: they submit budgets to the board of county commissioners, which appropriates local current expense and capital outlay money and levies all school taxes, while the state pays position and dollar allotments to every unit ($12.75 billion in state appropriations in 2025-26). County taxes for schools sit outside the $1.50 rate limit. The limits that reach school money are narrow:
- city appropriations to supplement public schools count under the city's $1.50 limit;
- supplemental school taxes need voter approval in the school unit or district, and a later rate increase needs another vote (NCDOR lists 14 school district rates for 2025-26);
- the 2026-27 reappraisal moratorium held values for all taxes, school taxes included, in nine counties.
When a school board finds the county's appropriation insufficient, the two boards must mediate. If mediation fails on current expense, the appropriation is set by a per-pupil formula based on the prior year's amount. On capital outlay, the school board may sue; a judge or jury sets the amount "legally necessary," and the county must levy the property taxes needed to pay it.
Authority: N.C. Gen. Stat. §§153A-149(b)(7), 160A-209(c)(26b), 115C-429, 115C-431, 115C-501, 115C-511.</t>
          </r>
        </is>
      </c>
      <c r="I34" s="4" t="inlineStr">
        <is>
          <r>
            <rPr>
              <rFont val="Carlito"/>
              <b val="1"/>
              <sz val="11"/>
            </rPr>
            <t>No.</t>
          </r>
          <r>
            <rPr>
              <rFont val="Carlito"/>
              <sz val="11"/>
            </rPr>
            <t xml:space="preserve">
North Carolina levies no state property tax. All property taxes are levied by counties, cities and special districts and collected locally.</t>
          </r>
        </is>
      </c>
      <c r="J34" s="4" t="inlineStr">
        <is>
          <r>
            <rPr>
              <rFont val="Carlito"/>
              <b val="1"/>
              <sz val="11"/>
            </rPr>
            <t>Yes.</t>
          </r>
          <r>
            <rPr>
              <rFont val="Carlito"/>
              <sz val="11"/>
            </rPr>
            <t xml:space="preserve">
No general homestead exemption. Three state-mandated programs reduce taxes on homes, and an owner may receive only one:
- Elderly or disabled exclusion: owners 65 or older or totally and permanently disabled, with prior-year income up to $38,800 (the 2026 limit, indexed each year to the Social Security cost-of-living adjustment from $25,000 in 2008), exclude the greater of $25,000 or 50% of the home's appraised value.
- Disabled veteran exclusion: the first $45,000 of appraised value is excluded for honorably discharged veterans with a permanent and total service-connected disability or who received specially adapted housing benefits, and for unremarried surviving spouses of disabled veterans or of veterans whose death was service-connected. There is no income test.
- Circuit breaker deferral (see Credits).
Local governments bear the revenue loss. H 683 and H 1122 (2025-26 session) would exclude the full value of disabled veterans' homes and reimburse local governments; neither has been enacted.
Authority: N.C. Gen. Stat. §§105-277.1, 105-277.1C; NCDOR income eligibility memo for 2026 (June 27, 2025).</t>
          </r>
        </is>
      </c>
      <c r="K34" s="4" t="inlineStr">
        <is>
          <r>
            <rPr>
              <rFont val="Carlito"/>
              <b val="1"/>
              <sz val="11"/>
            </rPr>
            <t>Partial.</t>
          </r>
          <r>
            <rPr>
              <rFont val="Carlito"/>
              <sz val="11"/>
            </rPr>
            <t xml:space="preserve">
No state-funded property tax credit, rebate or renter credit. The statewide circuit breaker is a deferral. An owner 65 or older or totally and permanently disabled, who has owned and occupied the home for at least five years and has income up to $58,200 (150% of the $38,800 limit for 2026), pays tax up to 4% of income (income up to $38,800) or 5% of income (above $38,800); the rest is deferred as a lien on the home. When a disqualifying event occurs, such as a transfer of the home or the owner's death (with exceptions for a spouse or co-owner who keeps living there), only the deferred taxes for the preceding three fiscal years, with interest, become due. Collectors must mail each participant an annual statement of the amount that would be due.
Authority: N.C. Gen. Stat. §105-277.1B; NCDOR income eligibility memo for 2026 (June 27, 2025).</t>
          </r>
        </is>
      </c>
      <c r="L34" s="4" t="inlineStr">
        <is>
          <r>
            <rPr>
              <rFont val="Carlito"/>
              <b val="1"/>
              <sz val="11"/>
            </rPr>
            <t>No.</t>
          </r>
          <r>
            <rPr>
              <rFont val="Carlito"/>
              <sz val="11"/>
            </rPr>
            <t xml:space="preserve">
No state program reimburses local governments for the homestead exclusions or other property tax exemptions, or pays them to lower their rates. The state reimbursed counties and cities for the inventory and elderly homestead exemptions until 2002, when the General Assembly repealed those payments and authorized a local half-cent sales tax in their place; the transitional hold harmless for that repeal was itself repealed in 2016. The county and city hold harmless payments now in law make up for repealed local sales taxes. State school funding, including Low Wealth Supplemental Funding ($345.2 million in FY2025-26) and lottery-funded school capital grants, is general aid and does not count.
Authority: N.C.G.S. §§105-277.1, 105-522, 105-523; S.L. 2016-5 §5.2; N.C. DPI, Highlights of the North Carolina Public School Budget (2026).</t>
          </r>
        </is>
      </c>
      <c r="M34" s="4" t="inlineStr">
        <is>
          <r>
            <rPr>
              <rFont val="Carlito"/>
              <b val="1"/>
              <sz val="11"/>
            </rPr>
            <t>Partial.</t>
          </r>
          <r>
            <rPr>
              <rFont val="Carlito"/>
              <sz val="11"/>
            </rPr>
            <t xml:space="preserve">
In each year a general reappraisal takes effect, each local government's budget officer must include in the proposed budget, "for comparison purposes," the revenue-neutral property tax rate: the rate that would raise the current year's revenue on the new values, increased by the average annual growth in the tax base from improvements since the last reappraisal and adjusted for annexations and similar events. No separate notice, hearing or vote is required to adopt a higher rate. Every unit must publish notice that the proposed budget is available, with the time and place of its one required public hearing, and that notice need not mention the revenue-neutral rate. The board then adopts the budget ordinance and tax levy by a simple majority of members present and voting, and city charter initiative or referendum provisions do not apply to it. 
In 2026 the revenue-neutral rate gained a one-time role: a Hurricane Helene-area county that adopted it (rounded up to the next cent) for 2026-27 was exempt from the reappraisal moratorium.
Authority: N.C. Gen. Stat. §§159-11(e) (S.L. 2003-264), 159-12, 159-17; S.L. 2026-47 §1.</t>
          </r>
        </is>
      </c>
      <c r="N34" s="4" t="inlineStr">
        <is>
          <r>
            <rPr>
              <rFont val="Carlito"/>
              <b val="1"/>
              <sz val="11"/>
            </rPr>
            <t>Partial.</t>
          </r>
          <r>
            <rPr>
              <rFont val="Carlito"/>
              <sz val="11"/>
            </rPr>
            <t xml:space="preserve">
No automatic rollback or certified rate. The revenue-neutral rate is a disclosure figure printed in the budget in reappraisal years, and a board may adopt any rate within the $1.50 limit by simple majority after its regular budget hearing. Between reappraisals, assessed values of existing real property stay fixed, so their tax grows only through rate increases.
Authority: N.C. Gen. Stat. §§159-11(e), 105-287.</t>
          </r>
        </is>
      </c>
      <c r="O34" s="4" t="inlineStr">
        <is>
          <r>
            <rPr>
              <rFont val="Carlito"/>
              <b val="1"/>
              <sz val="11"/>
            </rPr>
            <t>No.</t>
          </r>
          <r>
            <rPr>
              <rFont val="Carlito"/>
              <sz val="11"/>
            </rPr>
            <t xml:space="preserve">
Every property tax decision is made by simple majority. Boards adopt the budget ordinance and tax levy by a simple majority of members present and voting. Voters approve levies outside the rate limit, increases in the limit, service district rates above the limit and general obligation bonds by simple majority. The Nov. 3, 2026 amendment leaves the design of any levy limit, including exceptions, to later legislation.
Authority: N.C. Gen. Stat. §§159-17, 153A-149(d)-(e), 160A-209(e)-(f), 153A-307, 160A-542; N.C. Const. art. V §4(2).</t>
          </r>
        </is>
      </c>
      <c r="P34" s="4" t="inlineStr">
        <is>
          <r>
            <rPr>
              <rFont val="Carlito"/>
              <b val="1"/>
              <sz val="11"/>
            </rPr>
            <t>Partial.</t>
          </r>
          <r>
            <rPr>
              <rFont val="Carlito"/>
              <sz val="11"/>
            </rPr>
            <t xml:space="preserve">
Local special elections, including property tax and bond referendums, may be held only at the same time as a state or county general election, an even-year primary, another election with every precinct in the county open, or, for a referendum within one municipality, a municipal general election. Referendums on public health or safety are exempt when the governing body adopts a resolution stating the need. City tax referendums may not fall on the day of a federal, state or county election, so they go with city elections. Most rate increases need no referendum because boards set rates in the budget ordinance.
Authority: N.C. Gen. Stat. §§163-287, 160A-209(e).</t>
          </r>
        </is>
      </c>
      <c r="Q34" s="4" t="inlineStr">
        <is>
          <r>
            <rPr>
              <rFont val="Carlito"/>
              <b val="1"/>
              <sz val="11"/>
            </rPr>
            <t>Partial.</t>
          </r>
          <r>
            <rPr>
              <rFont val="Carlito"/>
              <sz val="11"/>
            </rPr>
            <t xml:space="preserve">
The Constitution bars local property taxes except for purposes authorized by general law applying uniformly statewide, unless voters approve, and the county and city statutes list those purposes. Some levies are dedicated: rural fire district taxes go into a separate fund used only for fire protection, service district taxes pay for added services in the district, and supplemental school taxes go to the school unit's current expense or capital outlay funds. General county and city levies may be spent on any listed purpose.
Authority: N.C. Const. art. V §2(5); N.C. Gen. Stat. §§153A-149, 160A-209, 69-25.4, 153A-307, 160A-542, 115C-511.</t>
          </r>
        </is>
      </c>
      <c r="R34" s="4" t="inlineStr">
        <is>
          <t>100 counties; 552 municipalities; no townships and no independent school districts (Census counts 174 dependent public school systems; county and city school boards depend on county appropriations); 313 special districts in the Census count, led by 93 soil and water conservation districts, 93 housing authorities (which levy no property tax), 41 drainage and flood control districts, 23 water supply districts and 16 air transportation districts. Sanitary districts may levy property taxes. Rural fire protection districts, county service districts and municipal service districts are taxing areas whose taxes are levied by the county commissioners or city council; NCDOR lists 1,312 special district rates for 2025-26, including 943 listed as fire districts (median 8.25 cents per $100), 103 fire service districts and 14 school districts. Census of Governments 2022: 965 local governments.</t>
        </is>
      </c>
      <c r="S34" s="4" t="inlineStr">
        <is>
          <t>Verdict: Partly. Property tax per person rose 6.0% after inflation from FY2002 to FY2024, far below the U.S. gain of 25.9%, and fell 5.9% from FY2019 to FY2024 (U.S. -1.1%).
Why it leaks: North Carolina has no levy limit and no spending limit. Its one standing limit, the $1.50 per $100 rate cap, sits far above levied rates and excludes county school taxes and general obligation debt service. No law limits combined county and city rates. The revenue-neutral rate printed after each reappraisal offers transparency and accountability, and boards still exceed it by simple majority.
How localities get around it: Durham County set 55.42 cents per $100 after its 2025 reappraisal against a revenue-neutral 51.92 cents, then raised it to 57.42 cents. Guilford County, its values frozen by the 2026 moratorium, raised its rate 5.9 cents to 78.95 cents.
Full record:
North Carolina's one standing limit, the $1.50 rate cap, does not bind, and Mecklenburg and Durham counties set rates above the revenue-neutral rate after their recent reappraisals. County and municipal property tax revenue rose about 34% in five years, from $11.3 billion in FY2019-20 to $15.1 billion in FY2024-25, including 8.2% in FY2023-24 and 8.1% in FY2024-25 (Department of Revenue data in the Fiscal Research Division's note on HB 1089; fire and other districts excluded). The Tax Foundation ranks the state 21st on property tax (13th overall).
The record (Census, BEA, ACS): state and local property tax was $1,203 per person in FY2024 (U.S. $2,132), 1.84% of personal income (44th-highest of 50; U.S. 2.89%). After inflation, collections per person (all state and local property tax divided by residents) rose 6.0% from FY2002 to FY2024 (U.S. +25.9%) and fell 5.9% from FY2019 to FY2024 (U.S. -1.1%). The median homeowner paid $2,044 in 2024 (U.S. $3,211); the median bill rose 13.1% after inflation from 2010 to 2024 (U.S. +9.3%). The Tax Foundation's 2026 ranking puts its effective property tax rate on owner-occupied homes at 0.66%, 18th-lowest of 50. By the same measure it was 0.75% in 2010 (U.S. 1.00% in 2010, 0.94% in 2024).
- Rate cap: the cap sits far above levied rates. In FY2025-26 the highest county rate was 99 cents per $100 (Scotland; median 58 cents) and the highest city rate 92.7 cents (Enfield; median 42 cents), and the county figures include the school, social services, jail, court, election and debt taxes that are outside the cap. The highest county rate in the five years from FY2021-22 was $1.045 (Hyde, FY2023-24). Combined county and city rates, which no law limits, reach $1.79 in Maxton.
- Big counties after reappraisal: the revenue-neutral rate is only printed in the budget, and boards adopt higher rates by simple majority. Mecklenburg County (2023 revaluation) set 47.31 cents per $100 for FY2024 against a revenue-neutral rate of 45.71 cents. Durham County (2025 reappraisal) set 55.42 cents for FY2025-26 against a revenue-neutral rate of 51.92 cents, then raised it to 57.42 cents for FY2026-27. Wake County cut its rate to 51.35 cents after its 2024 revaluation, then added 2 cents for FY2027, to 53.71 cents, to raise $62 million.
- Revenue above a levy-limit benchmark: the John Locke Foundation (March 16, 2026) found that the 10 most populous counties collected more than $2.6 billion over a decade above what an inflation-plus-population limit would have allowed, led by Wake ($1.63 billion; collections up 103% against a 63% benchmark), Cabarrus ($295 million), Durham ($196.2 million) and Buncombe ($173.8 million).
- Schools: county school taxes sit outside the cap, and a school board can sue its county over capital funding and obtain an order that the county levy the taxes needed.
- Moratorium: the 2026 moratorium froze values and left rates free. The Fiscal Research Division noted that any revenue increase from existing property in the affected counties would come from rate increases adopted by local officials, "which the bill does not limit." Guilford County, held to its 2025 values, raised its rate by 5.9 cents to 78.95 cents per $100 for FY2026-27, up 8% from 73.05 cents. Buncombe County did not adopt a rate at or below its rounded revenue-neutral rate, which would have exempted it from the moratorium.
- Abatements: S.L. 2026-12 lets a local government create an "incentive district" for new development financed with project development financing debt; property in the district receives a 90% exclusion for 10 years or until it is sold. A county may reject a district proposed by a city.
- Debt: general obligation debt service is outside both caps; counties and cities may issue general obligation debt without a vote up to two-thirds of the debt they retired the year before; installment financing secured by the financed property does not pledge the taxing power, so the constitutional vote requirement for faith-and-credit debt does not reach it.
- Fire districts: the 15-cent cap on rural fire districts can be avoided through county fire service districts, whose rates count only toward the $1.50 county limit; NCDOR's 2025-26 list includes fire district rates up to 26.5 cents.
- State aid: low wealth school aid is cut for counties that tax below the state average rate, so the formula rewards tax effort.
Property tax is 68.5% of local tax revenue (Census FY2022); local sales taxes supply 27.7% (average local rate 2.25% and combined rate 7.00% in 2026), and charges and fees are 48.5% of local own-source revenue. The Nov. 3, 2026 amendment would require a levy limit and leaves its size to a future law.</t>
        </is>
      </c>
      <c r="T34" s="4" t="inlineStr">
        <is>
          <t>- John Locke Foundation (State Policy Network affiliate), Robert Luebke, "Is a tax revolt brewing?" (October 2, 2026). Reports the September 2026 Carolina Journal Poll: 66% of North Carolinians support the November constitutional amendment limiting local property tax increases and 21% oppose it, with support at 82% of Republicans, 54% of Democrats and 60% of independents. The same poll found 56% unsatisfied with how local governments prioritize spending of property tax dollars. https://www.johnlocke.org/is-a-tax-revolt-brewing/
- John Locke Foundation, Joseph Harris, "Model legislation: How North Carolina's property tax levy limit needs to be designed" (May 26, 2026). Supports leaving the formula of the HB 1089 amendment to statute and sets out four design principles for the implementing law: growth tied to the prior year's inflation, new construction treated separately from existing property, minimal exceptions and voter-approved overrides. Its model text caps the levy on existing real property at the prior year's levy times one plus the change in CPI-U. https://www.johnlocke.org/model-legislation-how-north-carolinas-property-tax-levy-limit-needs-to-be-designed/
- Tax Foundation, "Avenues for Property Tax Reform in North Carolina" (March 24, 2026). Finds that local rate-setting decisions explain much of the variation in county property tax revenue growth from FY2018 to FY2023, with Johnston, Cherokee and Watauga at the top for revenue growth. Calls levy limits "the most effective and least distortive option" and faults assessment caps for lock-in effects and rate caps as ineffective when values surge. https://taxfoundation.org/blog/north-carolina-property-tax-reform/
- John Locke Foundation, Joseph Harris, "How much is too much? An analysis of property tax revenue growth in the state's most populous counties" (March 16, 2026). Compares a decade of property tax collections in the 10 largest counties with a benchmark that limits growth to inflation plus population: collections rose 62% on average against 51% allowed, more than $2.6 billion in extra taxes. Wake collected $1.63 billion above the benchmark (103% growth against 63%), Cabarrus $295 million and Durham $196.2 million, while Cumberland stayed $28.4 million under it. https://www.johnlocke.org/how-much-is-too-much-an-analysis-of-property-tax-revenue-growth-in-the-states-most-populous-counties/
- John Locke Foundation, Joseph Harris, "Not all property tax levy limits are created equal" (February 4, 2026). Compares three levy-limit designs by how they treat new construction: under a 3% cap, existing owners' taxes grow 1.07% when new construction counts inside the cap and 3.04% when it is added on top of the cap. Notes that levy limits work on total collections, so a home whose value rises faster than the county average still sees a larger bill increase. https://www.johnlocke.org/not-all-property-tax-levy-limits-are-created-equal/
- John Locke Foundation, Joseph Harris, "Lower rates, higher bills: North Carolina's property tax reality" (January 15, 2026). Finds county property tax revenue rose from about $6.5 billion in FY2015 to $9.6 billion in FY2024, a 46% increase against 42% inflation plus population growth, and notes that all 71 counties that revalued in the prior three years lowered their rates, which did not necessarily lower tax bills. Ranks levy limits tied to inflation plus population as "the strongest protection against rapid tax increases" and says spending limits, done right, can give taxpayers greater protection. https://www.johnlocke.org/lower-rates-higher-bills-north-carolinas-property-tax-reality/
- North Carolina FreeEnterprise Foundation, Coalition for Liberty, Jesse Helms Center and James G. Martin Center (State Policy Network associates): no property tax report since 2021 was found.
Linked list: 6 items on the Analyses sheet (filter State = North Carolina); every source URL is linked on the Sources sheet.</t>
        </is>
      </c>
      <c r="U34" s="4" t="inlineStr">
        <is>
          <t>1973: current $1.50 county and city rate limits. 2003: revenue-neutral rate disclosure in reappraisal years (S.L. 2003-264). 2008: elderly or disabled exclusion income limit set at $25,000, indexed from 2009.
2026:
- S.L. 2026-5 (HB 1089), ratified May 21, 2026 (House 73-46, Senate 31-15): constitutional amendment on the Nov. 3, 2026 ballot, "Constitutional amendment requiring limits on property tax increases by local governments." It would require the General Assembly to enact general laws limiting levy increases, with exceptions, and takes effect on certification if a majority approves. The formula and its exceptions are left to later legislation; the General Assembly may also enact a limit without the amendment. A Carolina Journal Poll in September 2026 found 66% support and 21% opposition. Pending.
- S.L. 2026-8 (SB 889; Senate 35-8, House 70-42; signed June 19, 2026): one-year reappraisal moratorium for counties of 15,000 or more with reappraisals effective January 1, 2026. The fiscal note estimated a one-time $10 million local revenue loss from public service company equalization; Guilford County put its share at $4.4 million.
- S.L. 2026-47 (SB 474; signed July 7, 2026): added exemptions and set the final list of nine counties (Anson, Bladen, Buncombe, Chowan, Davidson, Guilford, Onslow, Pamlico and Pender); counties that had already adopted budgets had to amend them.
- S.L. 2026-12: authorizes local "incentive districts" for new development, with a 90% property tax exclusion for 10 years or until sale.
- S.L. 2026-31: technical Machinery Act changes, including 10-year refunds of fire district taxes until July 1, 2027.
- S.L. 2026-4: a separate amendment on the same ballot would lower the constitutional income tax rate cap from 7% to 3.5%. Pending.
Pending in the Senate: HB 1042 (passed the House 119-0; referred to Senate Rules May 22, 2026) would narrow the low- and moderate-income housing exemption that grew out of the 2013 Blue Ridge Housing of Bakersville ruling, requiring full nonprofit ownership or set government-backed joint ventures.
Not enacted: H 683 and H 1122 (full disabled veteran exclusion with state reimbursement).</t>
        </is>
      </c>
      <c r="V34" s="4" t="inlineStr">
        <is>
          <t>18th (0.66% effective rate; 0.75% in 2010)</t>
        </is>
      </c>
      <c r="W34" s="4" t="inlineStr">
        <is>
          <t>North Carolina caps county and city rates at $1.50 per $100 for listed purposes, but county school, social services and debt taxes sit outside the cap and no county or city rate comes near it. There is no levy or spending limit. The revenue-neutral rate is disclosure only, and every override passes by simple majority. In 2026 the General Assembly froze 2026 reappraisal values in nine counties for one year, without limiting rates, and sent voters a Nov. 3 amendment requiring a future statutory levy limit.</t>
        </is>
      </c>
      <c r="X34" s="4" t="inlineStr">
        <is>
          <t>https://www.ncleg.gov/EnactedLegislation/Statutes/HTML/BySection/Chapter_153A/GS_153A-149.html
https://www.ncleg.gov/EnactedLegislation/Statutes/HTML/BySection/Chapter_160A/GS_160A-209.html
https://www.ncleg.gov/EnactedLegislation/Statutes/HTML/BySection/Chapter_153A/GS_153A-301.html
https://www.ncleg.gov/EnactedLegislation/Statutes/HTML/BySection/Chapter_153A/GS_153A-307.html
https://www.ncleg.gov/EnactedLegislation/Statutes/HTML/BySection/Chapter_160A/GS_160A-542.html
https://www.ncleg.gov/EnactedLegislation/Statutes/HTML/BySection/Chapter_69/GS_69-25.4.html
https://www.ncleg.gov/EnactedLegislation/Statutes/HTML/BySection/Chapter_159/GS_159-11.html
https://www.ncleg.gov/EnactedLegislation/Statutes/HTML/BySection/Chapter_159/GS_159-12.html
https://www.ncleg.gov/EnactedLegislation/Statutes/HTML/BySection/Chapter_159/GS_159-17.html
https://www.ncleg.gov/EnactedLegislation/Statutes/HTML/BySection/Chapter_163/GS_163-287.html
https://www.ncleg.gov/EnactedLegislation/Statutes/HTML/BySection/Chapter_105/GS_105-286.html
https://www.ncleg.gov/EnactedLegislation/Statutes/HTML/BySection/Chapter_105/GS_105-287.html
https://www.ncleg.gov/EnactedLegislation/Statutes/HTML/BySection/Chapter_105/GS_105-277.1.html
https://www.ncleg.gov/EnactedLegislation/Statutes/HTML/BySection/Chapter_105/GS_105-277.1B.html
https://www.ncleg.gov/EnactedLegislation/Statutes/HTML/BySection/Chapter_105/GS_105-277.1C.html
https://www.ncleg.gov/EnactedLegislation/Statutes/HTML/BySection/Chapter_105/GS_105-277.4.html
https://www.ncleg.gov/EnactedLegislation/Statutes/HTML/BySection/Chapter_115C/GS_115C-429.html
https://www.ncleg.gov/EnactedLegislation/Statutes/HTML/BySection/Chapter_115C/GS_115C-431.html
https://www.ncleg.gov/EnactedLegislation/Statutes/HTML/BySection/Chapter_115C/GS_115C-501.html
https://www.ncleg.gov/EnactedLegislation/Statutes/HTML/BySection/Chapter_115C/GS_115C-511.html
https://www.ncleg.gov/EnactedLegislation/Statutes/HTML/BySection/Chapter_130A/GS_130A-62.html
https://www.ncleg.gov/EnactedLegislation/Statutes/HTML/BySection/Chapter_160A/GS_160A-20.html
https://www.ncleg.gov/Laws/Constitution/Article5
https://www.ncleg.gov/EnactedLegislation/SessionLaws/HTML/2025-2026/SL2026-5.html
https://www.ncleg.gov/BillLookUp/2025/H1089
https://ncleg.gov/Sessions/2025/FiscalNotes/House/PDF/HFN1089v1.pdf
https://ncleg.gov/EnactedLegislation/SessionLaws/HTML/2025-2026/SL2026-8.html
https://www.ncleg.gov/Sessions/2025/FiscalNotes/Senate/PDF/SFN889v1.pdf
https://ncleg.gov/EnactedLegislation/SessionLaws/HTML/2025-2026/SL2026-47.html
https://ncleg.gov/Legislation/SummariesPublication/Summary/2024/11/S474-SMBA-141(sl)-v-8/
https://lrs.sog.unc.edu/node/563122
https://lrs.sog.unc.edu/node/576819
https://www.yadkincountync.gov/DocumentCenter/View/6548/2026-Homestead-Income-Eligibility-Limits-Memo
https://www.ncdor.gov/2025-2026-county-tax-rates-finalpdf/open
https://www.ncdor.gov/2025-2026taxratesxlsx/open
https://www.dpi.nc.gov/documents/fbs/budget/highlights-2026-finalpdf/download?attachment
https://www.guilfordcountync.gov/news/press-releases/2026/06/25/board-commissioners-adopts-balanced-fiscal-year-2027-budget
https://www.guilfordcountync.gov/government/departments-and-agencies/tax-department/property-tax-moratorium-information-hub
https://www.carolinajournal.com/nc-house-sends-property-tax-reappraisal-delay-to-steins-desk/
https://www.lincolninst.edu/app/uploads/2024/10/truth_in_taxation_2024.xlsx
https://www2.census.gov/programs-surveys/gov-finances/tables/2022/22slsstab1.xlsx
https://www.johnlocke.org/how-much-is-too-much-an-analysis-of-property-tax-revenue-growth-in-the-states-most-populous-counties/
https://www.johnlocke.org/model-legislation-how-north-carolinas-property-tax-levy-limit-needs-to-be-designed/
https://www.johnlocke.org/is-a-tax-revolt-brewing/
https://news.mecknc.gov/board-county-commissioners-adopts-236-billion-operating-budget-fy2024
https://dconc.gov/Public-Information1/Documents/Publications/FAQ---Understanding-Durham-Countys-Tax-Reappraisal-Process.6.20.26-final.pdf
https://abc11.com/post/wake-county-adopts-208-billion-budget-heavy-school/14907919/
https://wake.gov/budget
https://www.sog.unc.edu/node/374630
https://www.ncleg.gov/BillLookUp/2025/H1042
https://www.maynardnexsen.com/publication-examining-changes-to-north-carolina-property-tax-law-levy-limits-and-the-affordable-housing-exemption</t>
        </is>
      </c>
    </row>
    <row r="35" ht="409" customHeight="1">
      <c r="A35" s="13" t="inlineStr">
        <is>
          <t>North Dakota</t>
        </is>
      </c>
      <c r="B35" s="4" t="inlineStr">
        <is>
          <r>
            <rPr>
              <rFont val="Carlito"/>
              <b val="1"/>
              <sz val="14"/>
            </rPr>
            <t>C.</t>
          </r>
          <r>
            <rPr>
              <rFont val="Carlito"/>
              <sz val="11"/>
            </rPr>
            <t xml:space="preserve">
Restriction points 9.5 of 18 (levy limit 4; rate cap 2; truth in taxation 1; rollback 0.5; supermajority 0.5; school districts covered 1; November-ballot rule 0.25; use restrictions 0.25). Deductions: built-in loopholes -1.5; workarounds in practice -0.5; state buydowns -1.5; data record +0.5. Total 6.5 = C (A 11+, B 8.5-10.9, C 5.5-8.4, D 3-5.4, F under 3).
Why: Built-in loopholes -1.5: the 3% limit excludes bonds, special assessments, first-time levies and new voter-approved authority, uses a three-year high-water base with five-year carryover, and the base year rule lets districts levy above mill limits. Workarounds -0.5: special assessments rose 6.1% in 2025, some large districts raised adjusted levies far above 3% (Beulah +77.43%), and Fargo and Bismarck lean on sales taxes and fees. Buydowns -1.5: the state-paid primary residence credit ($408.9 million for 2025-27, about $204 million a year) equals about 15% of FY2024 state and local property tax collections ($1.34 billion). Record +0.5: real per-person collections rose 19.1% from FY2002 to FY2022 (U.S. 23.4%) and fell 6.7% from FY2019 to FY2024, real homeowner bills rose 5.8% from 2010 to 2024 (U.S. 9.3%) and the burden is 2.30% of income (U.S. 2.89%), offset by an effective rate of 0.96% (U.S. 0.89%).</t>
          </r>
        </is>
      </c>
      <c r="C35" s="4">
        <f>((LEFT(D35,3)="Yes")+(LEFT(E35,3)="Yes")+(LEFT(F35,3)="Yes")+(LEFT(G35,3)="Yes"))&amp;" of 4 in force"&amp;IF(((LEFT(D35,7)="Partial")+(LEFT(E35,7)="Partial")+(LEFT(F35,7)="Partial")+(LEFT(G35,7)="Partial"))&gt;0," + "&amp;((LEFT(D35,7)="Partial")+(LEFT(E35,7)="Partial")+(LEFT(F35,7)="Partial")+(LEFT(G35,7)="Partial"))&amp;" partial","")&amp;CHAR(10)&amp;CHAR(10)&amp;IF(LEFT(D35,3)="Yes","✓",IF(LEFT(D35,7)="Partial","◐","✗"))&amp;" Spending limit"&amp;CHAR(10)&amp;IF(LEFT(E35,3)="Yes","✓",IF(LEFT(E35,7)="Partial","◐","✗"))&amp;" Levy limit"&amp;CHAR(10)&amp;IF(LEFT(F35,3)="Yes","✓",IF(LEFT(F35,7)="Partial","◐","✗"))&amp;" Assessment cap"&amp;CHAR(10)&amp;IF(LEFT(G35,3)="Yes","✓",IF(LEFT(G35,7)="Partial","◐","✗"))&amp;" Rate cap"</f>
        <v/>
      </c>
      <c r="D35" s="4" t="inlineStr">
        <is>
          <r>
            <rPr>
              <rFont val="Carlito"/>
              <b val="1"/>
              <sz val="11"/>
            </rPr>
            <t>No.</t>
          </r>
          <r>
            <rPr>
              <rFont val="Carlito"/>
              <sz val="11"/>
            </rPr>
            <t xml:space="preserve">
No limit on growth in local spending. County, city and school district levies may raise only the amount needed for the adopted budget, reserves and debt service, and the 3% levy limit (see Levy) restrains property tax revenue only.
Authority: N.D.C.C. §§57-15-05, 57-15-07, 57-15-13.</t>
          </r>
        </is>
      </c>
      <c r="E35" s="4" t="inlineStr">
        <is>
          <r>
            <rPr>
              <rFont val="Carlito"/>
              <b val="1"/>
              <sz val="11"/>
            </rPr>
            <t>Yes.</t>
          </r>
          <r>
            <rPr>
              <rFont val="Carlito"/>
              <sz val="11"/>
            </rPr>
            <t xml:space="preserve">
Levy limitation without voter approval (HB 1176, 2025; from taxable year 2025): property taxes levied in dollars by any taxing district (every political subdivision empowered to levy taxes, including counties, cities, townships, school districts and park, fire and other districts) may not exceed 3% above the greater of:
- the base year levy, which is the district's highest levy in dollars in the three preceding taxable years; or
- the prior year's levy, adjusted up at the prior mill rate for newly taxable property and reduced or expired exemptions, and down for property leaving the tax roll and for expired temporary voter-approved levies.
Outside the limit:
- new or increased levy authority from a change in state law or from voter approval, in the year it becomes available;
- any levy a governing board raises above zero mills for the first time, if the authority was never used before;
- bonds and other debt, special assessments and general taxes for special improvement projects or deficiencies, the one-mill state medical center levy and the Garrison Diversion Conservancy District levy (up to one mill);
- county emergency fund and city emergency levies, levies to pay special assessments owed by political subdivisions, water resource district levies, school tuition levies and two other listed city levies (§§40-24-10, 40-43-01);
- for 2025 only, a city could move the prior year's levies under §§40-05-19 and 57-15-42 (fire department capital improvements and equipment) into its general fund levy without counting them.
Unused allowance carries forward for up to five years, oldest first. Overrides: a simple majority of voters at a statewide general election approves a stated percentage and dollar increase for four taxable years; townships vote at the annual township meeting. Home rule cities and counties may not supersede the limit.
HB 1176 repealed the school general fund rule that allowed the prior year's levy plus 12%, up to 70 mills. Park districts keep an alternative general fund ceiling of their highest levy in the past three years plus 12%, within 38 mills.
Authority: N.D.C.C. §57-15-01.2 (HB 1176, 2025, §§22, 31); §57-15-12.</t>
          </r>
        </is>
      </c>
      <c r="F35" s="4" t="inlineStr">
        <is>
          <r>
            <rPr>
              <rFont val="Carlito"/>
              <b val="1"/>
              <sz val="11"/>
            </rPr>
            <t>No.</t>
          </r>
          <r>
            <rPr>
              <rFont val="Carlito"/>
              <sz val="11"/>
            </rPr>
            <t xml:space="preserve">
No cap on growth in assessed value. Assessors value property at true and full value each year. Assessed value is 50% of true and full value, and taxable value is 9% of assessed value for residential property (4.5% of market value) and 10% for agricultural, commercial and centrally assessed property. Agricultural land is valued by a productivity formula, its capitalized average annual gross return. Since HB 1176 (2025), assessors must send every owner the parcel's current and prior-year true and full value at least 15 days before the local board of equalization meets.
Authority: N.D.C.C. §§57-02-01, 57-02-27, 57-02-27.1, 57-02-27.2, 57-02-53.</t>
          </r>
        </is>
      </c>
      <c r="G35" s="4" t="inlineStr">
        <is>
          <r>
            <rPr>
              <rFont val="Carlito"/>
              <b val="1"/>
              <sz val="11"/>
            </rPr>
            <t>Yes.</t>
          </r>
          <r>
            <rPr>
              <rFont val="Carlito"/>
              <sz val="11"/>
            </rPr>
            <t xml:space="preserve">
Maximum general fund levies, in mills on taxable value:
- Counties: 60 mills. Many special-purpose levies sit outside it, for example up to 4 mills for airports and 2 mills for extension work (plus 2 more with voter approval).
- Cities: 105 mills; voters may add up to 10 mills by majority vote at a regular or special election. Listed levies are excluded.
- Park districts: up to 38 mills, further held to the higher of its highest general fund levy in dollars of the past three years plus 12% or its highest mill rate of those years (including pension, retirement and forestry mills); voters may approve up to 38 mills for up to ten years.
- Townships: 18 mills; voters at the annual meeting may add up to 18 mills for up to five years.
- School districts: 60 mills for the local contribution to education costs and 10 mills for any educational purpose (70 mills of general fund levy), plus up to 12 mills for a miscellaneous fund, 3 mills for a special reserve fund, 5 mills for a school safety plan fund with voter approval, the mills needed for tuition and up to 20 mills for a building fund with 60% voter approval.
Bonded debt and special assessments are excluded. School voters may approve excess general fund levies for up to ten years (majority in districts above 4,000 population, 55% below). Two rules weaken the mill limits: a district may levy its base year dollars (its highest levy of the three prior years, adjusted for property changes) even when that exceeds a mill limit, and home rule charters may set their own mill levy limits. The 3% dollar limit applies on top of the mill limits.
Authority: N.D.C.C. §§57-15-01.1, 57-15-06, 57-15-06.7, 57-15-08, 57-15-10, 57-15-12, 57-15-14, 57-15-14.2, 57-15-16, 57-15-20, 40-05.1-06.</t>
          </r>
        </is>
      </c>
      <c r="H35" s="4" t="inlineStr">
        <is>
          <r>
            <rPr>
              <rFont val="Carlito"/>
              <b val="1"/>
              <sz val="11"/>
            </rPr>
            <t>Yes.</t>
          </r>
          <r>
            <rPr>
              <rFont val="Carlito"/>
              <sz val="11"/>
            </rPr>
            <t xml:space="preserve">
School districts are under the 3% levy limit, which excludes tuition levies, bonds and new voter-approved authority in its first year, and under the mill limits above. The state aid formula subtracts the value of 60 mills of each district's taxable value as its local contribution. For 2025-27 the state pays gap funding to districts whose 60-mill levy fell short because of the 3% limit (24 districts, $1.8 million in 2025-26). HB 1176 replaced the earlier general fund rule (prior year plus 12%, up to 70 mills) with the 60-mill and 10-mill levies. Building fund levies need 60% voter approval; excess general fund levies need a majority, or 55% in districts under 4,000 population.
Authority: N.D.C.C. §§57-15-01.2, 57-15-14, 57-15-14.2, 57-15-16, 15.1-27-04.1; HB 1176 (2025) §§23, 28.</t>
          </r>
        </is>
      </c>
      <c r="I35" s="4" t="inlineStr">
        <is>
          <r>
            <rPr>
              <rFont val="Carlito"/>
              <b val="1"/>
              <sz val="11"/>
            </rPr>
            <t>Yes.</t>
          </r>
          <r>
            <rPr>
              <rFont val="Carlito"/>
              <sz val="11"/>
            </rPr>
            <t xml:space="preserve">
The constitution requires an annual state levy of one mill on all taxable property, an additional tax paid into the state treasury for the state medical center at the University of North Dakota. It raised $6.6 million in 2025, 0.4% of ad valorem property taxes, and is outside the 3% limit. All other property taxes are local; the Garrison Diversion Conservancy District levy (up to one mill) is a district tax in member counties.
Authority: N.D. Const. art. X §10; N.D.C.C. §57-15-01.2(2)(d).</t>
          </r>
        </is>
      </c>
      <c r="J35" s="4" t="inlineStr">
        <is>
          <r>
            <rPr>
              <rFont val="Carlito"/>
              <b val="1"/>
              <sz val="11"/>
            </rPr>
            <t>Yes.</t>
          </r>
          <r>
            <rPr>
              <rFont val="Carlito"/>
              <sz val="11"/>
            </rPr>
            <t xml:space="preserve">
No general homestead exemption. The "homestead credit" reduces the taxable value of the home of an owner 65 or older or permanently and totally disabled:
- income up to $40,000: 100% of taxable value, up to $9,000 of taxable value (about $200,000 of market value);
- income from $40,001 to $70,000: 50%, up to $4,500 of taxable value (about $100,000).
The income brackets are not indexed for inflation. The disabled veterans' credit reduces the first $9,000 of a homestead's taxable value by the veteran's service-connected disability rating (50% or more, or individual unemployability paid at the 100% rate); surviving spouses receiving dependency and indemnity compensation receive 100%. The state funds both.
Authority: N.D.C.C. §§57-02-08.1 (homestead credit), 57-02-08.8 (disabled veterans' credit, amended by HB 1176, 2025).</t>
          </r>
        </is>
      </c>
      <c r="K35" s="4" t="inlineStr">
        <is>
          <r>
            <rPr>
              <rFont val="Carlito"/>
              <b val="1"/>
              <sz val="11"/>
            </rPr>
            <t>Yes.</t>
          </r>
          <r>
            <rPr>
              <rFont val="Carlito"/>
              <sz val="11"/>
            </rPr>
            <t xml:space="preserve">
- Primary residence credit: up to $1,600 a year against the property tax on a primary residence (one per parcel; special assessments excluded; never more than the tax due), applied on the tax statement and paid to local governments by the state. HB 1158 (2023) created it at $500; HB 1176 raised it to $1,600 from taxable year 2025. From taxable year 2026 the credit requires primary residence certification by the county director of tax equalization, applied for by April 1. At the 2025 statewide average levy of 238.32 mills, $1,600 equals the full tax on a home with a market value of about $149,000.
- Renters' refund: renters 65 or older or disabled who meet the homestead credit income limit receive a state refund of the part of 20% of their rent that exceeds 4% of income, up to $600 (raised from $400 by HB 1176).
Authority: N.D.C.C. §§57-02-08.9, 57-02-08.10, 57-02-01.2, 57-02-08.1(2); HB 1158 (2023); HB 1176 (2025).</t>
          </r>
        </is>
      </c>
      <c r="L35" s="4" t="inlineStr">
        <is>
          <r>
            <rPr>
              <rFont val="Carlito"/>
              <b val="1"/>
              <sz val="11"/>
            </rPr>
            <t>Yes.</t>
          </r>
          <r>
            <rPr>
              <rFont val="Carlito"/>
              <sz val="11"/>
            </rPr>
            <t xml:space="preserve">
- Primary residence credit: every owner-occupied primary residence receives a credit of up to $1,600 a year on its property tax bill for 2025 and 2026, with no age or income test, and the state reimburses local governments for the full credit. HB 1176 (2025) appropriated $408.9 million for 2025-27 from the legacy property tax relief fund, which is funded with Legacy Fund earnings; if costs run higher, the Tax Commissioner may use unspent homestead and disabled veterans' credit funds and must request a deficiency appropriation.
- Homestead credit and disabled veterans' credit: the state also reimburses these credits, which carry income, age, disability or veteran tests.
State aid under the integrated school formula, which deducts a 60-mill local contribution, is general school aid and does not count.
Authority: HB 1176 (2025); N.D.C.C. §§57-02-08.1, 57-02-08.8, 57-02-08.9, 57-02-08.10.</t>
          </r>
        </is>
      </c>
      <c r="M35" s="4" t="inlineStr">
        <is>
          <r>
            <rPr>
              <rFont val="Carlito"/>
              <b val="1"/>
              <sz val="11"/>
            </rPr>
            <t>Partial.</t>
          </r>
          <r>
            <rPr>
              <rFont val="Carlito"/>
              <sz val="11"/>
            </rPr>
            <t xml:space="preserve">
Notices and hearings are required, with no rollback or no-new-revenue rate:
- Each taxing district must give the county auditor the date of its budget hearing (no earlier than September 7) by August 10; a district that misses the deadline may not levy more dollars than in the prior year.
- By August 31 the county treasurer sends every owner a notice listing the budget hearing of each taxing district on the parcel and where its budget can be reviewed.
- Assessors send every owner the current and prior-year value before the local board of equalization meets.
- Levies are certified in dollars, and the Tax Commissioner reports each year the levy changes of the 50 largest counties, cities, school districts and park districts.
HB 1176 (2025) removed from the August notice the parcel's prior-year tax and estimated tax by district, the bold "INCREASE" flag and the property's value.
Authority: N.D.C.C. §§57-15-01, 57-15-02.2 (amended by HB 1176, 2025, §21), 57-02-53, 57-20-04.</t>
          </r>
        </is>
      </c>
      <c r="N35" s="4" t="inlineStr">
        <is>
          <r>
            <rPr>
              <rFont val="Carlito"/>
              <b val="1"/>
              <sz val="11"/>
            </rPr>
            <t>Partial.</t>
          </r>
          <r>
            <rPr>
              <rFont val="Carlito"/>
              <sz val="11"/>
            </rPr>
            <t xml:space="preserve">
No certified rollback rate. Levies are set in dollars and the county auditor computes the rate, so rising values do not by themselves raise revenue, and the 3% limit holds the levy on existing property to 3% growth plus carryover unless voters approve more. A district that misses the August 10 hearing deadline is frozen at the prior year's dollars.
Authority: N.D.C.C. §§57-15-01, 57-15-02, 57-15-01.2, 57-15-02.2(1).</t>
          </r>
        </is>
      </c>
      <c r="O35" s="4" t="inlineStr">
        <is>
          <r>
            <rPr>
              <rFont val="Carlito"/>
              <b val="1"/>
              <sz val="11"/>
            </rPr>
            <t>Partial.</t>
          </r>
          <r>
            <rPr>
              <rFont val="Carlito"/>
              <sz val="11"/>
            </rPr>
            <t xml:space="preserve">
Most overrides pass by simple majority, including the 3% levy limit, city, park and township excess levies and school excess levies in districts above 4,000 population. Supermajorities apply to:
- school building fund levies of up to 20 mills: 60% of voters;
- school excess general fund levies in districts under 4,000 population: 55% of voters;
- county historical works levies above one-quarter mill (up to three-quarters): 60% of voters.
Authority: N.D.C.C. §§57-15-16, 57-15-14(1)(b), 57-15-06.7(3), 57-15-01.2(3).</t>
          </r>
        </is>
      </c>
      <c r="P35" s="4" t="inlineStr">
        <is>
          <r>
            <rPr>
              <rFont val="Carlito"/>
              <b val="1"/>
              <sz val="11"/>
            </rPr>
            <t>Partial.</t>
          </r>
          <r>
            <rPr>
              <rFont val="Carlito"/>
              <sz val="11"/>
            </rPr>
            <t xml:space="preserve">
Overrides of the 3% levy limit must be approved at a statewide general election (the next is Nov. 3, 2026), except in townships, which vote at the annual township meeting. Excess levy votes in school, city and park districts may be held at regular or special elections.
Authority: N.D.C.C. §§57-15-01.2(3), 57-15-08, 57-15-12, 57-15-14.</t>
          </r>
        </is>
      </c>
      <c r="Q35" s="4" t="inlineStr">
        <is>
          <r>
            <rPr>
              <rFont val="Carlito"/>
              <b val="1"/>
              <sz val="11"/>
            </rPr>
            <t>Partial.</t>
          </r>
          <r>
            <rPr>
              <rFont val="Carlito"/>
              <sz val="11"/>
            </rPr>
            <t xml:space="preserve">
Many levies are earmarked by statute:
- school miscellaneous (12 mills), special reserve, safety plan, tuition and building fund levies;
- county levies for airports, extension work, historical works, emergencies and other listed purposes;
- township road levies and city levies for fire department equipment and emergencies.
Proceeds of the school 60-mill and 10-mill levies must stay in the general fund. County, city, park and township general fund levies are unrestricted.
Authority: N.D.C.C. §§57-15-06.7, 57-15-14.2, 57-15-16, 57-15-19.4, 57-15-28, 57-15-42, 57-15-48.</t>
          </r>
        </is>
      </c>
      <c r="R35" s="4" t="inlineStr">
        <is>
          <t>53 counties; 356 cities (Census municipal governments); 1,305 townships; 173 independent school districts; 683 special districts in the Census count, led by 274 fire protection districts, 234 park and recreation districts, 54 soil and water conservation districts, 40 health districts, 23 air transportation districts and 20 water supply districts. Tax Commissioner levy tables also show the Garrison Diversion Conservancy District and rural ambulance, hospital and recreation service districts. Census of Governments 2022: 2,570 local governments.</t>
        </is>
      </c>
      <c r="S35" s="4" t="inlineStr">
        <is>
          <t>Verdict: Partly. Property tax per person rose 15.8% after inflation from FY2002 to FY2024, against 25.9% for the U.S., and fell 6.7% from FY2019 to FY2024 (U.S. -1.1%).
Why it leaks: The 3% levy limit (HB 1176) began in 2025, after the record period. It excludes debt and new voter-approved authority. Its base is the highest levy of the past three years, and unused allowance carries forward five years. There is no assessment cap or spending limit. The $1,600 primary residence credit, paid from Legacy Fund earnings, counts against the state: it lowers net bills while gross levies rise.
How localities get around it: Fargo's 2026 budget moves $5.88 million of public safety sales tax into the general fund and raises garbage and recycling fees. Bismarck is funding an $80 million police station partly from a voter-approved sales tax.
Full record:
The 3% levy limit slowed levy growth in its first year, but the state now pays a large share of homeowners' bills from Legacy Fund earnings, and the two largest cities lean on sales taxes and fees. Before the 3% limit, ad valorem property taxes rose 53.7% from 2015 to 2024 ($959 million to $1.474 billion). In 2025, the first year of the 3% limit and the $1,600 credit, they rose 3.1% to $1.519 billion, and the Tax Department reports the average increase fell from 5% in 2024 to 3% in 2025. The Tax Foundation ranks North Dakota 6th on property tax (11th overall).
The record (Census, BEA, ACS): state and local property tax was $1,684 per person in FY2024 (U.S. $2,132), 2.30% of personal income (36th-highest of 50; U.S. 2.89%). After inflation, collections per person (all state and local property tax divided by residents) rose 15.8% from FY2002 to FY2024 (U.S. +25.9%) and fell 6.7% from FY2019 to FY2024 (U.S. -1.1%). The median homeowner paid $2,550 in 2024 (U.S. $3,211); the median bill rose 5.8% after inflation from 2010 to 2024 (U.S. +9.3%). The Tax Foundation's 2026 ranking puts its effective property tax rate on owner-occupied homes at 0.92%, 29th-lowest of 50. By the same measure it was 1.39% in 2010 (U.S. 1.00% in 2010, 0.94% in 2024).
- Exclusions: bonds, special assessments, first-time levies and new voter-approved authority sit outside the limit. Special assessments rose 6.1% in 2025 to $186.8 million. Among the 50 largest districts of each type, 2025 levy changes adjusted for new and removed property reached +77.43% (Beulah) for cities, +22.23% (Oakes) for school districts and +53.33% (New Town) for park districts; the 3% limit allows such increases only through exclusions, carryover, the base year rule or voter approval (the report does not capture changes from exemptions or assessment adjustments).
- Banked capacity: the base is the highest levy of the past three years, and unused allowance carries forward five years.
- New growth: new construction is added at the prior mill rate; counties reported just over $2.17 billion of new growth for 2025. In Fargo's 2026 budget the adjusted prior-year levy with new growth ($50.4 million) exceeded the base year levy ($48.6 million), and the property tax revenue line rose $2.18 million, about 5%, to $46.0 million.
- Revenue shift: Fargo's 2026 budget moves $5.88 million of public safety sales tax revenue (out of $8.67 million) into the general fund and raises residential garbage and recycling rates $2 a month, with other new fees. Bismarck, held to just over $36 million of property tax in 2026 by the 3% limit, is paying for an $80 million police station with part of the half-cent sales tax voters approved in November 2024 and drew $20 million from general fund reserves.
- Local response: districts told the Tax Commissioner they met the limit with smaller raises, delayed capital purchases and cash reserves, and warned that compliance will be harder once reserves run out.
- State money: the $1,600 credit, about $430 million per biennium from Legacy Fund earnings, lowers net bills on primary residences while gross levies keep rising. The Tax Commissioner's estimate of $232 million for taxable year 2026 equals about 15% of the $1.519 billion levied in 2025. Agricultural, commercial and centrally assessed property bore 56% of 2025 levies and receives no credit.
- Mill limits: districts may levy their base year dollars above mill limits, and home rule charters may set their own mill limits; HB 1176 bars home rule from superseding the 3% limit.
In November 2024 voters rejected Measure 4, which would have abolished property taxes except for existing bonded debt (the Tax Department estimated $1.575 billion a year to replace); about 63% voted no, and it lost in every county.
Property tax is 77% of local tax revenue (Census FY2022); local sales taxes supply 21%, and charges are 42.5% of local own-source revenue. The average combined sales tax rate is 7.09%.</t>
        </is>
      </c>
      <c r="T35" s="4" t="inlineStr">
        <is>
          <t>- Tax Foundation, "North Dakota's Property Tax Reform Proposals: A Three-Part Approach" (April 9, 2025). Reviews the House proposals HB 1168, HB 1575 and HB 1176, which would use Legacy Fund earnings to offset costs; HB 1168 would cap annual levy increases at 3% for local taxing districts other than schools, with new construction excluded and overrides only by 60% of voters for up to five years. Notes Gov. Kelly Armstrong's support for HB 1176, then a credit of up to $1,250 covering 75% of the tax on a primary residence (the enacted law set $1,600), and concludes: "These proposals offer meaningful relief to property owners, but each carries fiscal and structural implications that deserve careful consideration." https://taxfoundation.org/blog/north-dakota-property-tax-relief-reform/
- Americans for Prosperity-North Dakota, "Americans for Prosperity-North Dakota Announces 2025 "Pathway to Prosperity" Legislative Agenda" (February 4, 2025). Lists property taxes among its 2025 priorities, saying "The government has the obligation to justify the need for additional revenue from taxpayers," and backs measures requiring local governments to hold public hearings before raising property taxes above the rate of inflation. https://americansforprosperity.org/press-release/americans-for-prosperity-north-dakota-announces-2025-pathway-to-prosperity-legislative-agenda/
- Tax Foundation, "North Dakota Considers Eliminating Property Taxes" (Sept. 4, 2024). Opposes Measure 4: abolition would break the link between paying for and receiving local services, shift local revenue responsibility to the state and create a structural deficit of "nearly $1.3 billion per year" to be replaced with more harmful taxes. https://taxfoundation.org/blog/north-dakota-property-tax-ballot-measure/
- Roughrider Institute (Roughrider Policy Center; State Policy Network affiliate), "ND Legislature Hits Home Stretch" (March 1, 2023). A 2023 session update that notes property tax and income tax bills still alive, including HB 1158, and says: "Efforts from the Legislature to reduce the burden of local property taxes have not solved the problem, as evidenced by the fact that property tax reform is an issue every legislative session." No full property tax report since 2021 was found; its 2025 posts cover pensions and education. https://roughriderinstitute.org/nd-legislature-hits-home-stretch/
Linked list: 4 items on the Analyses sheet (filter State = North Dakota); every source URL is linked on the Sources sheet.</t>
        </is>
      </c>
      <c r="U35" s="4" t="inlineStr">
        <is>
          <t>2013: school levy authority cut as a condition of state aid (statewide ad valorem taxes fell 3.5% that year).
2023: HB 1158 created the $500 primary residence credit, revised the homestead credit and changed income tax rates.
2024: Measure 4, an initiated constitutional amendment to abolish property taxes except for bonded debt, failed with about 63% voting no.
2025: HB 1176 raised the primary residence credit to $1,600 and funded it from Legacy Fund earnings ($408.9 million for 2025-27); imposed the 3% levy limit on all taxing districts with general-election overrides; split the school general fund levy into 60 and 10 mills, ending the 12% rule; raised the renters' refund cap to $600; required primary residence certification from 2026; removed estimated taxes from the August hearing notice; and created the interim Tax Reform and Relief Advisory Committee. It states the intent that the 2027 Legislature consider extending relief to agricultural, commercial, centrally assessed and nonprimary residential property.
2026: state agencies reported first-year results to the interim committee in June (average levy growth of 3%, $1.8 million of school gap funding, about 1,000 certification applications denied); the credit's 2025-27 cost was running about $20 million over the appropriation.
No special session or new property tax law was found for 2026.
No North Dakota property tax measure is on the Nov. 3, 2026 ballot. Constitutional Measure 1 (HCR 3003) would require 60% voter approval for constitutional amendments, which would raise the bar for initiated measures like the 2024 property tax amendment; Measure 2 would have the state fund school meals.</t>
        </is>
      </c>
      <c r="V35" s="4" t="inlineStr">
        <is>
          <t>29th (0.92% effective rate; 1.39% in 2010)</t>
        </is>
      </c>
      <c r="W35" s="4" t="inlineStr">
        <is>
          <t>North Dakota limits every taxing district's levy to 3% growth from 2025, with general-election overrides, on top of statutory mill limits, and pays a $1,600 credit on each primary residence from Legacy Fund earnings. The state also levies a one-mill property tax for the UND medical center. Exclusions for bonds and special assessments, a three-year high-water base and five-year carryover leave room for growth, and the state credit lowers homeowners' bills without restraining levies.</t>
        </is>
      </c>
      <c r="X35" s="4" t="inlineStr">
        <is>
          <t>https://ndlegis.gov/cencode/t57c15.pdf
https://ndlegis.gov/cencode/t57c02.pdf
https://ndlegis.gov/cencode/t15-1c27.pdf
https://ndlegis.gov/cencode/t40c05-1.pdf
https://ndlegis.gov/constit/a10.pdf
https://ndlegis.gov/assembly/69-2025/regular/bill-overview/bo1176.html
https://ndlegis.gov/assembly/69-2025/regular/documents/25-1003-07000.pdf
https://ndlegis.gov/assembly/68-2023/regular/bill-overview/bo1158.html
https://ndlegis.gov/assembly/69-2025/interim/27-5152-03000-meeting-minutes.pdf
https://ndlegis.gov/sites/default/files/resource/committee-memorandum/25.9276.02000.pdf
https://www.tax.nd.gov/sites/default/files/documents/property-tax/2025-property-tax-statistical-report.pdf
https://www.sos.nd.gov/sites/default/files/documents/elections/2026-general-measure-guide.pdf
https://sos.nd.gov/news
https://northdakotamonitor.com/?p=17847
https://northdakotamonitor.com/?p=7039
https://gigafact.org/fact-briefs/did-every-single-county-in-north-dakota-vote-against-a-ban-on-property-taxes-in-2024/
https://www.lincolninst.edu/app/uploads/2024/10/truth_in_taxation_2024.xlsx
https://www2.census.gov/programs-surveys/gov-finances/tables/2022/22slsstab1.xlsx
https://roughriderinstitute.org/nd-legislature-hits-home-stretch/
https://taxfoundation.org/blog/north-dakota-property-tax-relief-reform/
https://taxfoundation.org/blog/north-dakota-property-tax-ballot-measure/
https://www.tax.nd.gov/sites/www/files/documents/guidelines/homestead-veterans-renters/credits-for-nd-homeowners-renters-guideline.pdf
https://download.fargond.gov/0/preliminary_budget_presentation.pdf
https://www.kfyrtv.com/2025/09/11/bismarck-city-commission-approves-final-2026-budget/
https://www.omb.nd.gov/sites/www/files/documents/news/HB%201176%20City%20of%20Bismarck_%20August%202025.pdf</t>
        </is>
      </c>
    </row>
    <row r="36" ht="409" customHeight="1">
      <c r="A36" s="13" t="inlineStr">
        <is>
          <t>Ohio</t>
        </is>
      </c>
      <c r="B36" s="4" t="inlineStr">
        <is>
          <r>
            <rPr>
              <rFont val="Carlito"/>
              <b val="1"/>
              <sz val="14"/>
            </rPr>
            <t>C.</t>
          </r>
          <r>
            <rPr>
              <rFont val="Carlito"/>
              <sz val="11"/>
            </rPr>
            <t xml:space="preserve">
Restriction points 9.25 of 18 (levy limit 4; rate cap 2; rollback 1; supermajority 1; school districts covered 1; use restrictions 0.25). Deductions: built-in loopholes -1.5; workarounds in practice -1; state buydowns -1.5; data record +0.5. Total 5.75 = C (A 11+, B 8.5-10.9, C 5.5-8.4, D 3-5.4, F under 3).
Why: Built-in loopholes -1.5: fixed-sum, bond and charter levies sit outside reduction factors, new levies pass by simple majority, and the 2026 caps on inside millage and 20-mill floor revenue still allow three years of inflation, with restoration on request. Workarounds -1: frequent new school levies, school income taxes in about 210 districts, and abatements costing Franklin County taxing units $192 million a year ($84 million for Columbus City Schools in 2025). Buydowns -1.5: about $2 billion a year in state-paid rollbacks and homestead exemptions, about 10% of FY2024 collections ($20.02 billion), plus HB 186 transition payments. Record +0.5: real per-person collections rose 6.4% in FY2002-FY2022 (US 23.4%) and homeowner bills 5.7% in real terms in 2010-2024 (US 9.3%), with a burden of 2.61% of personal income (US 2.89%), offset by a 1.22% effective rate (39th).</t>
          </r>
        </is>
      </c>
      <c r="C36" s="4">
        <f>((LEFT(D36,3)="Yes")+(LEFT(E36,3)="Yes")+(LEFT(F36,3)="Yes")+(LEFT(G36,3)="Yes"))&amp;" of 4 in force"&amp;IF(((LEFT(D36,7)="Partial")+(LEFT(E36,7)="Partial")+(LEFT(F36,7)="Partial")+(LEFT(G36,7)="Partial"))&gt;0," + "&amp;((LEFT(D36,7)="Partial")+(LEFT(E36,7)="Partial")+(LEFT(F36,7)="Partial")+(LEFT(G36,7)="Partial"))&amp;" partial","")&amp;CHAR(10)&amp;CHAR(10)&amp;IF(LEFT(D36,3)="Yes","✓",IF(LEFT(D36,7)="Partial","◐","✗"))&amp;" Spending limit"&amp;CHAR(10)&amp;IF(LEFT(E36,3)="Yes","✓",IF(LEFT(E36,7)="Partial","◐","✗"))&amp;" Levy limit"&amp;CHAR(10)&amp;IF(LEFT(F36,3)="Yes","✓",IF(LEFT(F36,7)="Partial","◐","✗"))&amp;" Assessment cap"&amp;CHAR(10)&amp;IF(LEFT(G36,3)="Yes","✓",IF(LEFT(G36,7)="Partial","◐","✗"))&amp;" Rate cap"</f>
        <v/>
      </c>
      <c r="D36" s="4" t="inlineStr">
        <is>
          <r>
            <rPr>
              <rFont val="Carlito"/>
              <b val="1"/>
              <sz val="11"/>
            </rPr>
            <t>No.</t>
          </r>
          <r>
            <rPr>
              <rFont val="Carlito"/>
              <sz val="11"/>
            </rPr>
            <t xml:space="preserve">
No limit on growth in local government spending. County budget commissions review each taxing unit's tax budget and, since March 2026, may reduce levies they find unnecessary or excessive (see Levy), but no statute caps spending growth.
Authority: R.C. 5705.32 (as amended by HB 309, 2025).</t>
          </r>
        </is>
      </c>
      <c r="E36" s="4" t="inlineStr">
        <is>
          <r>
            <rPr>
              <rFont val="Carlito"/>
              <b val="1"/>
              <sz val="11"/>
            </rPr>
            <t>Yes.</t>
          </r>
          <r>
            <rPr>
              <rFont val="Carlito"/>
              <sz val="11"/>
            </rPr>
            <t xml:space="preserve">
Ohio limits revenue growth levy by levy, with a different rule for each type of millage:
- Voted levies (outside the 10-mill limitation): each year the Tax Commissioner computes tax reduction factors, separately for Class I (residential and agricultural) and Class II (all other) real property, that lower each levy's effective rate so it raises the same dollars from carryover property as the year before (H.B. 920 of 1976, written into the constitution in 1980). Taxes on new construction and on property that changed class are added on top of the frozen amount. When values fall, effective rates rise back toward the voted rate.
- Inside (unvoted) millage: exempt from reduction factors, so its revenue grew with every reappraisal. Since March 20, 2026 (HB 335), in each reappraisal or triennial update year the county budget commission must lower each inside levy's rate so collections from existing property grow no more than the change in the GDP price deflator over the three preceding years. A unit whose inside collections would not grow may ask the commission to raise the rate back to last year's dollars, up to 10 mills. A unit that voluntarily levies less keeps its earlier base for later years.
- School 20-mill floor: reduction factors may not push a school district's effective current-expense rate below 20 mills (2 mills for joint vocational districts), so floor districts gained revenue at the full rate of reappraisal. From tax year 2025 (HB 186), owners in floor districts receive an "Inflation Cap Credit" that holds the district's floor revenue growth in each reappraisal or update year to the three-year change in the GDP deflator.
Outside these limits: fixed-sum levies (bond levies and the remaining emergency and substitute levies, which raise a set dollar amount), millage provided for by a municipal charter, new construction, and new levies, which pass by simple majority of voters. School voters approved 24 of 66 levies (36%) in May 2026 and 64 of 99 tax issues (64%) in May 2025.
County budget commissions (HB 309, 2025): after a voted levy's first year of collection, the commission may reduce any levy to avoid "unnecessary or excessive collections," after a public hearing for the taxing unit. It may not cut an elected unit's levy below last year's collections unless reserves or carryover cover the gap, or a school district below 20 mills unless the district asks.
Authority: Ohio Const. art. XII §§2, 2a; R.C. 319.301 (reduction factors and 20-mill floor); 319.303 (HB 186, 2025); 5705.316 (HB 335, 2025; amended by HB 479, 2026); 5705.32 (HB 309, 2025).</t>
          </r>
        </is>
      </c>
      <c r="F36" s="4" t="inlineStr">
        <is>
          <r>
            <rPr>
              <rFont val="Carlito"/>
              <b val="1"/>
              <sz val="11"/>
            </rPr>
            <t>No.</t>
          </r>
          <r>
            <rPr>
              <rFont val="Carlito"/>
              <sz val="11"/>
            </rPr>
            <t xml:space="preserve">
No cap on growth in a parcel's assessed value. Taxable value is 35% of market value (the assessment percentage set by the Tax Commissioner). Counties reappraise every six years, with a statistical update in the third year. Qualifying farmland is valued at its current agricultural use value. Ohio limits the revenue effect of reappraisal through its levy rules (see Levy and Rollback).
Authority: R.C. 5715.01(B) (assessment percentage, referenced in R.C. 323.152(A)(1)(c)(ii)).</t>
          </r>
        </is>
      </c>
      <c r="G36" s="4" t="inlineStr">
        <is>
          <r>
            <rPr>
              <rFont val="Carlito"/>
              <b val="1"/>
              <sz val="11"/>
            </rPr>
            <t>Yes.</t>
          </r>
          <r>
            <rPr>
              <rFont val="Carlito"/>
              <sz val="11"/>
            </rPr>
            <t xml:space="preserve">
Unvoted ("inside") property taxes of all overlapping governments combined may not exceed 10 mills per dollar of taxable value, about 0.35% of market value (the "ten-mill limitation"; the constitution sets the outer limit at 1% of true value). From tax year 2026, county budget commissions lower inside rates in reappraisal and update years to hold revenue growth to inflation. Taxes above the limit ("outside millage") need approval by a majority of voters or a municipal charter provision, and there is no maximum total rate for voted levies. School districts also have a floor: reduction factors may not lower a district's effective current-expense rate below 20 mills (the 20-mill floor).
Authority: Ohio Const. art. XII §2; R.C. 5705.02; 319.301(E); 5705.316.</t>
          </r>
        </is>
      </c>
      <c r="H36" s="4" t="inlineStr">
        <is>
          <r>
            <rPr>
              <rFont val="Carlito"/>
              <b val="1"/>
              <sz val="11"/>
            </rPr>
            <t>Yes.</t>
          </r>
          <r>
            <rPr>
              <rFont val="Carlito"/>
              <sz val="11"/>
            </rPr>
            <t xml:space="preserve">
School districts are covered by reduction factors on voted levies, the inside millage inflation cap and the HB 186 credit on 20-mill floor revenue, and new school levies need a two-thirds board vote and a majority of voters. Gaps:
- The 20-mill floor: 409 districts were at the Class I floor in 2023, up from 105 in 2012 (Fleeter testimony, May 2024). Their revenue still grows by inflation in each reappraisal year without a vote.
- Bond levies and other fixed-sum levies sit outside reduction factors.
- School district income taxes, levied by about 210 districts (34%), sit outside property tax limits.
- Emergency and substitute levies approved before 2026 may be renewed as fixed-sum levies. New fixed-sum levies are limited to districts in fiscal caution, watch or emergency or hit by a declared disaster, must fund current operating expenses and may run up to five years (HB 129, 2025). Fixed-sum levies now count toward the 20-mill floor (emergency and substitute levies from the county's first reappraisal or update starting in tax year 2026).
- School levies approved since November 2013 get no state-paid rollback.
Authority: R.C. 319.301, 319.303, 5705.21, 5705.194 (HB 129, 2025); R.C. Chapter 5748 (school district income tax).</t>
          </r>
        </is>
      </c>
      <c r="I36" s="4" t="inlineStr">
        <is>
          <r>
            <rPr>
              <rFont val="Carlito"/>
              <b val="1"/>
              <sz val="11"/>
            </rPr>
            <t>No.</t>
          </r>
          <r>
            <rPr>
              <rFont val="Carlito"/>
              <sz val="11"/>
            </rPr>
            <t xml:space="preserve">
Ohio levies no state property tax; Census FY2022 reports no state property tax revenue. All property taxes are local, and the constitutional 1% limit on unvoted taxes covers "all state and local purposes."
Authority: Ohio Const. art. XII §2.</t>
          </r>
        </is>
      </c>
      <c r="J36" s="4" t="inlineStr">
        <is>
          <r>
            <rPr>
              <rFont val="Carlito"/>
              <b val="1"/>
              <sz val="11"/>
            </rPr>
            <t>Yes.</t>
          </r>
          <r>
            <rPr>
              <rFont val="Carlito"/>
              <sz val="11"/>
            </rPr>
            <t xml:space="preserve">
Homestead exemption for owners 65 and older, permanently and totally disabled owners, and surviving spouses aged 59 to 64 of recipients: the taxes on $25,000 of market value are exempt, indexed each year to the GDP price deflator (county auditors list $29,000 for tax year 2025 bills paid in 2026). Owners who did not receive the exemption for tax year 2013 must meet an income limit, indexed from $30,000 ($41,000 for 2026); owners who received it for 2013 keep it without an income test. Veterans with a 100% service-connected disability, and surviving spouses of public service officers killed in the line of duty, receive the exemption on $50,000 of market value, indexed ($58,000 per county auditors), with no income limit. The state reimburses local governments for the lost tax (see Subsidies).
Authority: Ohio Const. art. XII §2; R.C. 323.152(A).</t>
          </r>
        </is>
      </c>
      <c r="K36" s="4" t="inlineStr">
        <is>
          <r>
            <rPr>
              <rFont val="Carlito"/>
              <b val="1"/>
              <sz val="11"/>
            </rPr>
            <t>Yes.</t>
          </r>
          <r>
            <rPr>
              <rFont val="Carlito"/>
              <sz val="11"/>
            </rPr>
            <t xml:space="preserve">
All are applied on the property tax bill:
- Rollbacks (state-paid): 10% of the taxes from qualifying levies on farmland and residential property, plus 2.5% on owner-occupied homes. HB 186 (2025) moves the residential rollback to homeowners: the residential rollback falls to 7.5% in tax year 2026, 5% in 2027, 2.5% in 2028 and 0% from 2029, while the owner-occupancy rollback rises to 5.70%, 8.92%, 12.15% and then 15.38%. Owner-occupied homes go from 12.5% to 15.38%; rental and other non-owner-occupied homes lose the rollback; farmland keeps 10%. Qualifying levies are those approved before September 29, 2013, inside millage, charter millage on the 2013 tax list, and their renewals and substitutes; levies approved since then get no rollback. A board of county commissioners may add up to 2.5% for owner-occupied homes.
- Inflation Cap Credit (HB 186, from tax year 2025): owners in school districts on the 20-mill floor receive a credit that limits the district's floor revenue growth in reappraisal years to inflation. It reduces school district collections; the state paid one-time guarantees for the first years (see Subsidies).
- One-time homestead reduction (HB 479, 2026): for tax year 2026 bills (first half issued December 2026 or January 2027), each home receiving the homestead exemption gets an equal reduction, computed by dividing the Property Tax Relief Fund by the number of eligible homes. The fund is third in line for the FY2026 surplus, after up to $35 million for the rainy day fund and $320 million for the sales tax holiday fund, and receives up to $350 million.
Authority: R.C. 319.302, 323.152(B), 319.303; HB 479 (2026).</t>
          </r>
        </is>
      </c>
      <c r="L36" s="4" t="inlineStr">
        <is>
          <r>
            <rPr>
              <rFont val="Carlito"/>
              <b val="1"/>
              <sz val="11"/>
            </rPr>
            <t>Yes.</t>
          </r>
          <r>
            <rPr>
              <rFont val="Carlito"/>
              <sz val="11"/>
            </rPr>
            <t xml:space="preserve">
- Rollbacks and homestead exemption: the state reimburses schools and other local governments for the homestead exemption and for the rollbacks, which apply to inside millage and to levies approved before September 29, 2013. HB 96 (2025) appropriates $1.98 billion for FY2026 and $2.01 billion for FY2027 (items 110908 and 200903), plus any further sums needed. HB 186 (2025) phases the 10% residential rollback down to zero by tax year 2029 and raises the owner-occupancy rollback from 2.5% to 15.38%; farmland keeps the 10% rollback.
- HB 186 school offset payments: districts whose taxes fall below tax year 2024 levels because of the retroactive inflation cap credit receive state payments equal to the shortfall, the first from the Expanded Sales Tax Holiday Fund; the Legislative Service Commission estimated about $360 million in FY2027 and $105 million in FY2028.
- HB 479 (2026): $350 million from the FY2026 surplus pays for a one-time tax year 2026 credit for homes receiving the homestead exemption, repaid to the counties.
- Tangible personal property tax replacement payments, now phasing out: $50.2 million in FY2026 and $45.8 million in FY2027.
These payments lower bills without restraining levies, and levies approved since 2013 get no rollback.
Authority: HB 96 §387.10 (2025); HB 186 §§4-5 (2025); HB 479 §19 (2026); R.C. 319.302, 323.152, 323.156.</t>
          </r>
        </is>
      </c>
      <c r="M36" s="4" t="inlineStr">
        <is>
          <r>
            <rPr>
              <rFont val="Carlito"/>
              <b val="1"/>
              <sz val="11"/>
            </rPr>
            <t>No.</t>
          </r>
          <r>
            <rPr>
              <rFont val="Carlito"/>
              <sz val="11"/>
            </rPr>
            <t/>
          </r>
        </is>
      </c>
      <c r="N36" s="4" t="inlineStr">
        <is>
          <r>
            <rPr>
              <rFont val="Carlito"/>
              <b val="1"/>
              <sz val="11"/>
            </rPr>
            <t>Yes.</t>
          </r>
          <r>
            <rPr>
              <rFont val="Carlito"/>
              <sz val="11"/>
            </rPr>
            <t xml:space="preserve">
Tax reduction factors automatically lower the effective rate of each voted levy every year so that carryover property pays the same dollars as the year before, separately for residential/agricultural and other real property. No governing body can override them, so more revenue from existing property requires a new voted levy. Exceptions: inside millage (capped at inflation per reappraisal cycle since 2026), the 20-mill school floor (inflation cap from tax year 2025), fixed-sum and debt levies, and municipal charter millage. When values fall, effective rates rise back toward the voted rate.
Authority: R.C. 319.301; 319.303; 5705.316; Ohio Const. art. XII §2a.</t>
          </r>
        </is>
      </c>
      <c r="O36" s="4" t="inlineStr">
        <is>
          <r>
            <rPr>
              <rFont val="Carlito"/>
              <b val="1"/>
              <sz val="11"/>
            </rPr>
            <t>Yes.</t>
          </r>
          <r>
            <rPr>
              <rFont val="Carlito"/>
              <sz val="11"/>
            </rPr>
            <t xml:space="preserve">
- Two-thirds of all members of a county, township, municipal or other taxing authority must vote to place a levy above the 10-mill limitation on the ballot, certified to the board of elections at least 90 days before the election.
- Two-thirds of all members of a school board must vote to place a school levy above the limitation on the ballot.
Voters approve levies by simple majority.
Authority: R.C. 5705.19, 5705.21; Ohio Const. art. XII §2.</t>
          </r>
        </is>
      </c>
      <c r="P36" s="4" t="inlineStr">
        <is>
          <r>
            <rPr>
              <rFont val="Carlito"/>
              <b val="1"/>
              <sz val="11"/>
            </rPr>
            <t>No.</t>
          </r>
          <r>
            <rPr>
              <rFont val="Carlito"/>
              <sz val="11"/>
            </rPr>
            <t xml:space="preserve">
Property tax levies are voted at the November general election or at a special election, and school income taxes at a primary, general or special election. Special elections may be held only in May or November (or on a charter's primary date), and in presidential primary years no special election may be held in May. An August special election is allowed only for a subdivision or school district in fiscal emergency.
Authority: R.C. 3501.01(D), 3501.022, 5705.19, 5705.21, 5748.02.</t>
          </r>
        </is>
      </c>
      <c r="Q36" s="4" t="inlineStr">
        <is>
          <r>
            <rPr>
              <rFont val="Carlito"/>
              <b val="1"/>
              <sz val="11"/>
            </rPr>
            <t>Partial.</t>
          </r>
          <r>
            <rPr>
              <rFont val="Carlito"/>
              <sz val="11"/>
            </rPr>
            <t xml:space="preserve">
Voted levies are approved for purposes listed in statute, such as current expenses, permanent improvements, school safety and security, and library support, and revenue from a special levy must be credited to a special fund for that purpose. Inside millage and general current-expense levies go to the general fund. New school fixed-sum levies may fund only current operating expenses (HB 129, 2025).
Authority: R.C. 5705.10, 5705.19, 5705.21, 5705.194.</t>
          </r>
        </is>
      </c>
      <c r="R36" s="4" t="inlineStr">
        <is>
          <t>88 counties; 926 municipal governments (cities and villages); 1,308 townships; 665 independent school districts in the Census count (news reports cite 611 school districts; joint vocational districts levy separately); 952 special districts in the Census count, led by 132 parks and recreation, 120 fire protection, 87 soil and water conservation, 82 library, 81 housing and community development and 65 health districts. Each county's budget commission (auditor, treasurer and prosecutor) reviews tax budgets and, since 2026, adjusts inside millage and may reduce levies. Census of Governments 2022: 3,939 local governments.</t>
        </is>
      </c>
      <c r="S36" s="4" t="inlineStr">
        <is>
          <t>Verdict: Worked. Property tax per person rose 3.8% after inflation from FY2002 to FY2024, against 25.9% for the U.S.
Why it leaks: H.B. 920 freezes the dollars each voted levy raises from existing property, so growth comes from new levies, which pass by simple majority. Inside millage escaped reduction factors until HB 335 took effect in 2026, and bond levies still do. About 210 school districts levy income taxes outside these limits. There is no spending limit. The state's roughly $2 billion a year for rollbacks and homestead exemptions counts against Ohio.
How localities get around it: Franklin County's auditor found tax breaks on more than 15% of its properties, costing $192 million a year and shifting the load onto others; Columbus is the largest user. Cincinnati Public Schools put a 7-mill levy on the Nov. 3, 2026 ballot.
Full record:
H.B. 920 freezes the dollars each voted levy raises from existing property, which Howard Fleeter of the Ohio Education Policy Institute called the most restrictive limit in the country, yet revenue keeps rising through frequent new levies, millage that grew with value until 2026, school income taxes and abatements that shift the load to other owners. The Tax Foundation ranks Ohio 5th on property tax (39th overall).
The record (Census, BEA, ACS): state and local property tax was $1,688 per person in FY2024 (U.S. $2,132), 2.61% of personal income (27th-highest of 50; U.S. 2.89%). After inflation, collections per person (all state and local property tax divided by residents) rose 3.8% from FY2002 to FY2024 (U.S. +25.9%) and fell 1.3% from FY2019 to FY2024 (U.S. -1.1%). The median homeowner paid $2,937 in 2024 (U.S. $3,211); the median bill rose 5.7% after inflation from 2010 to 2024 (U.S. +9.3%). The Tax Foundation's 2026 ranking puts its effective property tax rate on owner-occupied homes at 1.36%, 43rd-lowest of 50. By the same measure it was 1.37% in 2010 (U.S. 1.00% in 2010, 0.94% in 2024).
- New levies: after thousands of school levies since 1976, the average Class I school effective rate rose from 28.55 to 33.15 mills (Fleeter testimony, May 2024). The Office of Budget and Management puts local property tax revenue at $24 billion (February 2026).
- Inside millage: it grew with every reappraisal until HB 335 (2025). The new cap allows three years of inflation, and a commission can restore lost revenue on request.
- 20-mill floor: districts at the Class I floor rose from 105 in 2012 to 409 in 2023, 92% of them rural or small-town. Their taxes rose with value until the HB 186 credit, which still allows inflation.
- Fixed-sum levies: emergency and substitute levies escaped reduction factors, and replacement levies reset rates to current values. The General Assembly overrode Gov. DeWine's veto to end replacement levies and new emergency and substitute levies from 2026 (House July 21, 2025; Senate 21-11 on Oct. 1, 2025), and HB 129 counts fixed-sum levies toward the floor.
- Abatements: the Franklin County Auditor's 2025 Tax Incentive Review Council report found tax breaks on more than 15% of the county's properties, costing $192 million a year in diverted or forgone revenue, after a 140% rise in development tax breaks since 2016. Columbus is the largest user; Columbus City Schools lost $84 million in potential revenue in 2025 while cutting $50 million to close a deficit (WOSU, Dec. 12, 2025). The Buckeye Institute calls for ending abatements that shift property taxes onto families and small businesses.
- Big cities: Cincinnati Public Schools, facing a $58.6 million deficit, put a 7-mill levy costing $245 a year per $100,000 of value on the Nov. 3, 2026 ballot after rescinding a planned earned income tax levy (WCPO, Aug. 4, 2026).
- Voter response: school tax issues passed 52% of the time in May 2024, 64% in May 2025 and 36% in May 2026, when 24% of new levies and 75% of renewals passed.
- Income taxes: about 210 school districts (34%) levy income taxes outside the property tax limits.
- State money: the state spends about $2 billion a year on rollbacks and homestead exemptions, levies approved since November 2013 get no rollback, and HB 186 removes the rollback from rental homes by 2029.
Property tax is 63% of local tax revenue (Census FY2022); local income taxes supply 23% and local sales taxes 11.5%, and charges are 31% of local own-source revenue.</t>
        </is>
      </c>
      <c r="T36" s="4" t="inlineStr">
        <is>
          <t>- Common Sense Institute, "Iowa Leads the Nation in Property Tax Relief: Ranking State Reforms of the Past Decade" (Aug. 6, 2026). Ranking 2016-2026 property tax relief bills by estimated six-year net savings, excluding state-funded relief, it places Ohio's HB 186 (2025) in the national top ten by savings per household (sixth through tenth places, each below the fifth-place $952). https://archive.commonsenseinstituteus.org/iowa/research/taxes-and-fees/iowa-leads-the-nation-in-property-tax-relief-ranking-state-reforms-of-the-past-decade
- The Buckeye Institute (State Policy Network affiliate), "Buckeye Institute Recommended Policies to Lower Property Taxes Signed into Law" (Dec. 19, 2025). Research fellow Greg R. Lawson called HB 186, HB 309 and HB 335 "the biggest property tax reform in half a century," saying the package "limits automatic tax increases without voter approval" and gives county budget commissions tools to cut a levy that collects more than voters approved. https://www.buckeyeinstitute.org/research/detail/buckeye-institute-recommended-policies-to-lower-property-taxes-signed-into-law
- Americans for Prosperity-Ohio, "AFP-OH Statement on House Passage of Property Tax Reform Bills HB 186 and HB 335" (Oct. 22, 2025). Describes HB 186 as capping school district property tax increases at the rate of inflation and HB 335, the Property Tax Relief Now Act, as eliminating unvoted inside millage and adding transparency rules for local governments; AFP-OH placed a Key Vote Alert on both bills. https://americansforprosperity.org/press-release/afp-oh-statement-on-house-passage-of-property-tax-reform-bills-hb-186-and-hb-335/
- The Buckeye Institute, "The Buckeye Institute Offers 10 Specific Recommendations to Lower Property Taxes" (July 23, 2025). Offered to Gov. DeWine's Property Tax Reform Working Group, the list includes county commissioner or budget commission approval of most levies before they reach the ballot, commission power to lower rates when collections exceed need, eliminating or modifying the 20-mill floor, eliminating or capping inside millage growth, ending abatements that shift property taxes onto families and small businesses, consolidating local governments and putting all local governments on the Ohio Checkbook. The recommendations also appear in Buckeye's 2025 paper "Local Government Reform Necessary to Lower Property Taxes." https://www.buckeyeinstitute.org/research/detail/the-buckeye-institute-offers-10-specific-recommendations-to-lower-property-taxes
- Americans for Prosperity-Ohio, "AFP-OH Applauds Ohio House for Overriding Property Tax Veto, Rallies Support Ahead of Senate Vote" (July 21, 2025). Backs the House's 61-28 vote to override Gov. DeWine's veto of Item 66 of HB 96 (school district property tax levy restrictions); AFP-OH reports nearly 2,000 petition signers contacted legislators and calls itself the leading outside group lobbying for the overrides. https://americansforprosperity.org/press-release/afp-oh-applauds-ohio-house-for-overriding-property-tax-veto-rallies-support-ahead-of-senate-vote/
- The Buckeye Institute, Greg R. Lawson, "The Buckeye Institute: Policies in Ohio HB 344 Increase Property Tax Transparency" (Feb. 6, 2024). House testimony supporting HB 344's end to replacement levies, plain-language ballot rules and limits on local challenges to property valuations, which Lawson said often lead to "retroactive tax increases and litigation costs for unsuspecting property owners." Notes Ohio's local tax burden ranked 13th as a share of income as of 2020 and urges a statewide online tool modeled on the Franklin County auditor's Levy Estimator. https://www.buckeyeinstitute.org/research/detail/the-buckeye-institute-policies-in-ohio-hb-344-increase-property-tax-transparency
- 1851 Center for Constitutional Law (State Policy Network associate): no property tax report since 2021 was found; its local-revenue work is litigation against city fees, such as the January 2026 federal ruling against Cleveland Heights rental registration fees.
- Forge Leadership Network (State Policy Network associate): no property tax report since 2021 was found.
Linked list: 7 items on the Analyses sheet (filter State = Ohio); every source URL is linked on the Sources sheet.</t>
        </is>
      </c>
      <c r="U36" s="4" t="inlineStr">
        <is>
          <t>1976: H.B. 920 tax reduction factors; 1980: written into the constitution with separate residential/agricultural and business classes. 2013: levies approved from the November 2013 election on excluded from the state-paid rollbacks.
2024: Joint Committee on Property Tax Review and Reform hearings.
2025: HB 96 (FY2026-27 budget). Gov. DeWine vetoed items letting county budget commissions cut levies, counting emergency and substitute levies toward the 20-mill floor and ending replacement, emergency and substitute levies. The House (July 21) and Senate (21-11, Oct. 1, 2025) overrode the veto of the last item, effective January 1, 2026; the other two were enacted in revised form in HB 309 and HB 129. DeWine's Property Tax Working Group recommended commission review of levies and folding emergency and substitute levies into fixed-sum levies counted toward the floor. Signed Dec. 19, 2025, effective March 20, 2026: HB 186 (Inflation Cap Credit; rollbacks shifted to owner-occupied homes; 2026 sales tax holiday cancelled), HB 335 (inside millage inflation cap), HB 129 (fixed-sum levies counted toward the floor; new fixed-sum levies limited) and HB 309 (county budget commission authority to reduce levies; Tax Commissioner resets fixed-sum levy rates each year to raise the voter-approved sum). Republicans claimed $2 billion in relief from the package but said it would not cut bills sharply. The Buckeye Institute had urged the working group in July 2025 to give county budget commissions power over levies and to cap or end inside millage growth and the 20-mill floor; it said several of its recommendations became law.
2026: HB 479 (effective Sept. 23, 2026): one-time homestead reduction for tax year 2026 from a fund of up to $350 million, and revisions to the inside millage cap. The AxOHTax initiative to abolish property taxes by constitutional amendment fell short of the 413,488 valid signatures from 44 counties due July 1, 2026; organizers are aiming for 2027. No statewide Ohio property tax measure is on the Nov. 3, 2026 ballot. Locally, Cincinnati Public Schools placed a 7-mill levy on that ballot.</t>
        </is>
      </c>
      <c r="V36" s="4" t="inlineStr">
        <is>
          <t>43rd (1.36% effective rate; 1.37% in 2010)</t>
        </is>
      </c>
      <c r="W36" s="4" t="inlineStr">
        <is>
          <t>Ohio's main limit is H.B. 920 (1976): tax reduction factors freeze the dollars each voted levy raises from existing property, under a 10-mill cap on unvoted taxes. The two parts that grew with value, inside millage and the 20-mill school floor, were capped at inflation per reappraisal cycle by 2025 laws, and fixed-sum and replacement levy workarounds were curtailed from 2026. Revenue still rises through frequent new levies (a two-thirds board vote, then a simple majority of voters) and school income taxes, and the state pays about $2 billion a year in rollbacks and homestead exemptions, which do not cover levies approved since 2013.</t>
        </is>
      </c>
      <c r="X36" s="4" t="inlineStr">
        <is>
          <t>https://codes.ohio.gov/ohio-constitution/section-12.2
https://codes.ohio.gov/ohio-revised-code/section-5705.02
https://codes.ohio.gov/ohio-revised-code/section-319.301
https://codes.ohio.gov/ohio-revised-code/section-319.302
https://codes.ohio.gov/ohio-revised-code/section-323.152
https://codes.ohio.gov/ohio-revised-code/section-5705.316
https://codes.ohio.gov/ohio-revised-code/section-5705.32
https://codes.ohio.gov/ohio-revised-code/section-5705.60
https://codes.ohio.gov/ohio-revised-code/section-5705.194
https://codes.ohio.gov/ohio-revised-code/section-5705.197
https://codes.ohio.gov/ohio-revised-code/section-5705.199
https://codes.ohio.gov/ohio-revised-code/section-5705.19
https://codes.ohio.gov/ohio-revised-code/section-5705.21
https://codes.ohio.gov/ohio-revised-code/section-5705.10
https://codes.ohio.gov/ohio-revised-code/section-3501.01
https://codes.ohio.gov/ohio-revised-code/section-3501.022
https://codes.ohio.gov/ohio-revised-code/section-5748.02
https://codes.ohio.gov/ohio-revised-code/section-1313.36
https://search-prod.lis.state.oh.us/api/v2/general_assembly_136/legislation/hb186/07_EN/html/
https://search-prod.lis.state.oh.us/api/v2/general_assembly_136/legislation/hb186/07_EN/attachments/analysis
https://search-prod.lis.state.oh.us/api/v2/general_assembly_136/legislation/hb335/05_EN/attachments/analysis
https://search-prod.lis.state.oh.us/api/v2/general_assembly_136/legislation/hb309/05_EN/attachments/analysis
https://search-prod.lis.state.oh.us/api/v2/general_assembly_136/legislation/hb129/05_EN/attachments/analysis
https://search-prod.lis.state.oh.us/api/v2/general_assembly_136/legislation/hb479/07_EN/attachments/analysis
https://search-prod.lis.state.oh.us/api/v2/general_assembly_136/legislation/hb96/07_EN/html/
https://ohioschoolboards.org/sites/default/files/uploads/Fleeter_Joint_Property_Tax_Committee_Testimony_5-8-24_Final.pdf
https://www.ohioschoolboards.org/sites/default/files/uploads/MayPrimaryElectionResults_0.pdf
https://wysu.org/ohio-news/2026-05-08/district-leaders-digging-into-data-after-two-thirds-of-school-levies-fail-across-ohio
https://www.wyso.org/2025-12-19/dewine-signs-package-of-bills-aimed-at-lowering-property-tax-bill-spikes-in-ohio
https://wysu.org/ohio-news/2025-10-01/ohio-senate-overrides-veto-eliminating-some-kinds-of-tax-levies
https://www.vindy.com/news/local-news/2025/10/senate-overrides-governors-veto-on-levy-issues
https://wysu.org/ohio-news/2026-02-11/state-officials-fear-steep-surge-in-sales-taxes-if-property-taxes-abolished
https://www.news5cleveland.com/news/politics/ohio-politics/constitutional-amendment-to-eliminate-property-taxes-in-ohio-will-not-appear-on-november-ballot
https://www.geaugamapleleaf.com/news/property-tax-repeal-effort-fails-to-make-november-ballot/
https://auditor.ashtabulacounty.gov/dnn/Announcements/ArtMID/518/ArticleID/1466/Homestead-Savings-and-Income-Update-for-2026
https://loraincountyauditor.gov/homestead-exemption-ohio
https://taxfoundation.org/research/state-tax/2026-state-tax-ballot-measures/
https://www.lincolninst.edu/app/uploads/2024/10/truth_in_taxation_2024.xlsx
https://www.census.gov/data/tables/2022/econ/gus/2022-governments.html
https://www2.census.gov/programs-surveys/gov-finances/tables/2022/22slsstab1.xlsx
https://www.buckeyeinstitute.org/research/detail/buckeye-institute-recommended-policies-to-lower-property-taxes-signed-into-law
https://www.buckeyeinstitute.org/research/detail/the-buckeye-institute-offers-10-specific-recommendations-to-lower-property-taxes
https://archive.commonsenseinstituteus.org/iowa/research/taxes-and-fees/iowa-leads-the-nation-in-property-tax-relief-ranking-state-reforms-of-the-past-decade
https://www.statenews.org/government-politics/2025-10-01/ohio-senate-overrides-veto-eliminating-some-kinds-of-tax-levies
https://ohiocapitaljournal.com/2026/06/09/constitutional-amendment-to-eliminate-property-taxes-in-ohio-will-not-appear-on-november-ballot/
https://www.wosu.org/politics-government/2025-12-12/development-tax-breaks-increase-140-since-2016-in-franklin-co-new-report-questions-its-impact
https://www.wcpo.com/news/local-news/cincinnati-public-schools-board-votes-to-rescind-earned-income-tax-levy
https://www.fox19.com/2026/08/04/cincinnati-public-schools-board-puts-earned-income-tax-levy-fall-ballot/</t>
        </is>
      </c>
    </row>
    <row r="37" ht="409" customHeight="1">
      <c r="A37" s="13" t="inlineStr">
        <is>
          <t>Oklahoma</t>
        </is>
      </c>
      <c r="B37" s="4" t="inlineStr">
        <is>
          <r>
            <rPr>
              <rFont val="Carlito"/>
              <b val="1"/>
              <sz val="14"/>
            </rPr>
            <t>D.</t>
          </r>
          <r>
            <rPr>
              <rFont val="Carlito"/>
              <sz val="11"/>
            </rPr>
            <t xml:space="preserve">
Restriction points 6 of 18 (assessment cap 2; rate cap 2; supermajority 0.5; school districts covered 1; November-ballot rule 0.25; use restrictions 0.25). Deductions: built-in loopholes -1.5; workarounds in practice -0.5; state buydowns +0; data record +0. Total 4 = D (A 11+, B 8.5-10.9, C 5.5-8.4, D 3-5.4, F under 3).
Why: Built-in loopholes -1.5: values reset to full fair cash value at sale and for improvements, personal and centrally assessed property have no cap, school boards levy 15 mills on their own certification, voters can make levies permanent, and sinking fund and judgment levies have no millage cap. Workarounds -0.5: large bond packages outside the millage caps, such as the $609 million Tulsa Public Schools package approved April 7, 2026. Buydowns 0: Ad Valorem Reimbursement Fund payments of $93 million equal about 2.3% of FY2024 collections ($4.08 billion). Record 0: the burden is among the lowest (1.58% of personal income, 3rd lowest; effective rate 0.75%), offset by fast growth, with real per-person collections up 27.5% in FY2002-FY2022 (US 23.4%) and real homeowner bills up 30.0% in 2010-2024 (US 9.3%, 46th).</t>
          </r>
        </is>
      </c>
      <c r="C37" s="4">
        <f>((LEFT(D37,3)="Yes")+(LEFT(E37,3)="Yes")+(LEFT(F37,3)="Yes")+(LEFT(G37,3)="Yes"))&amp;" of 4 in force"&amp;IF(((LEFT(D37,7)="Partial")+(LEFT(E37,7)="Partial")+(LEFT(F37,7)="Partial")+(LEFT(G37,7)="Partial"))&gt;0," + "&amp;((LEFT(D37,7)="Partial")+(LEFT(E37,7)="Partial")+(LEFT(F37,7)="Partial")+(LEFT(G37,7)="Partial"))&amp;" partial","")&amp;CHAR(10)&amp;CHAR(10)&amp;IF(LEFT(D37,3)="Yes","✓",IF(LEFT(D37,7)="Partial","◐","✗"))&amp;" Spending limit"&amp;CHAR(10)&amp;IF(LEFT(E37,3)="Yes","✓",IF(LEFT(E37,7)="Partial","◐","✗"))&amp;" Levy limit"&amp;CHAR(10)&amp;IF(LEFT(F37,3)="Yes","✓",IF(LEFT(F37,7)="Partial","◐","✗"))&amp;" Assessment cap"&amp;CHAR(10)&amp;IF(LEFT(G37,3)="Yes","✓",IF(LEFT(G37,7)="Partial","◐","✗"))&amp;" Rate cap"</f>
        <v/>
      </c>
      <c r="D37" s="4" t="inlineStr">
        <is>
          <r>
            <rPr>
              <rFont val="Carlito"/>
              <b val="1"/>
              <sz val="11"/>
            </rPr>
            <t>No.</t>
          </r>
          <r>
            <rPr>
              <rFont val="Carlito"/>
              <sz val="11"/>
            </rPr>
            <t xml:space="preserve">
No limit on growth in local spending. Counties, cities, towns and school districts may not incur debt above the year's income and revenue without a three-fifths vote of the people (see Supermajority). Each county and school district must publish a financial statement and an itemized estimate of needs before the county excise board reviews budgets and levies. These are budget-balance and approval rules; they do not cap growth.
Authority: Okla. Const. art. X §26; 68 O.S. §§3002, 3007.</t>
          </r>
        </is>
      </c>
      <c r="E37" s="4" t="inlineStr">
        <is>
          <r>
            <rPr>
              <rFont val="Carlito"/>
              <b val="1"/>
              <sz val="11"/>
            </rPr>
            <t>No.</t>
          </r>
          <r>
            <rPr>
              <rFont val="Carlito"/>
              <sz val="11"/>
            </rPr>
            <t xml:space="preserve">
No cap on growth in property tax revenue. Most operating levies are fixed millages (see Rate), so revenue rises with taxable value: up to 3% a year on homesteads and farmland and 5% on other locally assessed real property, plus the full value of new construction and improvements, property that changed hands during the year, personal property and property valued by the State Board of Equalization, none of which is capped. Sinking fund levies for bonds and judgments are set each year at the amount debt service requires.
Authority: Okla. Const. art. X §§8B, 9, 26, 28.</t>
          </r>
        </is>
      </c>
      <c r="F37" s="4" t="inlineStr">
        <is>
          <r>
            <rPr>
              <rFont val="Carlito"/>
              <b val="1"/>
              <sz val="11"/>
            </rPr>
            <t>Yes.</t>
          </r>
          <r>
            <rPr>
              <rFont val="Carlito"/>
              <sz val="11"/>
            </rPr>
            <t xml:space="preserve">
The fair cash value of a parcel of locally assessed real property may rise no more than 5% a year, and no more than 3% if it has a homestead exemption or is classified as agricultural land. The 5% cap dates from SQ 676 (1996); the 3% cap for homesteads and farmland applies from January 1, 2013 (SQ 758, 2012). Resets and exclusions:
- the cap does not apply in a year when title is transferred, changed or conveyed; the property is assessed that year at full fair cash value;
- the added value of improvements is assessed at full fair cash value in the year they are made;
- personal property and property valued by the State Board of Equalization (centrally assessed property) are not covered.
Real property is assessed at 11% to 13.5% of fair cash value and tangible personal property at 10% to 15%. A county may raise its assessment percentage only with the approval of county voters, by no more than one percentage point a year. Homesteads of owners 65 and older with income at or below the county median are frozen (see Credits).
Pending: SQ 847 (Nov. 3, 2026) would lower the caps to 1.75% for homesteads and farmland and 4% for other real property from tax year 2027.
Authority: Okla. Const. art. X §§8 (SQ 675, 1996), 8B (SQ 676, 1996; SQ 758, 2012), 8C; SJR 39 (2026).</t>
          </r>
        </is>
      </c>
      <c r="G37" s="4" t="inlineStr">
        <is>
          <r>
            <rPr>
              <rFont val="Carlito"/>
              <b val="1"/>
              <sz val="11"/>
            </rPr>
            <t>Yes.</t>
          </r>
          <r>
            <rPr>
              <rFont val="Carlito"/>
              <sz val="11"/>
            </rPr>
            <t xml:space="preserve">
Constitutional limits, in mills per dollar of assessed value:
- General levy: 15 mills in total for counties, cities, towns and school districts, at least 5 of them for schools, with the rest apportioned by the county excise board.
- County school levy: 4 mills in every county, distributed to the county's school districts by average daily attendance.
- School districts: up to 15 more mills when the school board certifies a need (no vote); an emergency levy of up to 5 mills and a local support levy of up to 10 mills, each approved by a majority of voters for one fiscal year or made permanent by a majority vote; a building fund levy of up to 5 mills by majority vote, which may also be made permanent.
- Counties and cities: up to 5 mills for public buildings by majority vote. County health departments up to 2.5 mills; county solid waste up to 3 mills; cooperative and city-county library systems 1 to 4 mills (1 to 6 mills in counties over 150,000 people). Incorporated towns and counties: up to 5 mills to repay voter-approved economic development bonds.
- Technology center (CareerTech) school districts: up to 5 mills plus a local incentive levy of up to 5 mills, each by majority vote and continuing until repealed.
- Emergency medical service districts: up to 3 mills for operations and up to 3 mills for bonds.
Outside the limits: sinking fund levies to pay voter-approved bonds and court judgments, which have no millage cap. Debt that needs voter approval is limited to 5% of assessed value (10% for school districts, cities and towns with a declared need).
Authority: Okla. Const. art. X §§9, 9A, 9B, 9C, 9D, 10, 10A, 26, 28, 35.</t>
          </r>
        </is>
      </c>
      <c r="H37" s="4" t="inlineStr">
        <is>
          <r>
            <rPr>
              <rFont val="Carlito"/>
              <b val="1"/>
              <sz val="11"/>
            </rPr>
            <t>Yes.</t>
          </r>
          <r>
            <rPr>
              <rFont val="Carlito"/>
              <sz val="11"/>
            </rPr>
            <t xml:space="preserve">
School levies are capped by purpose: the 4-mill county levy, 15 mills on board certification, the 5-mill emergency and 10-mill local support levies (voter approved, annual or permanent) and a 5-mill building fund. School bonds need 60% of voters and may total no more than 10% of assessed value, but their sinking fund levies have no millage cap. The assessment caps apply to school levies as to all others. The state aid formula counts the district's levy under §9(c) and 75% of its county 4-mill revenue as local income, so growth in local valuation lowers Foundation Aid.
Authority: Okla. Const. art. X §§9(b)-(e), 10, 26; 70 O.S. §18-200.1.</t>
          </r>
        </is>
      </c>
      <c r="I37" s="4" t="inlineStr">
        <is>
          <r>
            <rPr>
              <rFont val="Carlito"/>
              <b val="1"/>
              <sz val="11"/>
            </rPr>
            <t>Partial.</t>
          </r>
          <r>
            <rPr>
              <rFont val="Carlito"/>
              <sz val="11"/>
            </rPr>
            <t xml:space="preserve">
The state levies no property tax: the constitution bars any ad valorem tax for state purposes and any use of local property tax proceeds for state purposes. It does require every county to levy 4 mills for schools; the county treasurer distributes the proceeds to school districts in the county by average daily attendance, and 75% of a district's share counts as local income in the state aid formula. This is a state-required local levy and stays in the county.
Authority: Okla. Const. art. X §9(a), (b); 70 O.S. §18-200.1.</t>
          </r>
        </is>
      </c>
      <c r="J37" s="4" t="inlineStr">
        <is>
          <r>
            <rPr>
              <rFont val="Carlito"/>
              <b val="1"/>
              <sz val="11"/>
            </rPr>
            <t>Yes.</t>
          </r>
          <r>
            <rPr>
              <rFont val="Carlito"/>
              <sz val="11"/>
            </rPr>
            <t xml:space="preserve">
- General homestead exemption: $1,000 of assessed value on an owner-occupied residence (about $7,400 to $9,100 of market value at assessment ratios of 11% to 13.5%).
- Additional homestead exemption: another $1,000 of assessed value for heads of household whose gross household income in the preceding year was $30,000 or less (68 O.S. §2890 as last amended by Laws 2023, 1st Ex. Sess., c. 5, effective January 1, 2024). Veterans' disability compensation is excluded from income.
- Disabled veterans: full exemption of the homestead for honorably discharged veterans certified by the U.S. Department of Veterans Affairs with a 100% permanent disability from active service, and for their surviving spouses (since 2006).
- Surviving spouses of service members who died in the line of duty: full exemption until remarriage (since 2015).
Since 2022 the state reimburses 25% of revenue lost to veterans' exemptions in counties where those exemptions exceed 0.8% of the population.
Authority: 68 O.S. §§2888, 2889, 2890; Okla. Const. art. X §§8E (SQ 715, 2004; SQ 770, 2014), 8F (SQ 771, 2014); 62 O.S. §193.</t>
          </r>
        </is>
      </c>
      <c r="K37" s="4" t="inlineStr">
        <is>
          <r>
            <rPr>
              <rFont val="Carlito"/>
              <b val="1"/>
              <sz val="11"/>
            </rPr>
            <t>Yes.</t>
          </r>
          <r>
            <rPr>
              <rFont val="Carlito"/>
              <sz val="11"/>
            </rPr>
            <t xml:space="preserve">
- Senior valuation freeze: for a head of household 65 or older whose gross household income in the preceding year did not exceed the HUD estimated median income for the county or metropolitan area, the homestead's fair cash value stays at its value in the first year of eligibility while the owner owns and occupies it and stays under the income limit. Improvements are added at full value. The Tax Commission sends the income limits to county assessors each year; owners apply by March 15 or within 30 days of a valuation increase notice. When the owner stops qualifying, the property is valued as if the regular caps had applied during the freeze.
- Property tax relief (circuit breaker): heads of household 65 or older or totally disabled, with gross household income of $12,000 or less, may claim property taxes paid above 1% of household income, up to $200.
Pending: SQ 847 keeps the full freeze for senior owners at or below 100% of median income and adds annual caps for senior homesteads above it: 0.35% (100% to 120% of median), 0.7% (120% to 140%), 1.05% (140% to 160%), 1.4% (160% to 180%) and 1.75% above 180%.
Authority: Okla. Const. art. X §8C (SQ 677, 1996; SQ 714, 2004); 68 O.S. §§2890.1, 2906, 2907; SJR 39 (2026).</t>
          </r>
        </is>
      </c>
      <c r="L37" s="4" t="inlineStr">
        <is>
          <r>
            <rPr>
              <rFont val="Carlito"/>
              <b val="1"/>
              <sz val="11"/>
            </rPr>
            <t>Yes.</t>
          </r>
          <r>
            <rPr>
              <rFont val="Carlito"/>
              <sz val="11"/>
            </rPr>
            <t xml:space="preserve">
- Ad Valorem Reimbursement Fund: the constitution exempts new, expanded or acquired manufacturing facilities from property tax for five years (SQ 588, 1985), and the state reimburses counties for the revenue lost by schools and other local units; research and development facilities are also covered by statute. The fund receives 1% of state income tax collections. Oklahoma Tax Commission data put reimbursements at about $88.6 million for tax year 2025, 5% less than for tax year 2024. When the fund falls short, manufacturing claims are paid first.
- Veterans: since 2022 the fund also repays 25% of revenue lost to veterans' exemptions in counties where those exemptions exceed 0.8% of the population (see Homestead).
Payments for state-owned land and Foundation Aid do not count. SQ 844, which would have let the Legislature set the levels and methods of reimbursement, was rejected on Aug. 25, 2026, with about 74% voting no (unofficial results).
Authority: Okla. Const. art. X §6B; 62 O.S. §193; 68 O.S. §§2352, 2902.</t>
          </r>
        </is>
      </c>
      <c r="M37" s="4" t="inlineStr">
        <is>
          <r>
            <rPr>
              <rFont val="Carlito"/>
              <b val="1"/>
              <sz val="11"/>
            </rPr>
            <t>No.</t>
          </r>
          <r>
            <rPr>
              <rFont val="Carlito"/>
              <sz val="11"/>
            </rPr>
            <t/>
          </r>
        </is>
      </c>
      <c r="N37" s="14" t="inlineStr">
        <is>
          <r>
            <rPr>
              <rFont val="Carlito"/>
              <b val="1"/>
              <sz val="11"/>
            </rPr>
            <t>No.</t>
          </r>
          <r>
            <rPr>
              <rFont val="Carlito"/>
              <sz val="11"/>
            </rPr>
            <t xml:space="preserve">
No rollback or no-new-revenue rate. Nothing requires a government to lower its millage when taxable values rise, so revenue grows with capped values, new construction and reassessment at sale. Sinking fund levies are recomputed each year to cover debt service and judgments.
Authority: Okla. Const. art. X §§8B, 9, 26, 28.</t>
          </r>
        </is>
      </c>
      <c r="O37" s="4" t="inlineStr">
        <is>
          <r>
            <rPr>
              <rFont val="Carlito"/>
              <b val="1"/>
              <sz val="11"/>
            </rPr>
            <t>Partial.</t>
          </r>
          <r>
            <rPr>
              <rFont val="Carlito"/>
              <sz val="11"/>
            </rPr>
            <t xml:space="preserve">
Three-fifths (60%) of voters must approve general obligation bonds, and any other debt above the year's income and revenue, for counties, cities, towns, school districts and other subdivisions; the repayment levy then sits outside the millage limits. Operating levies (school emergency, local support and building fund levies; technology center, health, library, EMS and solid waste levies) pass by simple majority, and the 15-mill school levy under §9(c) needs only a school board certification. Only voters who show an ad valorem tax receipt for the prior year, or sign an affidavit of payment, may vote on a school local support levy.
Authority: Okla. Const. art. X §§9(c)-(d-2), 9A-9D, 10, 26.</t>
          </r>
        </is>
      </c>
      <c r="P37" s="4" t="inlineStr">
        <is>
          <r>
            <rPr>
              <rFont val="Carlito"/>
              <b val="1"/>
              <sz val="11"/>
            </rPr>
            <t>Partial.</t>
          </r>
          <r>
            <rPr>
              <rFont val="Carlito"/>
              <sz val="11"/>
            </rPr>
            <t xml:space="preserve">
Counties, school districts, technology center districts, municipalities, fire protection districts and other subdivisions may hold elections, including levy and bond elections, only on fixed dates: the second Tuesday of February, the first Tuesday of April, the third Tuesday of June, the fourth Tuesday of August, the November general election date, and the second Tuesday of December every four years starting in 2025.
Authority: 26 O.S. §3-101.</t>
          </r>
        </is>
      </c>
      <c r="Q37" s="4" t="inlineStr">
        <is>
          <r>
            <rPr>
              <rFont val="Carlito"/>
              <b val="1"/>
              <sz val="11"/>
            </rPr>
            <t>Partial.</t>
          </r>
          <r>
            <rPr>
              <rFont val="Carlito"/>
              <sz val="11"/>
            </rPr>
            <t xml:space="preserve">
Every ordinance or resolution levying a local tax must state its purpose, and no tax collected for one purpose may be spent on another. Many levies are dedicated: school building funds (buildings, repairs and furniture), sinking funds (bond payments and judgments), county health departments, libraries, EMS districts, county solid waste, economic development bonds and technology center schools. General county, city and school district levies are unrestricted.
Authority: Okla. Const. art. X §§9-10A, 19, 28, 35.</t>
          </r>
        </is>
      </c>
      <c r="R37" s="4" t="inlineStr">
        <is>
          <t>77 counties; 592 cities and towns (Census municipal governments); no township governments; 539 independent school district governments in the Census count (K-12 districts levy under art. X §§9 and 10, technology center school districts under §9B); 632 special districts in the Census count, led by 281 water supply districts, 128 housing and community development districts, 95 soil and water conservation districts, 47 health districts and 28 fire protection districts. Emergency medical service districts levy up to 3 mills with voter approval. Census of Governments 2022: 1,840 local governments.</t>
        </is>
      </c>
      <c r="S37" s="4" t="inlineStr">
        <is>
          <t>Verdict: Failed. Property tax per person rose 34.4% after inflation from FY2002 to FY2024, against 25.9% for the U.S.
Why it leaks: Oklahoma has no levy limit or spending limit. The assessment caps (SQ 676 and SQ 758) let taxable values rise 3% to 5% a year, so fixed millages raise more each year with no vote. The caps reset at sale and skip personal and centrally assessed property. Sinking fund levies for bonds and judgments have no millage cap, and judgment levies need no vote. State reimbursement of the manufacturing exemption ($93 million in tax year 2024) counts against the state.
How localities get around it: Tulsa Public Schools won a $609 million bond package on April 7, 2026, sold as no property tax increase, which keeps sinking fund levies from falling as older debt is paid off.
Full record:
Constitutional millage caps and value caps restrain rates and assessments, but nothing limits the levy, so revenue grows with capped values, new construction, resets at sale and bond levies that have no millage cap. Oklahoma ranks 11th on property tax in the Tax Foundation's 2026 index (19th overall).
The record (Census, BEA, ACS): state and local property tax was $996 per person in FY2024 (U.S. $2,132), 1.58% of personal income (48th-highest of 50; U.S. 2.89%). After inflation, collections per person (all state and local property tax divided by residents) rose 34.4% from FY2002 to FY2024 (U.S. +25.9%) and fell 1.7% from FY2019 to FY2024 (U.S. -1.1%). The median homeowner paid $1,672 in 2024 (U.S. $3,211); the median bill rose 30.0% after inflation from 2010 to 2024 (U.S. +9.3%). The Tax Foundation's 2026 ranking puts its effective property tax rate on owner-occupied homes at 0.79%, 25th-lowest of 50. By the same measure it was 0.78% in 2010 (U.S. 1.00% in 2010, 0.94% in 2024).
- Resets at sale: a buyer is assessed at full fair cash value in the year of purchase, and improvements are added at full value, so long-held homes can carry lower taxable values than similar homes that recently sold. OCPA notes the reset shifts more of the burden onto new homebuyers.
- Uncapped property: personal property and centrally assessed property have no value cap.
- Board and permanent levies: school boards levy up to 15 mills on their own certification, and voters may make emergency, local support and building fund levies permanent, which ends the annual vote.
- Bonds: debt service has no millage cap. Sinking fund levies rise as needed to pay bonds and court judgments against counties, cities and school districts; judgment levies need no vote. Tulsa Public Schools voters approved all four propositions of a $609 million bond package on April 7, 2026, which KJRH reported "will not increase property taxes"; packages sold that way keep sinking fund levies from falling as older debt is paid off. OK Policy warns that if SQ 847 lowers the caps, bond millage may rise to keep up payments.
- State money: the five-year manufacturing exemption is paid for from state income tax ($93 million for tax year 2024), and Foundation Aid falls as local valuation grows.
- Sales taxes: property tax is 54% of local tax revenue and local sales taxes 44% (Census FY2022); the average combined state and local sales tax rate is 9.06%, sixth highest (Tax Foundation 2026), and charges are 37% of local own-source revenue.</t>
        </is>
      </c>
      <c r="T37" s="4" t="inlineStr">
        <is>
          <t>- Oklahoma Council of Public Affairs (State Policy Network affiliate), "Judges and property taxes: What Oklahoma voters should know about SQ 845 and SQ 847" (September 15, 2026). Explains that legislatively referred SQ 847 on the Nov. 3, 2026 ballot would lower the annual valuation cap from 5% to 4% for other real property and from 3% to 1.75% for homesteads, and would replace the senior valuation freeze income test with tiers allowing increases of 0% to 1.40% for seniors with incomes up to 180% of HUD county median. It says the change "would likely increase the number of Oklahoma seniors who enjoy some amount of protection against escalating property valuations." https://ocpathink.org/post/analysis/judges-and-property-taxes-what-oklahoma-voters-should-know-about-sq-845-and-sq-847
- Oklahoma Council of Public Affairs, Ray Carter, "Oklahoma schools with sky-high per-student funding are sitting on millions in reserves—and aren't necessarily producing the highest academic results" (September 15, 2026). Citing a Secretary of Education school finance report, it finds that 41 districts with enough local property tax revenue to receive no state aid carried over an average of 48% of revenue, or $10.5 million, and that total school revenue in 2025 was more than $3.2 billion above 2018, with much of the increase placed in carryover funds. https://ocpathink.org/post/independent-journalism/oklahoma-schools-with-sky-high-per-student-funding-are-sitting-on-millions-in-reserves-and-arent-necessarily-producing-the-highest-academic-results
- Oklahoma Senate Republicans, "Standridge Champions Bills to Lower Property Taxes" (Jan. 27, 2026). Sen. Lisa Standridge, R-Norman, filed SB 2000 to raise the homestead exemption from $1,000 to $5,000 and SB 1993 to let county commissioners lower library millage when a fund is "too rich," and argued the state should control its spending, citing 59% budget growth from 2021 to 2025. Both bills stalled in Senate Revenue and Taxation. https://www.oksenate.gov/press-releases/standridge-champions-bills-lower-property-taxes
- Oklahoma Council of Public Affairs, Curtis Shelton, "How Oklahoma can deliver property-tax relief the smart way" (November 11, 2025). It notes constitutional rate caps, the 3% and 5% valuation caps and an average assessment ratio of about 11.7%, and warns that large cuts in local revenue, which funds roughly half of school budgets, would bring calls for state backfill that would jeopardize Oklahoma's income tax cuts and its path to zero income tax. It recommends a Utah-style certified tax rate law that lowers rates automatically to keep revenue from existing property flat, with voter approval to exceed it, and also weighs a larger homestead exemption and a cap below 3%, noting that resets at sale shift the burden to new buyers. https://ocpathink.org/post/analysis/how-oklahoma-can-deliver-property-tax-relief-the-smart-way
- Oklahoma Council of Public Affairs, Ray Carter, "Lawmakers differ on reining in inflated tax bills" (June 8, 2022). Reports on legislative efforts to curb county assessors' use of third-party contractors to value business property, which critics say inflated valuations and drove tax protests; a DCP Midstream tax manager testified that 88 of the company's 108 mid-continent district court appeals since 2015, or 81%, were filed in Oklahoma. https://ocpathink.org/post/independent-journalism/lawmakers-differ-on-reining-in-inflated-tax-bills
- Save Our States (State Policy Network associate): no property tax report since 2021 was found.
Linked list: 5 items on the Analyses sheet (filter State = Oklahoma); every source URL is linked on the Sources sheet.</t>
        </is>
      </c>
      <c r="U37" s="4" t="inlineStr">
        <is>
          <t>1985: SQ 588 (five-year manufacturing exemption with state reimbursement). 1996: SQ 675 (assessment ratios of 11% to 13.5%), SQ 676 (5% valuation cap) and SQ 677 (senior freeze). 2004: SQ 714 (senior freeze amended, from 2005) and SQ 715 (100% disabled veteran exemption). 2012: SQ 758 (3% cap for homesteads and farmland from 2013). 2014: SQ 770 and SQ 771 (veterans' surviving spouses).
2022: state reimbursement of 25% of veterans' exemption losses in qualifying counties begins. 2021 and 2023 (1st Ex. Sess.): amendments to the additional homestead exemption, whose income limit is now $30,000.
2024: voters rejected SQ 833 (Nov. 5), which would have allowed public infrastructure districts.
2025: SB 577 and SB 688 amended the manufacturing exemption statute (68 O.S. §2902).
2025-2026: homestead tax initiatives. IP 453 and IP 454 were withdrawn. IP 455 (SQ 843), filed Jan. 12, 2026, would phase out property taxes on homesteads by 2029; critics say schools would lose more than $1 billion. A protest was filed in the Oklahoma Supreme Court on April 15, 2026 (arguments June 2). In a 5-4 decision reported Oct. 8, 2026, the court held SQ 843 unconstitutional because homesteads would not be assessed at the minimum of 11% of fair cash value that art. X §8 requires, so the petition cannot proceed.
2026: HJR 1087 sent SQ 844 (reimbursement methods) to the Aug. 25 ballot, where voters rejected it (about 74% no, unofficial). SJR 39 placed SQ 847 on the Nov. 3, 2026 ballot (pending): caps of 1.75% for homesteads and farmland and 4% for other real property from 2027, plus income-tiered caps for senior homesteads above the freeze income limit. SB 227 (signed April 13, 2026) expanded the ad valorem exemption for property used in producing material subject to gross production tax. SB 2000 (homestead exemption from $1,000 to $5,000) and SB 1993 (county commissioners may lower library millage) were referred to Senate Revenue and Taxation on Feb. 2, 2026 and saw no further action.</t>
        </is>
      </c>
      <c r="V37" s="4" t="inlineStr">
        <is>
          <t>25th (0.79% effective rate; 0.78% in 2010)</t>
        </is>
      </c>
      <c r="W37" s="4" t="inlineStr">
        <is>
          <t>Oklahoma limits property taxes through constitutional millage limits by purpose and caps on annual growth in taxable value (3% for homesteads and farmland, 5% for other real property); seniors at or below county median income have a valuation freeze. It has no levy or spending limit. Bonds need 60% of voters, and their sinking fund levies have no millage cap. SQ 847 on the Nov. 3, 2026 ballot would tighten the caps from 2027.</t>
        </is>
      </c>
      <c r="X37" s="4" t="inlineStr">
        <is>
          <t>https://www.oklegislature.gov/OKStatutes/CompleteTitles/oc10.rtf
https://www.oklegislature.gov/OK_Statutes/CompleteTitles/os68.rtf
https://www.oklegislature.gov/OK_Statutes/CompleteTitles/os62.rtf
https://www.oklegislature.gov/OK_Statutes/CompleteTitles/os70.rtf
https://www.oklegislature.gov/OK_Statutes/CompleteTitles/os26.rtf
https://www.oklegislature.gov/OK_Statutes/CompleteTitles/os31.rtf
https://www.oklegislature.gov/cf_pdf/2025-26%20ENR/sres/SJR39%20ENR.PDF
https://www.oklegislature.gov/cf_pdf/2025-26%20ENR/hres/HJR1087%20ENR.PDF
https://www.oklegislature.gov/BillInfo.aspx?Bill=SJR39&amp;Session=2600
https://www.oklegislature.gov/BillInfo.aspx?Bill=HJR1087&amp;Session=2600
https://www.sos.ok.gov/gov/questions.aspx
https://okpolicy.org/state-question-847-changing-assessment-caps-for-property-tax/
https://okpolicy.org/november2026elections/
https://okpolicy.org/wp-content/uploads/UPDATED-2026-SQ-844-Factsheet.pdf
https://tulsaflyer.org/2026/08/25/schools-families/post/oklahoma-voters-say-no-to-sq-844/
https://oklahomavoice.com/2026/04/13/measure-heading-to-august-ballot-could-cost-counties-oklahoma-schools-millions/
https://www.newsfromthestates.com/article/oklahoma-high-court-hears-challenge-property-tax-initiative-petition
https://www.lincolninst.edu/data/significant-features-property-tax/access-database/
https://www.lincolninst.edu/app/uploads/2024/10/truth_in_taxation_2024.xlsx
https://www2.census.gov/programs-surveys/gov-finances/tables/2022/22slsstab1.xlsx
https://www.hppr.org/hppr-news/2026-10-08/oklahoma-supreme-court-declares-property-tax-state-question-unconstitutional
https://nondoc.com/2024/11/05/state-questions-sq-833s-public-infrastructure-districts-rejected-while-sq-834-passes/
https://oklahoma.gov/governor/newsroom/newsroom/2026/governor-stitt-signs-2-bills-into-law1.html
https://ocpathink.org/post/analysis/how-oklahoma-can-deliver-property-tax-relief-the-smart-way
https://www.thewatongarepublican.com/node/10012
https://www.oksenate.gov/press-releases/standridge-champions-bills-lower-property-taxes
https://www.oklegislature.gov/BillInfo.aspx?Bill=SB2000&amp;Session=2600
https://www.oklegislature.gov/BillInfo.aspx?Bill=SB1993&amp;Session=2600
https://www.kjrh.com/news/local-news/passed-voters-approve-tps-609m-bond-package</t>
        </is>
      </c>
    </row>
    <row r="38" ht="409" customHeight="1">
      <c r="A38" s="13" t="inlineStr">
        <is>
          <t>Oregon</t>
        </is>
      </c>
      <c r="B38" s="4" t="inlineStr">
        <is>
          <r>
            <rPr>
              <rFont val="Carlito"/>
              <b val="1"/>
              <sz val="14"/>
            </rPr>
            <t>F.</t>
          </r>
          <r>
            <rPr>
              <rFont val="Carlito"/>
              <sz val="11"/>
            </rPr>
            <t xml:space="preserve">
Restriction points 5.5 of 18 (assessment cap 2; rate cap 2; school districts covered 1; November-ballot rule 0.25; use restrictions 0.25). Deductions: built-in loopholes -1.5; workarounds in practice -1; state buydowns +0; data record -0.5. Total 2.5 = F (A 11+, B 8.5-10.9, C 5.5-8.4, D 3-5.4, F under 3).
Why: Built-in loopholes -1.5: voter-approved bonds sit outside both Measure 5 and Measure 50 (including maintenance and repair since 2011), local option levies pass by simple majority at May and November elections, and new property enters outside the 3% cap. Workarounds -1: local option levies grew 14.3% a year to $955 million; Portland renewed its parks levy in 2025 at a rate 75% higher and Portland Public Schools passed a $1.83 billion bond; urban renewal collected $246 million. Buydowns 0: the State School Fund is state school funding with no program paying local governments to cut levies (flag: Measure 5 required the state to replace lost school revenue). Record -0.5: real growth per person and homeowner bill growth above the national pace, with an effective rate below average.</t>
          </r>
        </is>
      </c>
      <c r="C38" s="4">
        <f>((LEFT(D38,3)="Yes")+(LEFT(E38,3)="Yes")+(LEFT(F38,3)="Yes")+(LEFT(G38,3)="Yes"))&amp;" of 4 in force"&amp;IF(((LEFT(D38,7)="Partial")+(LEFT(E38,7)="Partial")+(LEFT(F38,7)="Partial")+(LEFT(G38,7)="Partial"))&gt;0," + "&amp;((LEFT(D38,7)="Partial")+(LEFT(E38,7)="Partial")+(LEFT(F38,7)="Partial")+(LEFT(G38,7)="Partial"))&amp;" partial","")&amp;CHAR(10)&amp;CHAR(10)&amp;IF(LEFT(D38,3)="Yes","✓",IF(LEFT(D38,7)="Partial","◐","✗"))&amp;" Spending limit"&amp;CHAR(10)&amp;IF(LEFT(E38,3)="Yes","✓",IF(LEFT(E38,7)="Partial","◐","✗"))&amp;" Levy limit"&amp;CHAR(10)&amp;IF(LEFT(F38,3)="Yes","✓",IF(LEFT(F38,7)="Partial","◐","✗"))&amp;" Assessment cap"&amp;CHAR(10)&amp;IF(LEFT(G38,3)="Yes","✓",IF(LEFT(G38,7)="Partial","◐","✗"))&amp;" Rate cap"</f>
        <v/>
      </c>
      <c r="D38" s="4" t="inlineStr">
        <is>
          <r>
            <rPr>
              <rFont val="Carlito"/>
              <b val="1"/>
              <sz val="11"/>
            </rPr>
            <t>No.</t>
          </r>
          <r>
            <rPr>
              <rFont val="Carlito"/>
              <sz val="11"/>
            </rPr>
            <t xml:space="preserve">
No limit on growth in local government spending. Local Budget Law sets procedures (a budget committee with citizen members and a public hearing after published notice) without a growth limit. Measures 5 (1990) and 50 (1997) limit property tax rates and assessed value, which restrains the largest local tax but leaves spending from fees, state aid and other local taxes uncapped.
Authority: ORS 294.414, 294.456 (Local Budget Law).</t>
          </r>
        </is>
      </c>
      <c r="E38" s="4" t="inlineStr">
        <is>
          <r>
            <rPr>
              <rFont val="Carlito"/>
              <b val="1"/>
              <sz val="11"/>
            </rPr>
            <t>No.</t>
          </r>
          <r>
            <rPr>
              <rFont val="Carlito"/>
              <sz val="11"/>
            </rPr>
            <t xml:space="preserve">
No cap on growth in a government's total property tax levy. Measure 50 (1997) replaced the levy-based system (district tax bases and the Measure 47 cut of 1996) with a rate-based system: each district has a permanent rate that cannot be raised, applied to assessed value whose maximum grows 3% a year (see Assessment and Rate). Together these hold permanent-rate taxes on an existing property to 3% growth a year while its assessed value equals its maximum assessed value. Revenue also grows with new property, urban renewal, bonds and local option levies. Because the permanent rate is a maximum, a district that has levied below it may raise its levy to the full rate without a vote.
Local option levies are the voter override: a fixed dollar amount or a rate, for up to five years for operations or the lesser of 10 years or the useful life of a capital project, approved by a majority of voters (with 50% turnout at March and August elections). They stay inside the Measure 5 limits and are the first taxes cut by compression.
Permanent-rate taxes grew an average 4.8% a year from FY1997-98 to FY2025-26, and all property taxes 5.1% a year (Department of Revenue).
Authority: Or. Const. art. XI §11(3), (4) (Measure 50, H.J.R. 85, 1997); ORS 280.060.</t>
          </r>
        </is>
      </c>
      <c r="F38" s="4" t="inlineStr">
        <is>
          <r>
            <rPr>
              <rFont val="Carlito"/>
              <b val="1"/>
              <sz val="11"/>
            </rPr>
            <t>Yes.</t>
          </r>
          <r>
            <rPr>
              <rFont val="Carlito"/>
              <sz val="11"/>
            </rPr>
            <t xml:space="preserve">
Maximum assessed value (Measure 50, 1997): each property's maximum assessed value (MAV) for 1997-98 was its 1995-96 real market value reduced by 10%, and MAV may not grow more than 3% a year. Assessed value is the lesser of MAV and real market value. By statute MAV equals the greater of 103% of last year's assessed value or 100% of last year's MAV, so MAV keeps its level when market values fall; after a decline pushes assessed value down to market value, assessed value can rise faster than 3% a year until it reaches MAV again. There is no reset on sale.
Exceptions are valued in their first year at the ratio of average MAV to average market value for the property class in the area, then capped:
- new property and improvements (net of retirements);
- partitions and subdivisions, and rezoning with consistent use;
- omitted property;
- disqualification from exemption, partial exemption or special assessment;
- lot line adjustments.
Statewide assessed value was 53.6% of real market value in FY2025-26; assessed value grew 5.1% that year and market value 3.1%.
Authority: Or. Const. art. XI §11(1); ORS 308.146, 308.153.</t>
          </r>
        </is>
      </c>
      <c r="G38" s="4" t="inlineStr">
        <is>
          <r>
            <rPr>
              <rFont val="Carlito"/>
              <b val="1"/>
              <sz val="11"/>
            </rPr>
            <t>Yes.</t>
          </r>
          <r>
            <rPr>
              <rFont val="Carlito"/>
              <sz val="11"/>
            </rPr>
            <t xml:space="preserve">
Two layers of rate limits:
- Measure 5 (1990): taxes on each property, other than exempt bonds, may not exceed $5 per $1,000 of real market value for the public school system (school districts, education service districts and community colleges; any educational service from pre-kindergarten through post-graduate training) and $10 per $1,000 for all other governments. The school limit was phased down from $15 in 1991-92 to $5 in 1995-96. When a property's taxes exceed a limit, local option levies in that category are reduced first, then the other taxes in the category proportionally ("compression"). Incurred charges the owner can control and assessments for local improvements are not taxes under the measure.
- Measure 50 (1997): each district has a permanent rate limit set from its reduced 1997-98 levy, which cannot be raised. A new district sets its permanent rate by a vote of its residents; merged districts receive the rate that would raise their combined prior revenue.
Outside both limits: general obligation bonds for capital construction or improvements issued on or before Nov. 6, 1990 or approved by voters, and, for bonds incurred from January 1, 2011, any capital costs, including furnishing, equipping, maintenance and repair. Outside the permanent rates but inside Measure 5: local option levies and Portland's pension levy, the last remaining "gap bond." Compression cut taxes by $215 million in FY2025-26, 2% of the taxes subject to the limits.
Authority: Or. Const. art. XI §11b (Measure 5, 1990); §11(3), (5), (11); §11L (H.J.R. 13, 2009); ORS 310.150.</t>
          </r>
        </is>
      </c>
      <c r="H38" s="4" t="inlineStr">
        <is>
          <r>
            <rPr>
              <rFont val="Carlito"/>
              <b val="1"/>
              <sz val="11"/>
            </rPr>
            <t>Yes.</t>
          </r>
          <r>
            <rPr>
              <rFont val="Carlito"/>
              <sz val="11"/>
            </rPr>
            <t xml:space="preserve">
School taxes fall under the $5 Measure 5 limit and each district's permanent rate. School districts may add local option levies (20 of 197 districts had one in FY2025-26, raising $292 million with education service districts), and bonds are outside the limits (130 districts had bond levies). Local option and bond levies supplied 33% of K-12 property taxes. School property taxes count as local revenue in the State School Fund formula, which allocates combined state and local money per weighted student, so higher school taxes reduce the state share. Local option revenue above the lesser of 25% of a district's formula grants or a per-student amount (set at $2,000 per weighted student and raised 3% a year) also counts as local revenue. K-12 districts and education service districts imposed $4.11 billion, 41% of Oregon property taxes, in FY2025-26.
Authority: Or. Const. art. XI §§11(4), 11b; ORS 280.040 to 280.145, 327.011.</t>
          </r>
        </is>
      </c>
      <c r="I38" s="4" t="inlineStr">
        <is>
          <r>
            <rPr>
              <rFont val="Carlito"/>
              <b val="1"/>
              <sz val="11"/>
            </rPr>
            <t>No.</t>
          </r>
          <r>
            <rPr>
              <rFont val="Carlito"/>
              <sz val="11"/>
            </rPr>
            <t xml:space="preserve">
The state levies no property tax. All property taxes are imposed by local taxing districts (1,223 imposed taxes in FY2025-26) and urban renewal agencies. Measure 5 required the state to replace school revenue lost to the limits from its General Fund, which moved most school operating costs to state revenue (see Subsidies).
Authority: Or. Const. art. XI §§11(9), 11b(5).</t>
          </r>
        </is>
      </c>
      <c r="J38" s="4" t="inlineStr">
        <is>
          <r>
            <rPr>
              <rFont val="Carlito"/>
              <b val="1"/>
              <sz val="11"/>
            </rPr>
            <t>Partial.</t>
          </r>
          <r>
            <rPr>
              <rFont val="Carlito"/>
              <sz val="11"/>
            </rPr>
            <t xml:space="preserve">
No general or senior homestead exemption. Exemptions from assessed value:
- Disabled veterans and surviving spouses: the statute set $15,000 for a veteran with a disability of 40% or more certified by the U.S. Department of Veterans Affairs or the armed forces (or by a physician, if income is at or below 185% of federal poverty guidelines) and for unmarried surviving spouses, and $18,000 for a service-connected disability of 40% or more and certain surviving spouses. Each amount is 103% of the prior year's, so current amounts are higher.
- National Guard and reserve members on federal (Title 10) service or an Emergency Management Assistance Compact deployment for more than 178 consecutive days: up to $60,000 of assessed value, set in 2005 and raised 3% a year.
Exemptions reduce assessed value, which averages about 54% of market value.
Authority: ORS 307.250, 307.286.</t>
          </r>
        </is>
      </c>
      <c r="K38" s="4" t="inlineStr">
        <is>
          <r>
            <rPr>
              <rFont val="Carlito"/>
              <b val="1"/>
              <sz val="11"/>
            </rPr>
            <t>Partial.</t>
          </r>
          <r>
            <rPr>
              <rFont val="Carlito"/>
              <sz val="11"/>
            </rPr>
            <t xml:space="preserve">
Deferral only. Oregon has no state-funded property tax credit, rebate or circuit breaker.
- Senior and disabled citizens deferral: owners 62 and older, or with a disability, may defer property taxes on their homestead if household income for 2025 was under $70,000 and net worth is under $500,000. The home must be under a market value limit that depends on the county and years of residence; a home over that limit still qualifies if its market value is under $301,000 (2026). The Department of Revenue pays the taxes to the county, takes a lien and charges 6% simple interest; the balance is repaid in full on disqualification or cancellation. Participants recertify every two years.
2025 Or. Laws ch. 449 raised the income limit to $70,000 and indexes it to inflation from tax year 2027-28.
Authority: ORS 311.666 to 311.701 (eligibility at 311.668).</t>
          </r>
        </is>
      </c>
      <c r="L38" s="4" t="inlineStr">
        <is>
          <r>
            <rPr>
              <rFont val="Carlito"/>
              <b val="1"/>
              <sz val="11"/>
            </rPr>
            <t>Yes.</t>
          </r>
          <r>
            <rPr>
              <rFont val="Carlito"/>
              <sz val="11"/>
            </rPr>
            <t xml:space="preserve">
The Oregon Constitution requires the Legislature to replace from the General Fund the school revenue lost to the Measure 50 limits, in an amount no less than the total replaced in FY1997-98. The state meets this through the State School Fund, which the Legislature funded at $11.36 billion for 2025-27 ($9.87 billion General Fund, plus lottery and other dedicated revenue); the school formula combines it with local revenue, mainly property taxes. The state also pays the deferred taxes of senior and disabled homeowners to counties and recovers them later with interest. Equalization grants for districts with local option levies match local taxes and do not count.
Authority: Or. Const. art. XI §11(9); SB 5516 (2025); ORS 311.666 to 311.701, 327.339.</t>
          </r>
        </is>
      </c>
      <c r="M38" s="4" t="inlineStr">
        <is>
          <r>
            <rPr>
              <rFont val="Carlito"/>
              <b val="1"/>
              <sz val="11"/>
            </rPr>
            <t>No.</t>
          </r>
          <r>
            <rPr>
              <rFont val="Carlito"/>
              <sz val="11"/>
            </rPr>
            <t/>
          </r>
        </is>
      </c>
      <c r="N38" s="4" t="inlineStr">
        <is>
          <r>
            <rPr>
              <rFont val="Carlito"/>
              <b val="1"/>
              <sz val="11"/>
            </rPr>
            <t>No.</t>
          </r>
          <r>
            <rPr>
              <rFont val="Carlito"/>
              <sz val="11"/>
            </rPr>
            <t xml:space="preserve">
No rollback rate. Each district's permanent rate is a fixed maximum and the rate does not fall when values rise; the 3% limit on maximum assessed value restrains reassessment gains, and a district at its permanent rate collects the full rate on its growing assessed value.
Authority: Or. Const. art. XI §11(1), (3).</t>
          </r>
        </is>
      </c>
      <c r="O38" s="4" t="inlineStr">
        <is>
          <r>
            <rPr>
              <rFont val="Carlito"/>
              <b val="1"/>
              <sz val="11"/>
            </rPr>
            <t>No.</t>
          </r>
          <r>
            <rPr>
              <rFont val="Carlito"/>
              <sz val="11"/>
            </rPr>
            <t xml:space="preserve">
Local option levies, new permanent rates and general obligation bonds pass by a simple majority of voters. At elections in March or August the "double majority" rule also applies: at least 50% of registered voters must cast ballots. Since 2008 the rule does not apply to May or November elections (H.J.R. 15, 2007; Measure 56); before then only even-year November general elections were exempt. Governing bodies set levies within their permanent rates by ordinary vote. The Legislature needs three-fifths of each house to pass revenue bills (this does not count here).
Authority: Or. Const. art. XI §§11(8), 11k; art. IV §25(2).</t>
          </r>
        </is>
      </c>
      <c r="P38" s="4" t="inlineStr">
        <is>
          <r>
            <rPr>
              <rFont val="Carlito"/>
              <b val="1"/>
              <sz val="11"/>
            </rPr>
            <t>Partial.</t>
          </r>
          <r>
            <rPr>
              <rFont val="Carlito"/>
              <sz val="11"/>
            </rPr>
            <t xml:space="preserve">
Local measures may go to voters on four dates: the second Tuesday in March, the third Tuesday in May, the fourth Tuesday in August and the November general election date, plus emergency elections (for districts, to fund repairs after fire, vandalism or natural disaster). Tax measures at March and August elections must also meet the 50% turnout requirement.
Authority: ORS 203.085 (counties), 221.230 (cities), 255.345 (districts); Or. Const. art. XI §§11(8), 11k.</t>
          </r>
        </is>
      </c>
      <c r="Q38" s="4" t="inlineStr">
        <is>
          <r>
            <rPr>
              <rFont val="Carlito"/>
              <b val="1"/>
              <sz val="11"/>
            </rPr>
            <t>Partial.</t>
          </r>
          <r>
            <rPr>
              <rFont val="Carlito"/>
              <sz val="11"/>
            </rPr>
            <t xml:space="preserve">
Measure 5 splits every tax bill into a school category, whose revenue may fund only educational services, and a general government category. Local option taxes levied for purposes other than general operations must be kept in a separate fund and spent only for the voted purpose. Urban renewal division-of-tax revenue may be used only to pay urban renewal debt, and exempt bond levies pay debt for capital costs. Permanent-rate taxes of cities, counties and special districts are otherwise unrestricted.
Authority: Or. Const. art. XI §§11b(1), 11(15); ORS 280.040(2).</t>
          </r>
        </is>
      </c>
      <c r="R38" s="4" t="inlineStr">
        <is>
          <t>36 counties; 240 cities (Census municipal governments); 197 school districts that imposed property taxes in FY2025-26, plus education service districts and community college districts (Census counts 223 independent school governments); 1,029 special districts in the Census count, led by 265 fire protection districts, 132 water supply districts, 111 highway districts, 65 cemetery districts, 57 drainage and flood control districts and 53 park and recreation districts; and urban renewal agencies (135 urban renewal plan areas collected division-of-tax revenue in FY2025-26). Oregon has no townships. The Department of Revenue counted 1,223 districts imposing property taxes in FY2025-26. Census of Governments 2022: 1,528 local governments.</t>
        </is>
      </c>
      <c r="S38" s="4" t="inlineStr">
        <is>
          <t>Verdict: Failed. Property tax per person rose 35.3% after inflation from FY2002 to FY2024, against 25.9% for the U.S.
Why it leaks: Oregon has no levy or spending limit. Measure 50 (1997) caps assessed value growth at 3% and freezes rates. Bonds sit outside Measures 5 and 50, and local option levies sit above the permanent rates. Both pass by simple majority, with no turnout rule in May or November since Measure 56 (2008). A district below its permanent rate can raise it without a vote. The State School Fund's $11.4 billion for 2025-27 counts against the state.
How localities get around it: Portland renewed its parks levy in November 2025 at $1.40 per $1,000, 75% above the 2020 rate. Portland Public Schools passed a $1.83 billion bond in May 2025, sold as keeping its rate near $2.50 per $1,000.
Full record:
Measure 50's 3% cap and permanent rates hold down taxes on existing property, but bonds, local option levies and new property sit outside them, so total property taxes still grew an average 5.1% a year from FY1997-98 and reached $10.08 billion in FY2025-26, up 5.6% in one year (Department of Revenue).
The record (Census, BEA, ACS): state and local property tax was $2,108 per person in FY2024 (U.S. $2,132), 3.00% of personal income (16th-highest of 50; U.S. 2.89%). After inflation, collections per person (all state and local property tax divided by residents) rose 35.3% from FY2002 to FY2024 (U.S. +25.9%) and rose 2.9% from FY2019 to FY2024 (U.S. -1.1%). The median homeowner paid $3,895 in 2024 (U.S. $3,211); the median bill rose 13.3% after inflation from 2010 to 2024 (U.S. +9.3%). The Tax Foundation's 2026 ranking puts its effective property tax rate on owner-occupied homes at 0.81%, 27th-lowest of 50. By the same measure it was 0.80% in 2010 (U.S. 1.00% in 2010, 0.94% in 2024).
- New property: new construction and other exception value enter the rolls each year at the area's MAV-to-market ratio, so permanent-rate taxes grew 4.8% a year on average, above the 3% cap.
- Catch-up: MAV keeps its level when market values fall, so assessed value can climb faster than 3% a year after a downturn until it reaches MAV.
- Overrides: local option levies rose an average 14.3% a year from FY1997-98 and reached $955 million in FY2025-26 (9.5% of all property taxes; up 9.2% in a year, with city local options up 14.5%). Since 2008 they need only a simple majority at May and November elections. Portland voters renewed the city parks levy on Nov. 4, 2025 at $1.40 per $1,000 of assessed value, 75% above the 2020 rate of $0.80, raising about $84 million in its first year (55% yes in election-night returns, OPB).
- Bonds: bond taxes ($1.53 billion, up 7.3%) sit outside both limits. Since 2011 voter-approved bonds may pay for maintenance, repair, furnishing and equipment as capital costs, and since 2018 local governments may use them for affordable housing (outstanding principal up to 0.5% of market value). Portland Public Schools passed a $1.83 billion bond on May 20, 2025 (about 60% yes), its fourth since 2012, sold as keeping the rate near $2.50 per $1,000; Cascade Policy Institute testified that interest of $800 million to $1.7 billion was left out of the Voters' Pamphlet.
- Urban renewal: division of tax and special levies raised $246 million (up 11.7%) in 135 plan areas. Division of tax moves school-category taxes into the general government category, adding to compression in cities.
- Compression: the Measure 5 limits are measured against market value, so most properties sit below them; compression removed $215 million (2% of taxes subject to the limits), 88.6% of it in cities, and local option levies are cut first.
- Revenue shift: Portland-area governments added income taxes that no property tax limit reaches. Metro's supportive housing services tax (2020) levies 1% on income above $125,000 for single filers or $200,000 for joint filers and 1% on profits of businesses with more than $5 million in gross receipts; Multnomah County's Preschool for All income tax (2020) funds tuition-free preschool. Portland's Revenue Division collects both.
- State money: Measure 5 moved school operating costs to the state; the 2025-27 State School Fund adds $11.4 billion of state money to about $5.6 billion of local school revenue.
- Abatements: HB 4084 (2026) widened enterprise zone property tax abatements and allowed longer ones; data centers no longer qualify.
Property tax is 75.8% of local tax revenue (Census FY2022); local selective sales taxes supply 7.7% (Oregon has no general sales tax) and local income taxes 3.7%, and charges are 35.1% of local own-source revenue. Tax Foundation 2026: 28th on property tax, 35th overall.</t>
        </is>
      </c>
      <c r="T38" s="4" t="inlineStr">
        <is>
          <t>- Cascade Policy Institute, Randal O'Toole, "We Can't Afford Metro's Affordable Housing" (June 24, 2026). Units funded by Metro's housing program cost an average of about $490,000 each, or about $700 per square foot for 700-square-foot units, two to three times the cost of building single-family homes; because the housing bond is repaid from property taxes, it raises ownership costs and makes the rest of the region's housing less affordable. https://cascadepolicy.org/tax-and-budget/we-cant-afford-metros-affordable-housing/
- Cascade Policy Institute, Kathryn Hickok, "HB 2089 Brings Oregon into Compliance with the Supreme Court's Tyler Ruling on Property Rights and Home Equity" (July 9, 2025). Oregon had been one of nine states whose tax foreclosure laws let counties keep the surplus after selling a home for unpaid property taxes; HB 2089, which Cascade worked on with Pacific Legal Foundation, lets counties keep only the back taxes owed and gives the former owner a claim to any surplus. https://cascadepolicy.org/tax-and-budget/hb-2089-brings-oregon-into-compliance-with-the-supreme-courts-tyler-ruling-on-property-rights-and-home-equity/
- Cascade Policy Institute, "Testimony before the Multnomah County Tax Supervising and Conservation Commission regarding the PPS general obligation bond budget" (May 5, 2025). Argues Portland Public Schools gave few spending commitments for its $1.83 billion bond and left debt service out of the Voters' Pamphlet, though district estimates put interest at $800 million to $1.7 billion and total debt service as high as $3.5 billion. https://cascadepolicy.org/tax-and-budget/testimony-before-the-multnomah-county-tax-supervising-and-conservation-commission-regarding-the-pps-general-obligation-bond-budget/
- Taxpayers Association of Oregon, Jason Williams, "No on SB 712" (March 26, 2025). Testimony against SB 712, which would make a 3% yearly increase in each property's maximum assessed value automatic; it says local governments "raised a billion in new property taxes last year" and that hundreds of millions of property tax dollars go to urban renewal projects that mostly benefit private businesses. https://apps.oregonlegislature.gov/liz/2025R1/Downloads/PublicTestimonyDocument/169367
- Cascade Policy Institute, "PPS Bond Request Is Too Big and Too Vague" (January 7, 2025). Urged the Portland Public Schools board to send back a bond of up to $1.8 billion, the largest in state history, which would put tax liabilities on district taxpayers for 25 to 30 years; it says the district mismanaged its $1.2 billion 2020 bond, where the Jefferson High School rebuild is $125 million over budget at $491 million with nothing built. https://cascadepolicy.org/tax-and-budget/pps-bond-request-is-too-big-and-too-vague/
- Cascade Policy Institute, John A. Charles, Jr., "Taxpayers Have Been Generous to Portland Schools" (November 16, 2023). From 2013 to 2022 Portland Public Schools' total spending rose 73% to $932.4 million while enrollment fell 4.3%; voters approved three bonds totaling $2.48 billion since 2012, and the district's total direct property tax rate rose from 7.2681 to 9.6016 over the decade. https://cascadepolicy.org/tax-and-budget/taxpayers-have-been-generous-to-portland-schools/
- Cascade Policy Institute, Eric Fruits, "No on Measure 26-225: Metro's Parks and Nature Program Needs a Reset" (October 25, 2022). Urged a no vote on Metro's request for another $98 million for parks three years after voters approved $475 million in property taxes for parks and nature; it says the program has received close to $1 billion in property taxes since the mid-1990s and more than 80% of the 18,000 acres it bought are closed to the public. https://cascadepolicy.org/tax-and-budget/no-on-measure-26-225-metros-parks-and-nature-program-needs-a-reset/
- Common Sense Institute Oregon (State Policy Network associate): no property tax report since 2021 was found (its Oregon taxes and fees research covers the estate tax, a tire tax and the 2025 transportation packages).
Linked list: 7 items on the Analyses sheet (filter State = Oregon); every source URL is linked on the Sources sheet.</t>
        </is>
      </c>
      <c r="U38" s="4" t="inlineStr">
        <is>
          <t>1990: Measure 5 rate limits (school limit phased down through 1995-96). 1996: Measure 47 tax cut and tax increase limit. 1997: Measure 50 (H.J.R. 85) replaced Measure 47 with maximum assessed value and permanent rates and cut 1997-98 taxes 17% below what prior law would have produced. 2000: Measure 1 (equalization grants for school local option levies). 2008: H.J.R. 15 (Measure 56) ended the 50% turnout rule at May and November elections. 2010: H.J.R. 13 exempted bonds for capital costs, including maintenance and repair, from the limits. 2018: H.J.R. 201 allowed local affordable housing bonds.
2025: HB 2321 (2025 Or. Laws ch. 482) directs the Legislative Revenue Officer to report by Dec. 1, 2026 on the property tax system and the effects of Measures 5 and 50; the bill as introduced would have created a task force on their impacts. SJR 3, which would have reset maximum assessed value on sale, set a floor of 0.75 on the ratio of MAV to market value, lengthened local option levies and exempted them from compression, died in the Senate Rules Committee. 2025 Or. Laws ch. 449 raised the deferral income limit to $70,000 and indexed it from 2027.
Local votes: Portland Public Schools voters approved a $1.83 billion bond on May 20, 2025 (about 60% yes), renewing bonds approved in 2012, 2017 and 2020. Portland voters renewed the city parks local option levy on Nov. 4, 2025 at $1.40 per $1,000 of assessed value, 75% above the 2020 rate. In December 2025 the Tonkon Torp law firm reported that rising compression had made proposals to loosen Measures 5 and 50 popular heading into the 2026 session.
2026: HB 4084 expanded the reach and possible length of enterprise zone property tax abatements and made data centers ineligible (Oregon Realtors 2026 session report). No 2026 law changed the Measure 5 or Measure 50 limits.
No statewide property tax measure is on the Nov. 3, 2026 ballot (Ballotpedia list checked Oct. 12, 2026).</t>
        </is>
      </c>
      <c r="V38" s="4" t="inlineStr">
        <is>
          <t>27th (0.81% effective rate; 0.80% in 2010)</t>
        </is>
      </c>
      <c r="W38" s="4" t="inlineStr">
        <is>
          <t>Oregon limits property taxes through rates and assessed value: Measure 5 caps each property's taxes at $5 (schools) and $10 (other governments) per $1,000 of market value, and Measure 50 fixed each district's permanent rate and limits growth in maximum assessed value to 3% a year. There is no levy or spending cap. New property, voter-approved bonds, urban renewal and local option levies that pass by simple majority at May and November elections let total property taxes grow about 5% a year, while school operating costs moved to the State School Fund.</t>
        </is>
      </c>
      <c r="X38" s="4" t="inlineStr">
        <is>
          <t>https://www.oregonlegislature.gov/bills_laws/Pages/OrConst.aspx
https://www.oregonlegislature.gov/bills_laws/ors/ors308.html
https://www.oregonlegislature.gov/bills_laws/ors/ors310.html
https://www.oregonlegislature.gov/bills_laws/ors/ors280.html
https://www.oregonlegislature.gov/bills_laws/ors/ors294.html
https://www.oregonlegislature.gov/bills_laws/ors/ors255.html
https://www.oregonlegislature.gov/bills_laws/ors/ors221.html
https://www.oregonlegislature.gov/bills_laws/ors/ors203.html
https://www.oregonlegislature.gov/bills_laws/ors/ors457.html
https://www.oregonlegislature.gov/bills_laws/ors/ors311.html
https://www.oregonlegislature.gov/bills_laws/ors/ors307.html
https://www.oregonlegislature.gov/bills_laws/ors/ors327.html
https://www.oregon.gov/dor/programs/gov-research/Documents/FY%202025-26%20Oregon%20Property%20Tax%20Statistics%20Report-UA.pdf
https://www.oregon.gov/dor/programs/property/Pages/deferral.aspx
https://www.oregon.gov/dor/forms/FormsPubs/active-military-exemption_303-084.pdf
https://apps.oregonlegislature.gov/liz/2025R1/Downloads/MeasureAnalysisDocument/92874
https://olis.oregonlegislature.gov/liz/2025R1/Measures/Overview/HB2321
https://apps.oregonlegislature.gov/liz/2025R1/Downloads/MeasureDocument/SJR3
https://olis.oregonlegislature.gov/liz/2025R1/Measures/Overview/SJR3
https://apps.oregonlegislature.gov/liz/2025R1/Downloads/CommitteeMeetingDocument/307212
https://olis.oregonlegislature.gov/liz/2025R1/Measures/Overview/SB5516
https://oregonrealtors.org/wp-content/uploads/2026-Legislative-Report-3.16.2026-FINAL.pdf
https://www.clackamas.us/elections/a-voters-guide-to-the-november-3-2026-general-election
https://ballotpedia.org/Oregon_2026_ballot_measures
https://www.lincolninst.edu/app/uploads/2024/10/truth_in_taxation_2024.xlsx
https://www2.census.gov/programs-surveys/gov-finances/tables/2022/22slsstab1.xlsx
https://portlandtribune.com/?p=2506
https://www.opb.org/article/2025/05/11/oregon-education-portland-public-schools-2025-bond-budget-building-improvements/
https://www.opb.org/article/2025/11/04/portland-parks-levy-ballot-measure-renew-appears-approved/
https://digital-release.koin.com/news/civic-affairs/metro-oks-250m-homeless-tax-measure-for-ballot/amp/
https://www.portland.gov/revenue/news/2026/3/15/city-portland-metro-and-multnomah-county-remind-residents-file-and-pay-your
https://tonkon.com/ear-to-the-ground-blog/oregons-property-tax-compression-problem-is-back-in-spotlight/
https://cascadepolicy.org/tax-and-budget/we-cant-afford-metros-affordable-housing/
https://cascadepolicy.org/tax-and-budget/testimony-before-the-multnomah-county-tax-supervising-and-conservation-commission-regarding-the-pps-general-obligation-bond-budget/
https://commonsenseinstituteus.org/oregon/research/?topic=taxes-and-fees</t>
        </is>
      </c>
    </row>
    <row r="39" ht="409" customHeight="1">
      <c r="A39" s="13" t="inlineStr">
        <is>
          <t>Pennsylvania</t>
        </is>
      </c>
      <c r="B39" s="4" t="inlineStr">
        <is>
          <r>
            <rPr>
              <rFont val="Carlito"/>
              <b val="1"/>
              <sz val="14"/>
            </rPr>
            <t>D.</t>
          </r>
          <r>
            <rPr>
              <rFont val="Carlito"/>
              <sz val="11"/>
            </rPr>
            <t xml:space="preserve">
Restriction points 6.25 of 18 (levy limit 2; rate cap 1; truth in taxation 1; rollback 1; school districts covered 1; use restrictions 0.25). Deductions: built-in loopholes -1.5; workarounds in practice -0.5; state buydowns -1.5; data record +1. Total 3.75 = D (A 11+, B 8.5-10.9, C 5.5-8.4, D 3-5.4, F under 3).
Why: Built-in loopholes -1.5: Act 1 limits school rates only, with new construction on top and exceptions for voter-approved debt, pensions and special education; Philadelphia is outside Act 1 and the millage caps, home rule governments escape the caps, and debt and school salary levies are unlimited. Workarounds -0.5: Act 1 exceptions are now rare (10 districts in 2026-27), but Philadelphia school property taxes rose 34.9% in three years and Allegheny County raised its rate 36% for 2025. Buydowns -1.5: state-funded property tax relief of $1.367 billion for 2026-27 (gaming-funded homestead and farmstead exclusions plus Property Tax/Rent Rebates) equals about 5.8% of FY2024 collections of $23.56 billion. Record +1: real collections per person and real homeowner bills grew far slower than the nation and the share of income is below average, against an above-average effective rate.</t>
          </r>
        </is>
      </c>
      <c r="C39" s="4">
        <f>((LEFT(D39,3)="Yes")+(LEFT(E39,3)="Yes")+(LEFT(F39,3)="Yes")+(LEFT(G39,3)="Yes"))&amp;" of 4 in force"&amp;IF(((LEFT(D39,7)="Partial")+(LEFT(E39,7)="Partial")+(LEFT(F39,7)="Partial")+(LEFT(G39,7)="Partial"))&gt;0," + "&amp;((LEFT(D39,7)="Partial")+(LEFT(E39,7)="Partial")+(LEFT(F39,7)="Partial")+(LEFT(G39,7)="Partial"))&amp;" partial","")&amp;CHAR(10)&amp;CHAR(10)&amp;IF(LEFT(D39,3)="Yes","✓",IF(LEFT(D39,7)="Partial","◐","✗"))&amp;" Spending limit"&amp;CHAR(10)&amp;IF(LEFT(E39,3)="Yes","✓",IF(LEFT(E39,7)="Partial","◐","✗"))&amp;" Levy limit"&amp;CHAR(10)&amp;IF(LEFT(F39,3)="Yes","✓",IF(LEFT(F39,7)="Partial","◐","✗"))&amp;" Assessment cap"&amp;CHAR(10)&amp;IF(LEFT(G39,3)="Yes","✓",IF(LEFT(G39,7)="Partial","◐","✗"))&amp;" Rate cap"</f>
        <v/>
      </c>
      <c r="D39" s="4" t="inlineStr">
        <is>
          <r>
            <rPr>
              <rFont val="Carlito"/>
              <b val="1"/>
              <sz val="11"/>
            </rPr>
            <t>No.</t>
          </r>
          <r>
            <rPr>
              <rFont val="Carlito"/>
              <sz val="11"/>
            </rPr>
            <t xml:space="preserve">
No limit on growth in local spending. Act 1 of 2006 limits school district tax rate increases (see Levy); county, municipal and school budgets have no growth cap.</t>
          </r>
        </is>
      </c>
      <c r="E39" s="4" t="inlineStr">
        <is>
          <r>
            <rPr>
              <rFont val="Carlito"/>
              <b val="1"/>
              <sz val="11"/>
            </rPr>
            <t>Partial.</t>
          </r>
          <r>
            <rPr>
              <rFont val="Carlito"/>
              <sz val="11"/>
            </rPr>
            <t xml:space="preserve">
School districts (Taxpayer Relief Act, Act 1 of 2006, Special Session No. 1; every district except Philadelphia): a school board may not raise any tax rate by more than its index, or levy a tax it did not levy in 2005-06, unless a majority of voters approve at the election immediately preceding the fiscal year (May 19, 2026 for 2026-27). Earned income tax increases require a separate tax-shift referendum. The base index is the average of the percentage increases in the statewide average weekly wage and the federal employment cost index for elementary and secondary schools; a district whose market value/personal income aid ratio exceeds 0.4000 multiplies the base index by 0.75 plus its aid ratio. Base index: 5.3% for 2024-25, 4.0% for 2025-26, 3.5% for 2026-27 and 3.6% for 2027-28, when adjusted indexes run from 3.6% to 5.9%. The index limits the rate. Revenue from new construction and improvements comes on top, and Section 333 has no carryover of unused increases. Exceptions approved by the Department of Education without a vote (four since Act 25 of 2011):
- debt incurred before September 4, 2004 (districts that joined the Homeowner Tax Relief Act, Act 72 of 2004) or before June 27, 2006 (other districts), including refinancing;
- electoral (voter-approved) debt;
- special education cost increases, net of state payments, above the index;
- increases in employer contributions to the Public School Employees' Retirement System above the index, computed on the lesser of current or 2011-12 payroll.
Districts that received a state tax equity supplement in 2024-25, or an adequacy or tax equity supplement in 2025-26, could not seek exceptions the following year.
Counties, cities, boroughs, townships and other taxing districts have no annual levy limit. In the first year after a countywide reassessment, taxes on existing property may rise no more than 10% (see Rollback), and a court may approve more.
Authority: Taxpayer Relief Act §§302, 311, 327, 333 (amended by Act 25 of 2011); Public School Code §2599.6(a.8); 53 Pa.C.S. §8823.</t>
          </r>
        </is>
      </c>
      <c r="F39" s="4" t="inlineStr">
        <is>
          <r>
            <rPr>
              <rFont val="Carlito"/>
              <b val="1"/>
              <sz val="11"/>
            </rPr>
            <t>No.</t>
          </r>
          <r>
            <rPr>
              <rFont val="Carlito"/>
              <sz val="11"/>
            </rPr>
            <t xml:space="preserve">
No cap on growth in assessed value, and no required reassessment cycle. Counties reassess when they choose; between countywide reassessments a property's assessment changes only for new construction or a material change to the property, and a sale does not trigger a new assessment. The Independent Fiscal Office (September 2026) reports that Pennsylvania is the only state that requires no regular reassessment: 14 of 67 counties had completed or started a reassessment within five years, 16 within 6 to 20 years and 26 within 21 to 40 years, while 11 had not reassessed in more than 40 years. Statewide assessed value was $821 billion in 2025, 67.8% of the $1.21 trillion market value reported by the State Tax Equalization Board. Base-year values limit tax growth on existing homes between reassessments; a countywide revision revalues every property at the county's predetermined ratio.
Authority: 53 Pa.C.S. Ch. 88 (Consolidated County Assessment Law), §8823(b).</t>
          </r>
        </is>
      </c>
      <c r="G39" s="4" t="inlineStr">
        <is>
          <r>
            <rPr>
              <rFont val="Carlito"/>
              <b val="1"/>
              <sz val="11"/>
            </rPr>
            <t>Partial.</t>
          </r>
          <r>
            <rPr>
              <rFont val="Carlito"/>
              <sz val="11"/>
            </rPr>
            <t xml:space="preserve">
Millage caps on assessed value apply to general-purpose levies of most counties, cities, boroughs, townships and school districts. Debt service and listed special levies sit outside them, and a court may allow a few more mills on the governing body's petition:
- Counties: 25 mills in third- to eighth-class counties, plus up to 5 more with court approval and up to 10 mills for rentals to municipal authorities; 40 mills in second class A counties. Debt service is unlimited.
- Third class cities: 30 mills, plus up to 5 with court approval; debt service unlimited; street lighting up to 5 mills.
- Boroughs and first class townships: 30 mills, plus up to 5 with court approval. Separate levies cover debt service (unlimited), fire protection (up to 3 mills; voter approval above that) and ambulance and rescue services (half a mill), and boroughs may add levies for street lighting (8 mills) and libraries.
- Second class townships: 14 mills, plus up to 5 with court approval, and special-purpose levies.
- School districts of the second to fourth class: 25 mills (75 mills for independent districts). Separate unlimited levies for teacher and supervisory salaries, authority rentals and debt service may push the total above the limit.
Outside the caps: home rule counties and municipalities, which may set any rate on residents, and Philadelphia, a first class city, county and school district that these codes do not cover.
Authority: 16 Pa.C.S. §14970 (Act 14 of 2024); 11 Pa.C.S. §12531; 8 Pa.C.S. §1302; 73 Pa.C.S. §4908 (Act 7 of 2026); Second Class Township Code §3205; Public School Code §672; 53 Pa.C.S. §2962(b), (i).</t>
          </r>
        </is>
      </c>
      <c r="H39" s="4" t="inlineStr">
        <is>
          <r>
            <rPr>
              <rFont val="Carlito"/>
              <b val="1"/>
              <sz val="11"/>
            </rPr>
            <t>Yes.</t>
          </r>
          <r>
            <rPr>
              <rFont val="Carlito"/>
              <sz val="11"/>
            </rPr>
            <t xml:space="preserve">
All school districts except Philadelphia are under the Act 1 index (see Levy), including its reassessment-year limit, and second- to fourth-class districts are under the 25-mill cap of Public School Code §672, which excludes salary, rental and debt levies. For 2026-27, 464 of 500 districts adopted resolutions not to exceed their index; 17 adopted preliminary budgets, 12 of them with real estate tax rates above the index; the Department of Education approved exceptions for 10 districts totaling $23.1 million; and 16 districts that filed neither document may not exceed the index. Pittsburgh and Scranton, which budget on a calendar year, follow a separate Act 1 calendar. Voter-approved (electoral) debt qualifies for an exception. The Philadelphia School District is outside Act 1's tax limits.
Authority: Taxpayer Relief Act §§302, 311, 327, 333; Public School Code §672.</t>
          </r>
        </is>
      </c>
      <c r="I39" s="4" t="inlineStr">
        <is>
          <r>
            <rPr>
              <rFont val="Carlito"/>
              <b val="1"/>
              <sz val="11"/>
            </rPr>
            <t>Partial.</t>
          </r>
          <r>
            <rPr>
              <rFont val="Carlito"/>
              <sz val="11"/>
            </rPr>
            <t xml:space="preserve">
No general state property tax. The Public Utility Realty Tax (PURTA) is a state tax on the state taxable value of public utility realty, at a millage rate the Department of Revenue calculates each year. The department distributes the revenue to local taxing authorities, so the tax works as a pass-through for one industry. The Census recorded $39.7 million of state property tax revenue in FY2022, against $22.3 billion of local property tax.
Authority: Tax Reform Code of 1971, Article XI-A, §§1102-A, 1107-A.</t>
          </r>
        </is>
      </c>
      <c r="J39" s="4" t="inlineStr">
        <is>
          <r>
            <rPr>
              <rFont val="Carlito"/>
              <b val="1"/>
              <sz val="11"/>
            </rPr>
            <t>Yes.</t>
          </r>
          <r>
            <rPr>
              <rFont val="Carlito"/>
              <sz val="11"/>
            </rPr>
            <t xml:space="preserve">
- Homestead and farmstead exclusions: school districts use their state property tax reduction allocations (gaming revenue) to exclude part of the assessed value of owner-occupied homes, and of farm buildings on farms of at least 10 contiguous acres that are the owner's primary residence, from school taxes. In Philadelphia the allocation reduces the wage tax. Counties and municipalities may adopt their own exclusions. No exclusion may exceed one-half of the median assessed value of homestead property in the jurisdiction. Owners apply to the county assessment office by March 1.
- A constitutional amendment approved on Nov. 7, 2017 lets the General Assembly authorize exclusions up to 100% of each homestead's assessed value and bars taxing authorities from raising millage to pay for them. The statutory limit of half the median has not been raised.
- Philadelphia: assessed value of an owner-occupied home is reduced by $100,000; for Tax Year 2027 the amount is unchanged and most homeowners save $1,399 (applications due Dec. 1, 2026). Philadelphia's Longtime Owner Occupants Program (LOOP) lets owners of at least 10 years whose assessment rose at least 50% in one year or 75% over five years, and who meet income limits, cap the taxable portion of their assessment.
- Disabled veterans: full exemption on the residence of honorably discharged veterans of any war or armed conflict who, as a result of service, are blind, paraplegic, double or quadruple amputees or 100% permanently disabled, if the State Veterans' Commission finds financial need.
Authority: Pa. Const. art. VIII §2(b)(vi), (c); 53 Pa.C.S. §§8583, 8586; Taxpayer Relief Act §§341-342, 505.</t>
          </r>
        </is>
      </c>
      <c r="K39" s="4" t="inlineStr">
        <is>
          <r>
            <rPr>
              <rFont val="Carlito"/>
              <b val="1"/>
              <sz val="11"/>
            </rPr>
            <t>Yes.</t>
          </r>
          <r>
            <rPr>
              <rFont val="Carlito"/>
              <sz val="11"/>
            </rPr>
            <t xml:space="preserve">
Property Tax/Rent Rebate program (paid by the state): homeowners and renters age 65 and older, widows and widowers 50 and older, and people with disabilities 18 and older; half of Social Security income is excluded. Act 7 of 2023 raised the maximum standard rebate from $650 to $1,000 and set a $45,000 income limit for homeowners and renters, indexed to consumer prices. For 2025 income the brackets are $1,000 up to $8,550, $770 up to $16,040, $460 up to $19,240 and $380 up to $48,110. Most homeowners with income up to $30,000 whose property taxes exceed 15% of income receive a 50% supplement. A rebate may not exceed the property taxes paid or, for renters, 20% of the rent paid. The program paid $315 million to more than 513,000 people in 2025, 64% more than in the year before the expansion took effect, and began paying $226.4 million to nearly 376,000 claimants on July 1, 2026.
Authority: Taxpayer Relief Act §§1303, 1304 (amended by Act 7 of 2023).</t>
          </r>
        </is>
      </c>
      <c r="L39" s="4" t="inlineStr">
        <is>
          <r>
            <rPr>
              <rFont val="Carlito"/>
              <b val="1"/>
              <sz val="11"/>
            </rPr>
            <t>Yes.</t>
          </r>
          <r>
            <rPr>
              <rFont val="Carlito"/>
              <sz val="11"/>
            </rPr>
            <t xml:space="preserve">
The state pays school districts property tax reduction allocations from gaming revenue, which districts must apply as homestead and farmstead exclusions on owners' school tax bills; Philadelphia uses its allocation to reduce the city wage tax. The Budget Secretary certified $1.025 billion for 2026-27, the same as the year before, plus $33.1 million in Sterling Act reimbursements to eligible districts. With the Property Tax/Rent Rebate program, state-funded property tax relief totals $1.367 billion for 2026-27. Basic education and adequacy funding is general school aid and does not count.
Authority: Taxpayer Relief Act (Act 1 of 2006, Special Session 1) §§324, 503-505; Budget Secretary certification of April 14, 2026.</t>
          </r>
        </is>
      </c>
      <c r="M39" s="4" t="inlineStr">
        <is>
          <r>
            <rPr>
              <rFont val="Carlito"/>
              <b val="1"/>
              <sz val="11"/>
            </rPr>
            <t>Partial.</t>
          </r>
          <r>
            <rPr>
              <rFont val="Carlito"/>
              <sz val="11"/>
            </rPr>
            <t xml:space="preserve">
No truth-in-taxation law;  Notice rules:
- School districts must print the preliminary and final budgets, with proposed tax rates, for public inspection 20 days before adoption and give 10 days' notice of adoption; a public hearing is optional. Districts that adopt a resolution to stay within the index follow the Public School Code's budget procedures. A district seeking an exception must publish notice in a newspaper and on its website at least one week before applying, and notice of any Department hearing.
- Boroughs and first class townships may keep or cut a rate by resolution; a rate increase requires an ordinance.
- After a countywide reassessment, taxing districts must roll back rates and take a separate and specific vote to set any higher rate (see Rollback).
Authority: Taxpayer Relief Act §§311, 312, 333(j)(2); 8 Pa.C.S. §1302(a); 73 Pa.C.S. §4908; 53 Pa.C.S. §8823.</t>
          </r>
        </is>
      </c>
      <c r="N39" s="4" t="inlineStr">
        <is>
          <r>
            <rPr>
              <rFont val="Carlito"/>
              <b val="1"/>
              <sz val="11"/>
            </rPr>
            <t>Yes.</t>
          </r>
          <r>
            <rPr>
              <rFont val="Carlito"/>
              <sz val="11"/>
            </rPr>
            <t xml:space="preserve">
In the first year taxes are levied on a countywide reassessment (or on a changed predetermined ratio):
- Counties, municipalities and other taxing districts in counties of the second class A through eighth class must cut each rate so taxes on existing property do not exceed last year's total. By a separate and specific vote, the governing body may set a final rate that raises up to 10% more. New construction and improvements are left out of the calculation, rates set by referendum are rolled back the same way, and a court may approve a higher rate for good cause.
- School districts must cut the rate so taxes on existing property rise no more than the index; more requires voter approval or a Department-approved exception. The Independent Fiscal Office found school property taxes rose 1.5% to 3.7% in the reassessment year in Delaware (2021), Wayne (2023), Beaver (2024) and Tioga (2024) counties.
The rules apply only in the reassessment year. The 10% rule does not reach first and second class counties (Philadelphia and Allegheny), which fall outside the Consolidated County Assessment Law, and the Philadelphia School District is outside Act 1.
Authority: 53 Pa.C.S. §§8801(b), 8823 (amended by Act 156 of 2016); Taxpayer Relief Act §327.</t>
          </r>
        </is>
      </c>
      <c r="O39" s="4" t="inlineStr">
        <is>
          <r>
            <rPr>
              <rFont val="Carlito"/>
              <b val="1"/>
              <sz val="11"/>
            </rPr>
            <t>No.</t>
          </r>
          <r>
            <rPr>
              <rFont val="Carlito"/>
              <sz val="11"/>
            </rPr>
            <t xml:space="preserve">
Act 1 referenda pass by simple majority of voters. Rate increases after a reassessment need a separate and specific vote of the governing body, and millage above the code caps needs a court order; neither requires a supermajority.
Authority: Taxpayer Relief Act §333(c); 53 Pa.C.S. §8823(c), (e).</t>
          </r>
        </is>
      </c>
      <c r="P39" s="4" t="inlineStr">
        <is>
          <r>
            <rPr>
              <rFont val="Carlito"/>
              <b val="1"/>
              <sz val="11"/>
            </rPr>
            <t>No.</t>
          </r>
          <r>
            <rPr>
              <rFont val="Carlito"/>
              <sz val="11"/>
            </rPr>
            <t xml:space="preserve">
Act 1 referenda on school tax increases go on the ballot at the election immediately preceding the fiscal year. For districts on a July fiscal year that is the spring primary (May 19, 2026 for 2026-27); for Pittsburgh and Scranton, which budget on a calendar year, it is the November election. Income tax shift referenda under Section 332 are held at a municipal election in November. Delaware County voters will decide a $120 million land conservation borrowing question on Nov. 3, 2026.
Authority: Taxpayer Relief Act §§332, 333(c).</t>
          </r>
        </is>
      </c>
      <c r="Q39" s="4" t="inlineStr">
        <is>
          <r>
            <rPr>
              <rFont val="Carlito"/>
              <b val="1"/>
              <sz val="11"/>
            </rPr>
            <t>Partial.</t>
          </r>
          <r>
            <rPr>
              <rFont val="Carlito"/>
              <sz val="11"/>
            </rPr>
            <t xml:space="preserve">
Levies for general purposes are unrestricted. Dedicated levies include borough and township taxes for street lighting, fire companies, ambulance and rescue services, libraries and debt service, and county levies for municipal authority rentals. Revenue raised under an Act 1 exception may not exceed the cost it covers, and debt-related increases end when the debt is repaid. Gaming allocations, and school income taxes approved in tax-shift referenda, fund homestead and farmstead exclusions (or millage cuts in certain cases); in Philadelphia the allocation reduces the wage tax.
Authority: 8 Pa.C.S. §1302; 73 Pa.C.S. §4908; 16 Pa.C.S. §14970; Taxpayer Relief Act §§333(f), (g), 334, 505.</t>
          </r>
        </is>
      </c>
      <c r="R39" s="4" t="inlineStr">
        <is>
          <t>66 county governments in the Census count (Pennsylvania has 67 counties; Philadelphia's county government is consolidated with the city); 1,013 municipal governments (cities and boroughs); 1,546 townships of the first and second class; 514 independent school district governments in the Census count (the Department of Education counts 500 school districts); 1,712 special districts in the Census count, led by 611 sewerage, 244 water supply and 222 combined sewer and water districts, with 110 industrial development, 88 housing and community development and 77 parks and recreation districts. Property taxes are levied by counties, cities, boroughs, townships and school districts. Census of Governments 2022: 4,851 local governments.</t>
        </is>
      </c>
      <c r="S39" s="4" t="inlineStr">
        <is>
          <t>Verdict: Partly. Property tax per person rose 17.0% after inflation from FY2002 to FY2024, against 25.9% for the U.S., and fell 9.6% from FY2019 to FY2024 (U.S. -1.1%).
Why it leaks: Act 1 of 2006 limits school tax rates only, so new construction adds revenue on top, and voter-approved debt is an exception. Counties and municipalities have no annual levy limit outside reassessment years, and there is no spending limit. Philadelphia sits outside Act 1 and the millage caps, and home rule charters escape the caps. State-funded property tax relief of $1.367 billion for 2026-27 counts against the state.
How localities get around it: Philadelphia raised school district property tax revenue 34.9% from FY2021-22 to FY2024-25 through a multi-year reassessment, against 8.5% for the rest of the state. Allegheny County raised its rate about 36% to 6.43 mills for 2025.
Full record:
Act 1 holds most school rate increases within a wage-based index and exceptions have nearly disappeared, but counties and municipalities face no levy limit outside reassessment years, Philadelphia sits outside Act 1 and the millage caps, and school property taxes still rise every year.
The record (Census, BEA, ACS): state and local property tax was $1,806 per person in FY2024 (U.S. $2,132), 2.53% of personal income (30th-highest of 50; U.S. 2.89%). After inflation, collections per person (all state and local property tax divided by residents) rose 17.0% from FY2002 to FY2024 (U.S. +25.9%) and fell 9.6% from FY2019 to FY2024 (U.S. -1.1%). The median homeowner paid $3,214 in 2024 (U.S. $3,211); the median bill fell 3.5% after inflation from 2010 to 2024 (U.S. +9.3%). The Tax Foundation's 2026 ranking puts its effective property tax rate on owner-occupied homes at 1.26%, 39th-lowest of 50. By the same measure it was 1.31% in 2010 (U.S. 1.00% in 2010, 0.94% in 2024). The FY2024 Census figure is a sample estimate with a 13% coefficient of variation.
- School taxes: school district property taxes, including state Act 1 allocations and delinquent collections, were $16.64 billion in FY2022-23 and $17.86 billion in FY2024-25. The 4.2% rise in 2024-25 was the largest since FY2007-08, while the base index was 5.3% and the Independent Fiscal Office's weighted average index 5.9%. The office estimates $18.46 billion for FY2025-26.
- Exceptions: 228 districts were approved for $265.8 million in 2011-12, the last year under the longer list. Approvals fell to 3 districts in 2024-25, 8 in 2025-26 ($14.9 million approved, $11.0 million used) and 10 in 2026-27 ($23.1 million approved). For 2026-27, 464 of 500 districts pledged to stay within the index.
- Rates only: the limit applies to rates. New construction adds revenue each year, and with no reassessment requirement 11 counties have not reassessed in more than 40 years; statewide assessed value is 67.8% of market value.
- Philadelphia: outside Act 1 and the code millage caps. School District property tax revenue rose 34.9% from FY2021-22 to FY2024-25 during a multi-year reassessment, against 8.5% for the rest of the state. The city mailed Tax Year 2027 values in June 2026 and estimated a $97 rise in the median residential bill. Philadelphia also leans on its wage tax, 3.735% for residents and 3.425% for nonresidents from July 1, 2026, which the state's $150.3 million gaming allocation helps lower.
- Big counties: Allegheny County, a second class county, raised its rate to 6.43 mills for 2025, 1.7 mills or about 36% above the prior rate, with no levy limit to stop it.
- Caps with exits: home rule governments face no millage caps; school salary and debt levies sit outside the 25-mill cap; debt service on voter-approved bonds escapes every limit, through an Act 1 exception for schools.
- State money: $1.025 billion in gaming allocations for 2026-27 plus Property Tax/Rent Rebates bring state-funded property tax relief to $1.367 billion (Department of Education), and a rising state share of school revenue (40.4% estimated for FY2025-26) lowers bills without limiting spending.
Property tax is 68.1% of local tax revenue (Census FY2022). Local income taxes supply 20.3%: Act 511 caps the earned income tax at 1%, shared when a municipality and school district both levy it, and Act 1 referenda and home rule charters allow more. Local sales taxes supply 4.7%, and charges are 24.8% of local own-source revenue. Tax Foundation 2026: 13th on property tax, 36th overall.</t>
        </is>
      </c>
      <c r="T39" s="4" t="inlineStr">
        <is>
          <t>- Pennsylvania House Republicans, Rep. Wendy Fink, "Independent Fiscal Office Report Confirms Keefer's Senate Bill 962 &amp; Fink's House Bill 1649 Boost Business Investment and Deliver Immediate Relief to Families" (March 11, 2026). Says the Independent Fiscal Office's dynamic analysis finds the School Property Tax Elimination Act revenue neutral in its first year, with growing surplus revenue for schools over ten years, against a school property tax that is "capped by the Act 1 index and rises every year." The bills would replace school property taxes with a sales tax increase from 6% to 8% (plus a 2% tax on clothing, candy and gum), a personal income tax increase from 3.07% to 4.95% and tax on certain retirement income. https://repwendyfink.com/News/37669/Latest-News/Independent-Fiscal-Office-Report-Confirms-Keefer-s-Senate-Bill-962---Fink-s-House-Bill-1649-Boost-Business-Investment-and-Deliver-Immediate-Relief-to-Families
- Pennsylvania House Republicans, Rep. Wendy Fink, "Turning the key to property tax elimination" (Broad + Liberty op-ed, Sept. 15, 2025). Fink writes that she paid almost $3,800 in school property tax, about the state average, and that more than 5,000 Pennsylvanians lose their homes each year because they cannot pay the school property tax bill; she argues most residents would save under HB 1649 and SB 962. https://broadandliberty.com/2025/09/15/turning-the-key-to-property-tax-elimination/
- Pennsylvania House Republicans, Rep. Frank Ryan, "Property Taxes – time to eliminate" (August 30, 2021). Written testimony for a House Majority Policy Committee hearing in Lebanon: Ryan, a CPA, calls for ending school property taxes for all properties, which he says the 2017 constitutional amendment opened the way to, and argues the school funding formula's "hold harmless" provision is the main obstacle; his HB 13 would have saved seniors over $2 billion, but its proposed tax on retirement income proved too hard to explain. https://www.pagoppolicy.com/Display/SiteFiles/428/Documents/2021/PropertyTaxReform083021/RepRyan.pdf
- Center for Independent Thought (State Policy Network member): no property tax report since 2021 was found.
- Commonwealth Partners Chamber of Entrepreneurs (State Policy Network member): no property tax report since 2021 was found.
Linked list: 3 items on the Analyses sheet (filter State = Pennsylvania); every source URL is linked on the Sources sheet.</t>
        </is>
      </c>
      <c r="U39" s="4" t="inlineStr">
        <is>
          <t>2006: Taxpayer Relief Act (Act 1 of 2006, Special Session No. 1, from HB 39, enacted June 27, 2006): school index and referenda, gaming-funded homestead and farmstead exclusions, Property Tax/Rent Rebate rules. 2010: Act 93 (Consolidated County Assessment Law). 2011: Act 25 cut Act 1 exceptions to four. 2016: Act 156 amended the reassessment rollback (§8823). 2017: voters approved the constitutional amendment allowing homestead exclusions up to 100% of assessed value; the implementing statute still caps exclusions at half the median.
2023: Act 7 expanded the Property Tax/Rent Rebate program ($1,000 maximum; $45,000 income limit indexed to inflation).
2024: Act 14 moved the County Code into Title 16 (county millage limits in §14970).
2025: districts that received a 2024-25 tax equity supplement could not seek Act 1 exceptions for 2025-26; for 2026-27 the bar covered 2025-26 adequacy and tax equity recipients (Public School Code §2599.6(a.8)). Introduced and still in committee: SB 962 (Sen. Dawn Keefer) and HB 1649 (Rep. Wendy Fink), the School Property Tax Elimination Act, which would end school property taxes and replace them with a higher state sales tax and local income taxes (HB 1649 referred to House Finance June 24, 2025; SB 962 to Senate Finance July 31, 2025); HB 310 (Rep. Perry Stambaugh), a constitutional amendment providing for the expiration of authority to levy real property taxes (in House Finance since Jan. 23, 2025). Allegheny County Council raised the county rate to 6.43 mills for 2025, 1.7 mills or about 36% above the prior rate (Dec. 3, 2024).
2026: Act 7 moved the First Class Township Code into Title 73 (30-mill general limit in §4908). SB 962 remained in Senate Finance in July 2026, when its sponsors held telephone town halls; as described then, it would raise income tax by up to 1.88 percentage points and the sales and use tax by 2 percentage points to replace school property taxes. No law expanded the Property Tax/Rent Rebate program after Act 7 of 2023; its inflation-indexed income limit reached $48,110 for 2026 claims. Philadelphia mailed Tax Year 2027 assessments in June 2026 and estimated a $97 increase in the median residential bill; the wage tax fell to 3.735% for residents and 3.425% for nonresidents on July 1, 2026.
No statewide property tax question is on the Nov. 3, 2026 ballot; the Delaware County and Philadelphia election notices list only local questions.</t>
        </is>
      </c>
      <c r="V39" s="4" t="inlineStr">
        <is>
          <t>39th (1.26% effective rate; 1.31% in 2010)</t>
        </is>
      </c>
      <c r="W39" s="4" t="inlineStr">
        <is>
          <t>Pennsylvania's main limit is Act 1 of 2006, which holds school district tax rate increases to a wage-based index (3.5% base for 2026-27) unless voters approve or the Department of Education grants one of four exceptions; almost every district now stays within it. Counties and municipalities face only code millage caps, which home rule governments and Philadelphia escape, plus a one-year 10% revenue limit after countywide reassessments, which are rare because the state requires none. Gaming revenue funds about $1 billion a year in homestead exclusions and Philadelphia wage tax cuts.</t>
        </is>
      </c>
      <c r="X39" s="4" t="inlineStr">
        <is>
          <t>https://www.palegis.us/statutes/unconsolidated/law-information/view-statute?txtType=PDF&amp;SessYr=2006&amp;SessInd=1&amp;ActNum=0001
https://www.palegis.us/statutes/consolidated/view-statute?txtType=PDF&amp;ttl=53&amp;div=0&amp;chapter=88&amp;section=23&amp;subsctn=0
https://www.palegis.us/statutes/consolidated/view-statute?txtType=PDF&amp;ttl=53&amp;div=0&amp;chapter=88&amp;section=1&amp;subsctn=0
https://www.palegis.us/statutes/consolidated/view-statute?txtType=PDF&amp;ttl=53&amp;div=0&amp;chapter=85&amp;section=86&amp;subsctn=0
https://www.palegis.us/statutes/consolidated/view-statute?txtType=PDF&amp;ttl=53&amp;div=0&amp;chapter=29&amp;section=62&amp;subsctn=0
https://www.palegis.us/statutes/consolidated/view-statute?txtType=PDF&amp;ttl=8&amp;div=0&amp;chapter=13&amp;section=2&amp;subsctn=0
https://www.palegis.us/statutes/consolidated/view-statute?txtType=PDF&amp;ttl=00&amp;div=0&amp;chapter=8&amp;section=2&amp;subsctn=0
https://www.palegis.us/statutes/unconsolidated/law-information/view-statute?txtType=PDF&amp;SessYr=2024&amp;SessInd=0&amp;ActNum=0014
https://www.palegis.us/statutes/unconsolidated/law-information/view-statute?txtType=PDF&amp;SessYr=2026&amp;SessInd=0&amp;ActNum=0007
https://www.palegis.us/statutes/unconsolidated/law-information/view-statute?txtType=PDF&amp;SessYr=2015&amp;SessInd=0&amp;ActNum=0067
https://www.palegis.us/statutes/unconsolidated/law-information/view-statute?txtType=PDF&amp;SessYr=1933&amp;SessInd=0&amp;ActNum=0069
https://www.palegis.us/statutes/unconsolidated/law-information/view-statute?txtType=PDF&amp;SessYr=1949&amp;SessInd=0&amp;ActNum=0014
https://www.palegis.us/statutes/unconsolidated/law-information/view-statute?txtType=PDF&amp;SessYr=1965&amp;SessInd=0&amp;ActNum=0511
https://www.palegis.us/statutes/unconsolidated/law-information/view-statute?txtType=PDF&amp;SessYr=1971&amp;SessInd=0&amp;ActNum=0002
https://www.palegis.us/legislation/bills/2025/sb962
https://www.palegis.us/legislation/bills/2025/hb1649
https://www.palegis.us/legislation/bills/2025/hb310
https://www.pa.gov/agencies/education/programs-and-services/schools/grants-and-funding/property-tax-relief
https://www.pa.gov/agencies/education/programs-and-services/schools/grants-and-funding/property-tax-relief/act-1-index
https://www.pa.gov/content/dam/copapwp-pagov/en/education/documents/schools/property-tax-relief/act1index/ssact1%20baseindexhistory%202027-28.pdf
https://www.pa.gov/content/dam/copapwp-pagov/en/education/documents/schools/property-tax-relief/act1index/ssact1%20adjindex%202027-28.xlsx
https://www.pa.gov/agencies/education/programs-and-services/schools/grants-and-funding/property-tax-relief/referendum-exceptions
https://www.pa.gov/content/dam/copapwp-pagov/en/education/documents/schools/property-tax-relief/referendumexceptions/2026-27%20report%20on%20referendum%20exceptions.pdf
https://www.pa.gov/agencies/education/programs-and-services/schools/grants-and-funding/property-tax-relief/property-tax-reduction-allocations
https://www.pa.gov/content/dam/copapwp-pagov/en/education/documents/schools/property-tax-relief/allocations/2026-27sptra.xlsx
https://www.pa.gov/content/dam/copapwp-pagov/en/education/documents/schools/property-tax-relief/ssact1%20timeline%202026-27%20fiscal%20nov2026%20election.pdf
https://www.pa.gov/content/dam/copapwp-pagov/en/education/documents/schools/property-tax-relief/ssact1%20timeline%202027-28%20calendar.pdf
https://www.pa.gov/agencies/revenue/newsroom/shapiro-administration-announces--226-million-headed-to-nearly-376,000-pennsylvanians-through-expanded-property-tax-rent-rebate-program--deadline-to-apply-extended-to-december-31
https://patreasury.gov/newsroom/archive/2026/07-01-PTRR.html
https://www.phila.gov/services/property-lots-housing/property-taxes/get-real-estate-tax-relief/get-the-homestead-exemption/
https://www.ifo.state.pa.us/releases/963/Recent-County-Reassessment-Outcomes/
https://www.ifo.state.pa.us/releases/935/School-District-Property-Tax-Update/
https://www.lgc.state.pa.us/incorpCountyCode.cfm
https://www.delcopa.gov/sites/default/files/2026-08/GE2026-UMOVA-Notice_8-8-2026.pdf
https://vote.phila.gov/media/UMOVA_NOTICE_2026_GENERAL_ELECTION.pdf
https://hoodline.com/2026/07/pa-tax-earthquake-keefer-plan-targets-school-property-bills/
https://www.lincolninst.edu/app/uploads/2024/10/truth_in_taxation_2024.xlsx
https://www2.census.gov/programs-surveys/gov-finances/tables/2022/22slsstab1.xlsx
https://www.pa.gov/governor/newsroom/2026-press-releases/shapiro-admin-expands-property-tax-rent-rebates-aid-to-376k-penn
https://www.lewistownsentinel.com/news/local-news/2026/08/property-tax-rent-rebate-program-tops-1-1-billion/
https://www.phila.gov/2026-06-30-city-of-philadelphia-to-mail-2027-property-assessments-and-launch-expanded-outreach-to-connect-homeowners-to-tax-relief/
https://www.phila.gov/services/payments-assistance-taxes/business-taxes/wage-tax-employers/
https://www.wesanews.org/politics-government/2024-12-03/innamorato-and-county-council-announce-budget-compromise-for-allegheny-county</t>
        </is>
      </c>
    </row>
    <row r="40" ht="409" customHeight="1">
      <c r="A40" s="13" t="inlineStr">
        <is>
          <t>Rhode Island</t>
        </is>
      </c>
      <c r="B40" s="4" t="inlineStr">
        <is>
          <r>
            <rPr>
              <rFont val="Carlito"/>
              <b val="1"/>
              <sz val="14"/>
            </rPr>
            <t>D.</t>
          </r>
          <r>
            <rPr>
              <rFont val="Carlito"/>
              <sz val="11"/>
            </rPr>
            <t xml:space="preserve">
Restriction points 7.5 of 18 (levy limit 4; truth in taxation 1; rollback 0.5; supermajority 1; school districts covered 1). Deductions: built-in loopholes -1; workarounds in practice -1; state buydowns -1.5; data record +0.5. Total 4.5 = D (A 11+, B 8.5-10.9, C 5.5-8.4, D 3-5.4, F under 3).
Why: Built-in loopholes -1: emergency exceptions for health, pension and utility costs, debt service and new-housing exclusions, unlimited general obligation bond levies, and one-year special acts from the General Assembly. Workarounds -1: Providence, the largest city, was lifted to 8% by special act for FY2026 and raised its levy 5.85%, and seven municipalities exceeded the cap that year. Buydowns -1.5: car tax replacement aid of $239.5 million for FY2026 equals about 8.5% of FY2024 collections. Record +0.5: real per-person growth and homeowner bills rank among the slowest, but the burden is 3.51% of personal income (44th).</t>
          </r>
        </is>
      </c>
      <c r="C40" s="4">
        <f>((LEFT(D40,3)="Yes")+(LEFT(E40,3)="Yes")+(LEFT(F40,3)="Yes")+(LEFT(G40,3)="Yes"))&amp;" of 4 in force"&amp;IF(((LEFT(D40,7)="Partial")+(LEFT(E40,7)="Partial")+(LEFT(F40,7)="Partial")+(LEFT(G40,7)="Partial"))&gt;0," + "&amp;((LEFT(D40,7)="Partial")+(LEFT(E40,7)="Partial")+(LEFT(F40,7)="Partial")+(LEFT(G40,7)="Partial"))&amp;" partial","")&amp;CHAR(10)&amp;CHAR(10)&amp;IF(LEFT(D40,3)="Yes","✓",IF(LEFT(D40,7)="Partial","◐","✗"))&amp;" Spending limit"&amp;CHAR(10)&amp;IF(LEFT(E40,3)="Yes","✓",IF(LEFT(E40,7)="Partial","◐","✗"))&amp;" Levy limit"&amp;CHAR(10)&amp;IF(LEFT(F40,3)="Yes","✓",IF(LEFT(F40,7)="Partial","◐","✗"))&amp;" Assessment cap"&amp;CHAR(10)&amp;IF(LEFT(G40,3)="Yes","✓",IF(LEFT(G40,7)="Partial","◐","✗"))&amp;" Rate cap"</f>
        <v/>
      </c>
      <c r="D40" s="4" t="inlineStr">
        <is>
          <r>
            <rPr>
              <rFont val="Carlito"/>
              <b val="1"/>
              <sz val="11"/>
            </rPr>
            <t>No.</t>
          </r>
          <r>
            <rPr>
              <rFont val="Carlito"/>
              <sz val="11"/>
            </rPr>
            <t xml:space="preserve">
No limit on growth in municipal or school spending; the 4% cap limits the property tax levy only. State law also sets a floor: cities and towns must keep up their local appropriation for schools ("maintenance of effort").</t>
          </r>
        </is>
      </c>
      <c r="E40" s="4" t="inlineStr">
        <is>
          <r>
            <rPr>
              <rFont val="Carlito"/>
              <b val="1"/>
              <sz val="11"/>
            </rPr>
            <t>Yes.</t>
          </r>
          <r>
            <rPr>
              <rFont val="Carlito"/>
              <sz val="11"/>
            </rPr>
            <t xml:space="preserve">
A city or town may raise its property tax levy no more than 4% over the prior year's levy (since FY2013; the cap was 5.5% through FY2007 and stepped down by a quarter point a year). Motor vehicle taxes are left out of the calculation. The levy may exceed 4% only when the Division of Municipal Finance (or, for emergencies, the Auditor General) certifies one of these conditions:
- a loss of non-property tax revenue;
- an emergency, which includes health insurance, retirement or utility costs rising by more than three times the cap (12%) in a year;
- debt service growth above the cap from bonds issued under law;
- substantial new construction that requires major infrastructure, school housing or services;
- in Providence for FY2026, revenue from its non-owner-occupied residential (Class 2B) rate above $28.80 per $1,000;
- from assessments dated December 31, 2025, taxes on new housing units.
Any excess must be approved by four-fifths of the full membership of the council, and in towns with a financial town meeting also by a majority of the electors present. The General Assembly also grants one-year exemptions by special act: for FY2026, up to 8% for Providence and up to 12% for Little Compton. Taxes to pay general obligation bonds are levied "without limitation as to rate or amount."
Authority: R.I. Gen. Laws §44-5-2 (as amended by P.L. 2025, chs. 35, 36, 147, 148, 348, 349, 367 and 368).</t>
          </r>
        </is>
      </c>
      <c r="F40" s="4" t="inlineStr">
        <is>
          <r>
            <rPr>
              <rFont val="Carlito"/>
              <b val="1"/>
              <sz val="11"/>
            </rPr>
            <t>No.</t>
          </r>
          <r>
            <rPr>
              <rFont val="Carlito"/>
              <sz val="11"/>
            </rPr>
            <t xml:space="preserve">
No cap on growth in assessed value. Municipalities revalue all property at least every nine years with statistical updates every three years. Cities and towns may tax classes of property at different rates and grant local homestead exemptions under state law and special acts.
Authority: R.I. Gen. Laws §§44-5-11.6, 44-5-11.8.</t>
          </r>
        </is>
      </c>
      <c r="G40" s="4" t="inlineStr">
        <is>
          <r>
            <rPr>
              <rFont val="Carlito"/>
              <b val="1"/>
              <sz val="11"/>
            </rPr>
            <t>No.</t>
          </r>
          <r>
            <rPr>
              <rFont val="Carlito"/>
              <sz val="11"/>
            </rPr>
            <t xml:space="preserve">
No limit on property tax rates; the 4% levy cap limits dollars.</t>
          </r>
        </is>
      </c>
      <c r="H40" s="4" t="inlineStr">
        <is>
          <r>
            <rPr>
              <rFont val="Carlito"/>
              <b val="1"/>
              <sz val="11"/>
            </rPr>
            <t>Yes.</t>
          </r>
          <r>
            <rPr>
              <rFont val="Carlito"/>
              <sz val="11"/>
            </rPr>
            <t xml:space="preserve">
Rhode Island has 32 school systems that depend on their city or town (Census count) and 4 regional districts funded by assessments on member towns, so school property taxes are part of municipal levies and fall under the 4% cap. The state requires each municipality to maintain its local school appropriation.</t>
          </r>
        </is>
      </c>
      <c r="I40" s="4" t="inlineStr">
        <is>
          <r>
            <rPr>
              <rFont val="Carlito"/>
              <b val="1"/>
              <sz val="11"/>
            </rPr>
            <t>Partial.</t>
          </r>
          <r>
            <rPr>
              <rFont val="Carlito"/>
              <sz val="11"/>
            </rPr>
            <t xml:space="preserve"> (narrow state tax on high-value second homes since July 1, 2026)
From July 1, 2026, the state levies the Non-Owner-Occupied Property Tax: $2.50 per $500 of assessed value above $1 million on residential property that is not the owner's primary residence. Homes rented long term for more than 183 days a year or run as registered short-term rentals are exempt. The Division of Taxation collects it on local assessed values, and the revenue goes to the Low-Income Housing Tax Credit Fund. The $1 million threshold rises with CPI-U from July 1, 2027. The Division identified 8,245 of 22,431 homes assessed over $1 million as non-owner-occupied and projected about $24.5 million in the first year. All other property taxes are levied by cities, towns and fire districts.
Authority: R.I. Gen. Laws ch. 44-72 (FY2026 budget, 2025); 280-RICR-20-75-1.</t>
          </r>
        </is>
      </c>
      <c r="J40" s="4" t="inlineStr">
        <is>
          <r>
            <rPr>
              <rFont val="Carlito"/>
              <b val="1"/>
              <sz val="11"/>
            </rPr>
            <t>Partial.</t>
          </r>
          <r>
            <rPr>
              <rFont val="Carlito"/>
              <sz val="11"/>
            </rPr>
            <t xml:space="preserve">
No statewide homestead exemption. Cities and towns may grant homestead exemptions or lower owner-occupied tax rates (for FY2027 Providence taxes owner-occupied one-unit homes at $8.40 per $1,000 of assessed value and non-owner-occupied ones at $14.60) and local-option exemptions or tax freezes for seniors, disabled residents and veterans (for example $1,000 to $15,000 veterans' exemptions and full exemptions for certain permanently disabled veterans).
Authority: R.I. Gen. Laws §§44-3-4, 44-5-11.8, 44-5-11.18.</t>
          </r>
        </is>
      </c>
      <c r="K40" s="4" t="inlineStr">
        <is>
          <r>
            <rPr>
              <rFont val="Carlito"/>
              <b val="1"/>
              <sz val="11"/>
            </rPr>
            <t>Yes.</t>
          </r>
          <r>
            <rPr>
              <rFont val="Carlito"/>
              <sz val="11"/>
            </rPr>
            <t xml:space="preserve">
Property tax relief credit (circuit breaker): a refundable state income tax credit for homeowners and renters 65 and older or disabled with household income up to $35,000, equal to property tax (or 20% of rent) above 3% to 6% of income. The maximum credit was raised to $600 for tax year 2022, and the income range and maximum are indexed to CPI-U from 2023.
Authority: R.I. Gen. Laws §44-33-9.</t>
          </r>
        </is>
      </c>
      <c r="L40" s="4" t="inlineStr">
        <is>
          <r>
            <rPr>
              <rFont val="Carlito"/>
              <b val="1"/>
              <sz val="11"/>
            </rPr>
            <t>Yes.</t>
          </r>
          <r>
            <rPr>
              <rFont val="Carlito"/>
              <sz val="11"/>
            </rPr>
            <t xml:space="preserve">
The state phased out the local motor vehicle excise tax (a property tax on vehicles), ending collections as of each community's FY2024, and pays cities and towns aid to replace the lost revenue; the aid now grows with sales tax collections, capped at 2% a year, and is $239.5 million for FY2026 and $244.3 million for FY2027. Since 2024 the state has exempted the first $50,000 of tangible personal property from local taxes and reimburses municipalities and fire districts for the lost revenue ($25.9 million for FY2027). The PILOT program reimburses cities and towns up to 27% of the taxes that would be due on property of private nonprofit colleges and hospitals and some state facilities ($49.0 million for FY2027, fully funded). Distressed community relief and school aid are general aid and do not count.
Authority: R.I. Gen. Laws chs. 44-34, 44-34.1, §45-13-5.1; 2026-H 7127 Sub A (FY2027 appropriations act).</t>
          </r>
        </is>
      </c>
      <c r="M40" s="4" t="inlineStr">
        <is>
          <r>
            <rPr>
              <rFont val="Carlito"/>
              <b val="1"/>
              <sz val="11"/>
            </rPr>
            <t>Partial.</t>
          </r>
          <r>
            <rPr>
              <rFont val="Carlito"/>
              <sz val="11"/>
            </rPr>
            <t xml:space="preserve">
Municipal budget disclosure: the proposed change in the levy must be stated as a percentage and the proposed rate change in dollars per $1,000 of value (required since 1979). There is no rollback rate calculation, and the 4% cap does the limiting.
Authority: R.I. Gen. Laws ch. 44-35.</t>
          </r>
        </is>
      </c>
      <c r="N40" s="4" t="inlineStr">
        <is>
          <r>
            <rPr>
              <rFont val="Carlito"/>
              <b val="1"/>
              <sz val="11"/>
            </rPr>
            <t>Partial.</t>
          </r>
          <r>
            <rPr>
              <rFont val="Carlito"/>
              <sz val="11"/>
            </rPr>
            <t xml:space="preserve">
No certified rollback rate. The 4% cap limits the levy in dollars, so rates fall as values rise unless a certified exception and a four-fifths council vote allow more.</t>
          </r>
        </is>
      </c>
      <c r="O40" s="4" t="inlineStr">
        <is>
          <r>
            <rPr>
              <rFont val="Carlito"/>
              <b val="1"/>
              <sz val="11"/>
            </rPr>
            <t>Yes.</t>
          </r>
          <r>
            <rPr>
              <rFont val="Carlito"/>
              <sz val="11"/>
            </rPr>
            <t xml:space="preserve">
A levy above the 4% cap needs the affirmative vote of four-fifths of the full membership of the city or town council (and a qualifying exception certified by the state); in towns with a financial town meeting, the electors present must also approve by majority.
Authority: R.I. Gen. Laws §44-5-2(e).</t>
          </r>
        </is>
      </c>
      <c r="P40" s="4" t="inlineStr">
        <is>
          <r>
            <rPr>
              <rFont val="Carlito"/>
              <b val="1"/>
              <sz val="11"/>
            </rPr>
            <t>No.</t>
          </r>
          <r>
            <rPr>
              <rFont val="Carlito"/>
              <sz val="11"/>
            </rPr>
            <t xml:space="preserve">
Budgets and levies are adopted by councils or at financial town meetings, which are held in the spring in many towns.</t>
          </r>
        </is>
      </c>
      <c r="Q40" s="4" t="inlineStr">
        <is>
          <r>
            <rPr>
              <rFont val="Carlito"/>
              <b val="1"/>
              <sz val="11"/>
            </rPr>
            <t>No.</t>
          </r>
          <r>
            <rPr>
              <rFont val="Carlito"/>
              <sz val="11"/>
            </rPr>
            <t xml:space="preserve">
No statewide restriction on what the municipal property tax may fund.</t>
          </r>
        </is>
      </c>
      <c r="R40" s="4" t="inlineStr">
        <is>
          <t>39 cities and towns (8 cities and 31 towns; there are no county governments); 32 dependent school systems and 4 regional school districts; 84 special districts in the Census count, including 29 fire districts that levy their own property taxes, 26 housing authorities and 13 water districts. Census of Governments 2022: 127 local governments.</t>
        </is>
      </c>
      <c r="S40" s="4" t="inlineStr">
        <is>
          <t>Verdict: Partly. Property tax per person rose 5.8% after inflation from FY2002 to FY2024, against 25.9% for the U.S., then fell 17.7% from FY2019 to FY2024 (U.S. -1.1%) as the state replaced the local car tax with state aid ($239.5 million for FY2026), which counts against the state.
Why it leaks: The 4% levy cap excepts debt service growth, and general obligation bonds are taxed without limit. Health insurance or pension cost jumps above 12% count as emergencies. A four-fifths council vote plus state certification lifts the cap, and the General Assembly grants one-year exemptions by special act. There is no rate or spending limit.
How localities get around it: Providence, certified for no exception, got H 6162 (2025) and raised its FY2026 levy from $396.2 million to $419.4 million. Little Compton's levy rose 11.78% under a similar act.
Full record:
The 4% levy cap holds most cities and towns to modest increases (the statewide levy rose 3.69% to $2.774 billion for FY2026), but Providence and several other cities go over it through certified exceptions and special acts of the General Assembly, and state aid that replaced the car tax keeps the capped levies lower. Rhode Island ranks 40th overall on the Tax Foundation's 2026 State Tax Competitiveness Index.
The record (Census, BEA, ACS): state and local property tax was $2,530 per person in FY2024 (U.S. $2,132), 3.51% of personal income (7th-highest of 50; U.S. 2.89%). After inflation, collections per person (all state and local property tax divided by residents) rose 5.8% from FY2002 to FY2024 (U.S. +25.9%) and fell 17.7% from FY2019 to FY2024 (U.S. -1.1%). The median homeowner paid $4,886 in 2024 (U.S. $3,211); the median bill fell 9.0% after inflation from 2010 to 2024 (U.S. +9.3%). The Tax Foundation's 2026 ranking puts its effective property tax rate on owner-occupied homes at 1.12%, 36th-lowest of 50. By the same measure it was 1.18% in 2010 (U.S. 1.00% in 2010, 0.94% in 2024).
- Over the cap: seven municipalities exceeded the 4% cap for FY2026 (Division of Municipal Finance): Little Compton 11.78%, Pawtucket 6.40% (certified for debt service), Providence 5.85%, Woonsocket 5.50% and East Greenwich 5.42%, with Cumberland and Narragansett over by rounding.
- Special acts: Providence was not certified under any exception for FY2026. The General Assembly passed H 6162 (enacted June 24, 2025) allowing up to 8% for one year, and the city raised its levy from $396.2 million to $419.4 million. Little Compton got up to 12% the same way (H 6362, June 13, 2025). Providence's proposed FY2027 budget ($635.7 million) holds rates flat but raises levy revenue about 2% (about $8.6 million) by assuming a higher collection rate.
- Built-in exceptions: health insurance, pension and utility increases above 12% count as emergencies, debt service growth is excepted, and general obligation bonds are taxed "without limitation as to rate or amount." From December 2025 assessments, taxes on qualifying new housing are outside the cap for up to three years.
- Classification: for FY2027 Providence taxes owner-occupied one-unit homes at $8.40 per $1,000, non-owner-occupied ones at $14.60, buildings with more than ten units at $28.50, commercial property at $29.20 and business equipment at $53.40, so renters and businesses carry more of the capped total.
- PILOTs: Brown, RISD, Providence College and Johnson &amp; Wales agreed in 2023 to pay over $177 million over 20 years, and Brown separately pledged $46 million more. Brown University Health (formerly Lifespan) agreed to $1.5 million over three years from 2025, against about $32 million in taxes the city estimates it would owe.
- Fire districts: the state cap report covers the 39 municipalities and the Cumberland Fire District; the other fire districts levy under their own charters.
- State money: the state pays $239.5 million for FY2026 to replace the phased-out motor vehicle tax, and since July 1, 2026 its new tax on high-value second homes is added on top of local bills.
Property tax is 97% of local tax revenue (Census FY2022); fees and charges are 19% of local own-source revenue.</t>
        </is>
      </c>
      <c r="T40" s="4" t="inlineStr">
        <is>
          <t>- Rhode Island Center for Freedom and Prosperity (State Policy Network affiliate), "New Report Shows RI's Big Government Gamble has Failed Residents" (July 22, 2026). Summarizes a study finding that solidly Republican states had "roughly 26–37% higher personal income growth" than solidly Democratic states over 2000-2025, and says high taxes in Rhode Island, "including among the nation's highest property taxes," have contributed to slow job creation and out-migration. https://rifreedom.org/2026/07/big-government-report/
- Rhode Island Public Expenditure Council (RIPEC), "Rhode Island Property Taxes in FY 2026: Higher Increases and Growing Tax Shifts" (June 15, 2026). Finds the statewide levy grew $98.3 million (3.7%) in FY 2026, the largest increase of the past decade, and that seven municipalities exceeded the 4.0% levy cap against a prior nine-year average of 2.2; in Providence, commercial property was taxed at 3.5 times the single-unit owner-occupied rate. It says the state should "maintain the 4.0 percent levy cap" and adopt a constitutional amendment limiting tax rate differentials across property classes, since state statutes have proven ineffective at reducing them. https://ripec.org/property-taxes-2026/
- The Ocean State Current (news bureau of the Rhode Island Center for Freedom and Prosperity), Larry Gillheeney, "Rhode Island's Property Tax Bite: Painful, But Not the Region's Worst" (March 23, 2026). Citing the Tax Foundation's 2026 county report, it says Rhode Island's effective property tax rate on owner-occupied housing was 1.12% in 2024, down from 1.19% in 2023 and 15th highest in the nation. That puts the state fourth among the six New England states, with Connecticut highest at 1.54%. https://oceanstatecurrent.com/rhode-islands-property-tax-bite-painful-but-not-the-regions-worst/
- Rhode Island House Republicans, "2026 Rhode Island Republican State of the State Rebuttal" (January 13, 2026). Minority Leader Michael Chippendale says the state budget grew from about $4.5 billion in 2000 to over $14 billion, seven times faster than household income, and that cities and towns must "pass that cost down to homeowners and renters in the form of increased property taxes and fees" when the state imposes unfunded mandates. https://www.rihousegop.org/news-media/2026-rhode-island-republican-state-of-the-state-rebuttal
- Tax Foundation, "2026 Rhode Island Tax Rates &amp; Rankings" (2026). Ranks Rhode Island's tax system 40th overall on the 2026 State Tax Competitiveness Index and reports that property taxes are 36.4% of state and local tax revenue, with a 1.19% effective rate on owner-occupied housing. https://taxfoundation.org/location/rhode-island/
- The Ocean State Current, "Dave Talan &amp; Angel Connell: No To Providence's Big Tax Hike" (April 18, 2025). Publishes the Providence Republican City Committee's statement opposing Mayor Brett Smiley's push for state permission to raise the city levy up to 8%, above the 4% cap, after a $15 million school funding settlement. The co-chairs say the mayor should look to the School Department, which they put at 55% of the city budget, starting with a $10 million cut to $22 million in busing costs. https://oceanstatecurrent.com/dave-talan-angel-connell-no-to-providences-big-tax-hike/
- Rhode Island Center for Freedom and Prosperity, "The Left's Assault on RI Families" (March 6, 2024). Argues that state policies raise the cost of living and that "Property Taxes are among the highest in America, largely due to overly-generous collective bargaining agreements with unionized public employees." https://rifreedom.org/2024/03/the-lefts-assault-on-ri-families/
Linked list: 7 items on the Analyses sheet (filter State = Rhode Island); every source URL is linked on the Sources sheet.</t>
        </is>
      </c>
      <c r="U40" s="4" t="inlineStr">
        <is>
          <t>1985: 5.5% levy cap. 2006: phase-down to 4% (FY2008 to FY2013). 2017: motor vehicle excise tax phase-out with state replacement aid ($239.5 million for FY2026). 2022: circuit breaker maximum raised to $600, indexed from 2023. 2023: tangible personal property tax phase-out with state reimbursement.
2024: P.L. 2024, chs. 115 and 116 let Providence adopt a tax classification with unrestricted rates by ordinance, within ratio limits between classes (R.I. Gen. Laws §44-5-11.18; amended in 2025).
2025: exceptions added for Providence's FY2026 Class 2B rate and for taxes on new housing units (assessments from December 31, 2025); one-year FY2026 cap exemptions for Providence (up to 8%, H 6162) and Little Compton (up to 12%, H 6362). The FY2026 budget created the Non-Owner-Occupied Property Tax (R.I. Gen. Laws ch. 44-72), a state tax of $2.50 per $500 of assessed value above $1 million on homes that are not the owner's primary residence, effective July 1, 2026. Homeowners sued in 2026, challenging it on federal and state constitutional grounds (Bloomberg Tax, Aug. 20, 2026).
2026: bills to let any municipality adopt a homestead exemption (H 7299) and to authorize one in Little Compton (H 7047) were referred to House Municipal Government and Housing; no enactment was found.
Nov. 3, 2026 ballot: five state general obligation bond questions totaling $600 million (higher education $275 million, housing $120 million, economic infrastructure $100 million, environment and watershed $55 million, historical and cultural grants $50 million). No property tax measure is on the ballot.</t>
        </is>
      </c>
      <c r="V40" s="4" t="inlineStr">
        <is>
          <t>36th (1.12% effective rate; 1.18% in 2010)</t>
        </is>
      </c>
      <c r="W40" s="4" t="inlineStr">
        <is>
          <t>Rhode Island caps each city and town's levy growth at 4%, with state-certified exceptions (lost revenue, emergencies such as health and pension spikes, debt, major growth and, recently, new housing) that need a four-fifths council vote. There is no rate or assessment cap, and school taxes are inside municipal levies. Since July 1, 2026 the state also taxes non-owner-occupied homes assessed above $1 million.</t>
        </is>
      </c>
      <c r="X40" s="4" t="inlineStr">
        <is>
          <t>http://webserver.rilegislature.gov/Statutes/TITLE44/44-5/44-5-2.htm
http://webserver.rilegislature.gov/Statutes/TITLE44/44-33/44-33-9.htm
https://www.lincolninst.edu/app/uploads/2024/12/levy_limits_2022.xlsx
https://www.lincolninst.edu/app/uploads/2024/10/truth_in_taxation_2024.xlsx
https://www2.census.gov/programs-surveys/gov-finances/tables/2022/22slsstab1.xlsx
https://municipalfinance.ri.gov/sites/g/files/xkgbur546/files/2025-11/Report%20on%20the%20Property%20Tax%20Cap%202026.pdf
https://webserver.rilegislature.gov/Statutes/TITLE44/44-5/44-5-11.18.htm
https://rules.sos.ri.gov/Regulations/Part/280-20-75-1
https://www.wpri.com/target-12/taylor-swift-tax-goes-into-effect-in-rhode-island-heres-how-many-could-pay/amp/
https://www.pierceatwood.com/alerts/new-rhode-island-tax-non-owner-occupied-properties-assessed-1-million-or-more
https://news.bloomberglaw.com/daily-tax-report/taylor-swift-tax-draws-first-suit-from-rhode-island-homeowners
https://www.providenceri.gov/wp-content/uploads/2026/06/FY27-Adopted-Ordinance-Book-Web.pdf
https://www.bostonglobe.com/2026/04/16/metro/providence-smiley-fy2027-budget/
https://pbn.com/providence-city-council-leaders-smiley-agree-to-seek-5-85-tax-levy-hike/
https://www.browndailyherald.com/article/2024/11/five-takeaways-from-providences-pilot-agreements-with-local-colleges-and-universities
https://www.browndailyherald.com/article/2024/10/lifespan-soon-brown-university-health-agrees-to-pay-15-million-to-city-in-lieu-of-taxes
https://rilegislature.gov/housefiscalreport/2020/Local%20Aid%202025%20Edition.pdf
https://news.ballotpedia.org/2026/06/16/rhode-island-voters-will-weigh-in-on-five-bond-issues-in-nov-2026-included-in-the-states-budget
https://webserver.rilegislature.gov/BillText26/HouseText26/H7299.htm
https://webserver.rilegislature.gov/BillText26/HouseText26/H7047.htm
https://rifreedom.org/2026/07/big-government-report/
https://rifreedom.org/2024/03/the-lefts-assault-on-ri-families/
https://taxfoundation.org/location/rhode-island/</t>
        </is>
      </c>
    </row>
    <row r="41" ht="409" customHeight="1">
      <c r="A41" s="13" t="inlineStr">
        <is>
          <t>South Carolina</t>
        </is>
      </c>
      <c r="B41" s="4" t="inlineStr">
        <is>
          <r>
            <rPr>
              <rFont val="Carlito"/>
              <b val="1"/>
              <sz val="14"/>
            </rPr>
            <t>D.</t>
          </r>
          <r>
            <rPr>
              <rFont val="Carlito"/>
              <sz val="11"/>
            </rPr>
            <t xml:space="preserve">
Restriction points 9.25 of 18 (levy limit 2; assessment cap 2; rate cap 2; rollback 1; supermajority 1; school districts covered 1; use restrictions 0.25). Deductions: built-in loopholes -1.5; workarounds in practice -1; state buydowns -1.5; data record +0. Total 5.25 = D (A 11+, B 8.5-10.9, C 5.5-8.4, D 3-5.4, F under 3).
Why: Built-in loopholes -1.5: three years of banked millage increases, two-thirds suspensions for listed purposes, uncapped debt millage and value resets at each sale. Workarounds -1: Richland County added 5 mills for FY2026, and local governments lean on fees (48% of own-source revenue, among the highest), business license revenue and hospitality taxes. Buydowns -1.5: the Homestead Exemption Fund and Tier I reimbursements ($1.25 billion for FY2024) equal about 14.5% of FY2024 collections. Record 0: a low burden (2.60% of income, 0.45% effective rate) offsets fast real homeowner bill growth since 2010 (41st).</t>
          </r>
        </is>
      </c>
      <c r="C41" s="4">
        <f>((LEFT(D41,3)="Yes")+(LEFT(E41,3)="Yes")+(LEFT(F41,3)="Yes")+(LEFT(G41,3)="Yes"))&amp;" of 4 in force"&amp;IF(((LEFT(D41,7)="Partial")+(LEFT(E41,7)="Partial")+(LEFT(F41,7)="Partial")+(LEFT(G41,7)="Partial"))&gt;0," + "&amp;((LEFT(D41,7)="Partial")+(LEFT(E41,7)="Partial")+(LEFT(F41,7)="Partial")+(LEFT(G41,7)="Partial"))&amp;" partial","")&amp;CHAR(10)&amp;CHAR(10)&amp;IF(LEFT(D41,3)="Yes","✓",IF(LEFT(D41,7)="Partial","◐","✗"))&amp;" Spending limit"&amp;CHAR(10)&amp;IF(LEFT(E41,3)="Yes","✓",IF(LEFT(E41,7)="Partial","◐","✗"))&amp;" Levy limit"&amp;CHAR(10)&amp;IF(LEFT(F41,3)="Yes","✓",IF(LEFT(F41,7)="Partial","◐","✗"))&amp;" Assessment cap"&amp;CHAR(10)&amp;IF(LEFT(G41,3)="Yes","✓",IF(LEFT(G41,7)="Partial","◐","✗"))&amp;" Rate cap"</f>
        <v/>
      </c>
      <c r="D41" s="4" t="inlineStr">
        <is>
          <r>
            <rPr>
              <rFont val="Carlito"/>
              <b val="1"/>
              <sz val="11"/>
            </rPr>
            <t>No.</t>
          </r>
          <r>
            <rPr>
              <rFont val="Carlito"/>
              <sz val="11"/>
            </rPr>
            <t xml:space="preserve">
No limit on growth in local spending. Act 388 (2006) limits millage rates (see Rate) and exempts homes from school operating taxes; budgets themselves are uncapped.</t>
          </r>
        </is>
      </c>
      <c r="E41" s="4" t="inlineStr">
        <is>
          <r>
            <rPr>
              <rFont val="Carlito"/>
              <b val="1"/>
              <sz val="11"/>
            </rPr>
            <t>Partial.</t>
          </r>
          <r>
            <rPr>
              <rFont val="Carlito"/>
              <sz val="11"/>
            </rPr>
            <t xml:space="preserve">
No direct cap on levy dollars. The millage cap (see Rate) holds operating rate increases to CPI plus population growth, and the rollback in reassessment years holds revenue from existing property to the prior year's taxes, so levies grow with new property, capped value increases (see Assessment) and allowed rate increases.
Authority: S.C. Code §§6-1-320, 12-37-251(E).</t>
          </r>
        </is>
      </c>
      <c r="F41" s="4" t="inlineStr">
        <is>
          <r>
            <rPr>
              <rFont val="Carlito"/>
              <b val="1"/>
              <sz val="11"/>
            </rPr>
            <t>Yes.</t>
          </r>
          <r>
            <rPr>
              <rFont val="Carlito"/>
              <sz val="11"/>
            </rPr>
            <t xml:space="preserve">
Real property values from each countywide reassessment (at least every five years) may rise no more than 15% over the five-year cycle (about 2.8% a year). Value resets to market on an "assessable transfer of interest" (a sale or similar transfer), and improvements and additions are added at full value. Assessment ratios also differ by class: 4% of value for owner-occupied legal residences, 6% for other real property (rentals, second homes, commercial), 10.5% for manufacturing and business personal property and 9.5% for utilities.
Authority: S.C. Code §§12-37-3140, 12-43-217, 12-43-220; Act 388 of 2006.</t>
          </r>
        </is>
      </c>
      <c r="G41" s="4" t="inlineStr">
        <is>
          <r>
            <rPr>
              <rFont val="Carlito"/>
              <b val="1"/>
              <sz val="11"/>
            </rPr>
            <t>Yes.</t>
          </r>
          <r>
            <rPr>
              <rFont val="Carlito"/>
              <sz val="11"/>
            </rPr>
            <t xml:space="preserve">
Counties, municipalities, special purpose districts and the bodies that levy school taxes may raise operating millage each year by no more than the CPI increase plus the entity's population growth, with up to three years of unused increases banked. In a reassessment year the rollback millage (see Rollback) replaces the prior year's rate as the base. The limit may be suspended by a two-thirds vote of the governing body for a prior-year deficit, a catastrophe, a court order, a taxpayer closure that cuts revenue 10% or more, an unfunded state or federal mandate, or land purchases to prevent encroachment on a military base. Debt service millage is outside the limit.
Authority: S.C. Code §§6-1-300, 6-1-320.</t>
          </r>
        </is>
      </c>
      <c r="H41" s="4" t="inlineStr">
        <is>
          <r>
            <rPr>
              <rFont val="Carlito"/>
              <b val="1"/>
              <sz val="11"/>
            </rPr>
            <t>Yes.</t>
          </r>
          <r>
            <rPr>
              <rFont val="Carlito"/>
              <sz val="11"/>
            </rPr>
            <t xml:space="preserve">
School operating millage is under the CPI-plus-population cap, and Act 388 (2006) exempted owner-occupied homes from school operating taxes, replacing that revenue with state money from a one-cent sales tax increase. School operating taxes therefore fall on rentals, second homes, commercial and industrial property and vehicles, while homeowners still pay school debt service millage. Some school boards set their own millage; others depend on county councils or legislative delegations.
Authority: S.C. Code §6-1-300(3) (school taxes covered by §6-1-320); Act 388 of 2006.</t>
          </r>
        </is>
      </c>
      <c r="I41" s="4" t="inlineStr">
        <is>
          <r>
            <rPr>
              <rFont val="Carlito"/>
              <b val="1"/>
              <sz val="11"/>
            </rPr>
            <t>No.</t>
          </r>
          <r>
            <rPr>
              <rFont val="Carlito"/>
              <sz val="11"/>
            </rPr>
            <t xml:space="preserve">
No state levy on real property; all real property taxes are levied by counties, municipalities, school districts and special purpose districts.</t>
          </r>
        </is>
      </c>
      <c r="J41" s="4" t="inlineStr">
        <is>
          <r>
            <rPr>
              <rFont val="Carlito"/>
              <b val="1"/>
              <sz val="11"/>
            </rPr>
            <t>Yes.</t>
          </r>
          <r>
            <rPr>
              <rFont val="Carlito"/>
              <sz val="11"/>
            </rPr>
            <t xml:space="preserve">
- Owner-occupied homes are exempt from school operating millage (Act 388, 2006) and assessed at 4% of value (other real property is assessed at 6%).
- Owners 65 and older, totally and permanently disabled or legally blind: the first $50,000 of fair market value is exempt from county, municipal, school and special assessment taxes. For the tax year ending in FY2026-27, budget proviso 117.220 (H.5126, ratified August 2026) adds a one-year $25,000 exemption, for $75,000 in total, for owners who were eligible in tax year 2025; the state reimburses local governments for it, and it lapses if the base exemption is raised or another homestead exemption is enacted by Sept. 1.
- Veterans with a 100% permanent service-connected disability: full exemption of the home and up to one acre.
Authority: S.C. Code §§12-37-250, 12-37-220, 12-43-220(c).</t>
          </r>
        </is>
      </c>
      <c r="K41" s="4" t="inlineStr">
        <is>
          <r>
            <rPr>
              <rFont val="Carlito"/>
              <b val="1"/>
              <sz val="11"/>
            </rPr>
            <t>No.</t>
          </r>
          <r>
            <rPr>
              <rFont val="Carlito"/>
              <sz val="11"/>
            </rPr>
            <t xml:space="preserve">
No state circuit breaker or income tax credit for property taxes. Relief comes through the homestead exemptions and the 4% assessment ratio, paid for by the state as described under Subsidies.</t>
          </r>
        </is>
      </c>
      <c r="L41" s="4" t="inlineStr">
        <is>
          <r>
            <rPr>
              <rFont val="Carlito"/>
              <b val="1"/>
              <sz val="11"/>
            </rPr>
            <t>Yes.</t>
          </r>
          <r>
            <rPr>
              <rFont val="Carlito"/>
              <sz val="11"/>
            </rPr>
            <t xml:space="preserve">
The state reimburses local governments for property taxes it exempts:
- Homestead Exemption Fund (Tier III): pays school districts for the school operating taxes owner-occupied homes no longer pay under Act 388 of 2006, funded by one cent of the state sales tax. It paid $1.11 billion for FY2025-26, and the Revenue and Fiscal Affairs Office estimates $1.165 billion for FY2026-27; the total grows each year by population growth plus inflation.
- Trust Fund for Tax Relief: projected at $824.6 million for FY2026-27, including $249.1 million for the $100,000 residential exemption from school operating taxes (Tier I), $254.9 million for the $50,000 senior and disabled exemption (Tier II), plus reimbursements for business inventory and manufacturing exemptions. Act No. 122 of 2026 raises the cap on reimbursement of the manufacturing property exemption from $170 million to $300 million a year; RFA projects $180.4 million for FY2026-27, and the Board of Economic Advisors deducts the cost from income tax revenue estimates.
These payments lower homeowners' bills and push school operating costs onto the sales tax and onto business and rental property.
Authority: Act 388 of 2006; S.C. Code §§11-11-150, 11-11-156, 12-37-220(B)(52), 12-37-250, 12-37-251; Act No. 122 of 2026.</t>
          </r>
        </is>
      </c>
      <c r="M41" s="4" t="inlineStr">
        <is>
          <r>
            <rPr>
              <rFont val="Carlito"/>
              <b val="1"/>
              <sz val="11"/>
            </rPr>
            <t>No.</t>
          </r>
          <r>
            <rPr>
              <rFont val="Carlito"/>
              <sz val="11"/>
            </rPr>
            <t/>
          </r>
        </is>
      </c>
      <c r="N41" s="4" t="inlineStr">
        <is>
          <r>
            <rPr>
              <rFont val="Carlito"/>
              <b val="1"/>
              <sz val="11"/>
            </rPr>
            <t>Yes.</t>
          </r>
          <r>
            <rPr>
              <rFont val="Carlito"/>
              <sz val="11"/>
            </rPr>
            <t xml:space="preserve">
In the year a countywide reassessment takes effect, each taxing entity's millage is rolled back to the rate that raises the prior year's taxes from existing property, adjusted for new property; only the CPI-plus-population increase (or a two-thirds suspension) may be added.
Authority: S.C. Code §§12-37-251(E), 6-1-320(A)(1).</t>
          </r>
        </is>
      </c>
      <c r="O41" s="4" t="inlineStr">
        <is>
          <r>
            <rPr>
              <rFont val="Carlito"/>
              <b val="1"/>
              <sz val="11"/>
            </rPr>
            <t>Yes.</t>
          </r>
          <r>
            <rPr>
              <rFont val="Carlito"/>
              <sz val="11"/>
            </rPr>
            <t xml:space="preserve">
Two-thirds of the membership of the governing body to suspend the millage cap, and only for the listed purposes.
Authority: S.C. Code §6-1-320(B).</t>
          </r>
        </is>
      </c>
      <c r="P41" s="4" t="inlineStr">
        <is>
          <r>
            <rPr>
              <rFont val="Carlito"/>
              <b val="1"/>
              <sz val="11"/>
            </rPr>
            <t>No.</t>
          </r>
          <r>
            <rPr>
              <rFont val="Carlito"/>
              <sz val="11"/>
            </rPr>
            <t xml:space="preserve">
Most millage is set by governing bodies without a vote; no statewide rule limits local tax referenda to November.</t>
          </r>
        </is>
      </c>
      <c r="Q41" s="4" t="inlineStr">
        <is>
          <r>
            <rPr>
              <rFont val="Carlito"/>
              <b val="1"/>
              <sz val="11"/>
            </rPr>
            <t>Partial.</t>
          </r>
          <r>
            <rPr>
              <rFont val="Carlito"/>
              <sz val="11"/>
            </rPr>
            <t xml:space="preserve">
Millage increases above the cap must fit a listed purpose, and an increase to buy land near a military base must be stated separately on each tax bill. General operating millage is otherwise unrestricted.
Authority: S.C. Code §6-1-320(B).</t>
          </r>
        </is>
      </c>
      <c r="R41" s="4" t="inlineStr">
        <is>
          <t>46 counties; 271 municipalities; 78 school districts in the Census count (some with fiscal autonomy, others depending on county councils or legislative delegations); 271 special districts in the Census count, including 62 fire protection districts, 45 soil and water conservation districts and water, sewer, recreation and hospital districts. Census of Governments 2022: 666 local governments.</t>
        </is>
      </c>
      <c r="S41" s="4" t="inlineStr">
        <is>
          <t>Verdict: Partly. Property tax per person rose 20.2% after inflation from FY2002 to FY2024, against 25.9% for the U.S., and rose 3.2% from FY2019 to FY2024 (U.S. -1.1%).
Why it leaks: Act 388 (2006) caps operating millage growth at CPI plus population growth and banks three years of unused increases. A two-thirds board vote suspends the cap, and debt millage sits outside it. There is no levy cap or spending limit, and the 15% five-year value cap resets at sale. The $1.005 billion the state paid for FY2024 to keep homes off school operating taxes counts against it and shifts those taxes onto businesses and rentals.
How localities get around it: Richland County raised its millage 5 mills for FY2026 after holding it flat from 2019. Columbia's FY2026-27 budget raises water and sewer rates 5%.
Full record:
The millage cap and the reassessment rollback hold down operating rates, and homeowners pay among the lowest effective rates in the country, but the state spends more than $1.25 billion a year to keep homes off school operating taxes, and businesses and other non-homestead property carry the rest.
The record (Census, BEA, ACS): state and local property tax was $1,579 per person in FY2024 (U.S. $2,132), 2.60% of personal income (28th-highest of 50; U.S. 2.89%). After inflation, collections per person (all state and local property tax divided by residents) rose 20.2% from FY2002 to FY2024 (U.S. +25.9%) and rose 3.2% from FY2019 to FY2024 (U.S. -1.1%). The median homeowner paid $1,337 in 2024 (U.S. $3,211); the median bill rose 22.9% after inflation from 2010 to 2024 (U.S. +9.3%). The Tax Foundation's 2026 ranking puts its effective property tax rate on owner-occupied homes at 0.49%, 5th-lowest of 50. By the same measure it was 0.55% in 2010 (U.S. 1.00% in 2010, 0.94% in 2024).
- Shift to other property: Act 388 moved school operating taxes off owner-occupied homes and onto businesses, rentals and second homes, which are also assessed at 6% to 10.5%. Palmetto Promise Institute finds that a residential renter or small business owner "can pay up to 3 times more property tax than a homeowner."
- Built-in exceptions: the millage cap allows CPI plus population growth with three years of banked increases, two-thirds of a governing body can suspend it for deficits and other listed reasons, and debt millage is uncapped. The 15% five-year value cap ends at each assessable transfer of interest, so new buyers pay on market value.
- Big counties: Richland County (Columbia) raised its millage by 5 mills for FY2026, about $20 a year per $100,000 of home value, to close a $15 million deficit after holding millage flat from 2019 (WIS).
- Fees and other local taxes: Columbia's FY2026-27 budget projects $75.4 million in property taxes (up 4.6% with no millage increase) next to $50.6 million from licenses and permits, a $17.5 million hospitality tax fund and a 5% water and sewer rate increase. Fees and charges are 48% of local own-source revenue statewide (Census FY2022), among the highest shares in the nation.
- Local sales taxes: local sales taxes supply 19% of local tax revenue (Census FY2022). Charleston County voters rejected a new half-cent transportation sales tax on Nov. 5, 2024 that was expected to raise $4.9 billion.
- State money: the Homestead Exemption Fund paid school districts $1.005 billion for FY2024, and the Trust Fund for Tax Relief paid $772.1 million, including $249.1 million for the $100,000 residential school operating exemption. Act No. 122 of 2026 adds up to $300 million a year for manufacturers.
Property tax is 72% of local tax revenue (Census FY2022).</t>
        </is>
      </c>
      <c r="T41" s="4" t="inlineStr">
        <is>
          <t>- South Carolina Policy Council (State Policy Network affiliate), Neil Wolin, "S.C. Senate moves to expand property tax homestead exemption" (Feb. 19, 2026). Explains that S.768 would triple the $50,000 exemption for owners 65 and older to $150,000 for those who qualified in tax year 2025, while new applicants would need 10 years of residency for $150,000 or five years for $75,000. The council "welcomes the changes made in this bill" and urges lawmakers to pair it with income tax reform for other age groups. https://www.scpolicycouncil.org/s_c_senate_moves_to_expand_property_tax_homestead_exemption
- Tax Foundation, "2026 South Carolina Tax Rates &amp; Rankings" (2026). Ranks South Carolina's tax system 29th overall on the 2026 State Tax Competitiveness Index and reports that property taxes are 29.9% of state and local tax revenue, with a 0.49% effective rate on owner-occupied housing. https://taxfoundation.org/location/south-carolina/
- Palmetto Promise Institute (State Policy Network affiliate), "Taxing Times for South Carolina Renters, Investors, Vacationers" (Dec. 4, 2025). Isabella Cifaldi notes an owner-occupied effective rate of 0.47% (Tax Foundation), then argues that Act 388's swap of a one-cent sales tax for homeowners' school operating taxes shifted taxes onto renters and businesses, so "a residential renter or small business owner can pay up to 3 times more property tax than a homeowner." It calls for broad-based property tax reform that includes renters. https://palmettopromise.org/taxing-times-for-south-carolina-renters-investors-vacationers/
- Palmetto Promise Institute, "South Carolina's Hidden Tax: How Manufacturing Property Taxes Could Threaten Our State's Growth" (Oct. 22, 2025). Says South Carolina has the 6th highest manufacturing property tax rate and explains the 2022 partial value exemption, under which manufacturers pay 42.857% of their calculated tax and the state reimburses local governments up to $170 million a year from other taxes. It backs S.439, which as passed by the Senate kept that share and raised the reimbursement fund to $370 million a year, since RFA projected reimbursements would pass $170 million by FY 2025-26. S.439 became Act No. 122 of 2026 with a $300 million annual cap, and the institute's May 21, 2026 session review says industrial taxpayers "saw a property tax cut that will be a boon to jobs and economic development." https://palmettopromise.org/south-carolinas-hidden-tax-how-manufacturing-property-taxes-could-threaten-our-states-growth/
- Palmetto Promise Institute, Oran P. Smith, "Achieving Prosperity, Stability, &amp; Fairness – Essential South Carolina Tax Reforms" (Jan. 6, 2025). The full report traces homeowner relief from 1995 to Act 388 (2006), which removed school operating taxes from owner-occupied homes and paired a 15% cap on assessment increases over five years with a millage cap tied to population growth plus inflation. It argues the shift leaves rental property bills up to quadruple a primary homeowner's and has raised industrial effective rates from 3.5 to seven times residential, and it calls for a permanent manufacturing property tax fix. https://palmettopromise.org/report-achieving-prosperity-stability-fairness-essential-south-carolina-tax-reforms/
- Palmetto Promise Institute, Oran P. Smith, "What Tax to Cut? Property or Income?" (April 30, 2024). Weighs the House budget's one-time $500 million property tax rebate against the Senate's permanent 0.2-point income tax cut and sides with the permanent income tax cut. It ranks a property tax cut for individual homeowners third on its list, after the personal and corporate income tax rates. https://palmettopromise.org/what-tax-to-cut-property-or-income/
Linked list: 7 items on the Analyses sheet (filter State = South Carolina); every source URL is linked on the Sources sheet.</t>
        </is>
      </c>
      <c r="U41" s="4" t="inlineStr">
        <is>
          <t>1997: millage increase limits (later tied to CPI plus population). 2006: Act 388 (school operating exemption for homes, one-cent sales tax increase, 15% five-year reassessment cap).
2022: a manufacturing partial value exemption with state reimbursement of up to $170 million a year (Palmetto Promise Institute).
2026: Act No. 122 (S.439; Senate 40-0; ratified May 14, approved May 15, 2026) expands the manufacturing exemption, with state reimbursement of up to $300 million a year, first applying to property tax years after 2024. S.768, which would have replaced the $50,000 senior and disabled exemption with a state-reimbursed exemption from all millage on the first $150,000 of value for homeowners who qualified in 2025 or have lived and filed income taxes in the state for ten years ($75,000 after five years), passed the Senate 44-0 on Feb. 19, 2026; it was referred to House Ways and Means on Feb. 24, 2026, with no further action. The FY2026-27 budget then added a one-year, state-reimbursed $25,000 to the existing $50,000 exemption (proviso 117.220, H.5126).
Local: Charleston County voters rejected a half-cent transportation sales tax on Nov. 5, 2024; Richland County raised its millage 5 mills for FY2026.
Nov. 3, 2026 ballot: no statewide property tax question was found.</t>
        </is>
      </c>
      <c r="V41" s="4" t="inlineStr">
        <is>
          <t>5th (0.49% effective rate; 0.55% in 2010)</t>
        </is>
      </c>
      <c r="W41" s="4" t="inlineStr">
        <is>
          <t>South Carolina limits operating millage increases to CPI plus population growth (two-thirds board override for listed purposes), rolls back millage in reassessment years and caps reassessment increases at 15% over five years. Act 388 exempted homes from school operating taxes and replaced the money with a state sales tax increase, shifting school costs to business, rental and second-home property. The state now pays more than $1.25 billion a year to replace homeowners' school operating taxes.</t>
        </is>
      </c>
      <c r="X41" s="4" t="inlineStr">
        <is>
          <t>https://www.scstatehouse.gov/code/t06c001.php
https://www.scstatehouse.gov/code/t12c037.php
https://www.lincolninst.edu/app/uploads/2024/12/assessment_limits_2022-3.xlsx
https://apps.lincolninst.edu/uploads/summary-tables/rate-limits-summary-tables/rate-limits-2022-4.xlsx
https://www2.census.gov/programs-surveys/gov-finances/tables/2022/22slsstab1.xlsx
https://www.scstatehouse.gov/sess126_2025-2026/bills/439.htm
https://www.scstatehouse.gov/sess126_2025-2026/bills/768.htm
https://www.scstatehouse.gov/sess126_2025-2026/fiscalimpactstatements/S0768%202026-02-19%20amended.pdf
https://www.rfa.sc.gov/resources/local-government/property-tax-reports/property-tax-reimbursement-projections
https://rfa.sc.gov/media/11411
https://rfa.sc.gov/media/11413
https://www.wistv.com/2025/05/23/richland-county-leaders-are-looking-increase-property-taxes-heres-what-you-need-know/
https://budget.columbiasc.gov/wp-content/uploads/2026/07/FY_26-27_Approved-Budget-Final.pdf
https://www.live5news.com/2024/11/06/charleston-county-voters-defeat-half-cent-sales-tax-referendum
https://palmettopromise.org/taxing-times-for-south-carolina-renters-investors-vacationers/
https://palmettopromise.org/south-carolinas-hidden-tax-how-manufacturing-property-taxes-could-threaten-our-states-growth/
https://palmettopromise.org/the-legislative-session-is-mostly-over-what-got-done/
https://www.scstatehouse.gov/sess126_2025-2026/appropriations2026/tap1b.htm
https://www.masc.sc/node/8079</t>
        </is>
      </c>
    </row>
    <row r="42" ht="409" customHeight="1">
      <c r="A42" s="13" t="inlineStr">
        <is>
          <t>South Dakota</t>
        </is>
      </c>
      <c r="B42" s="4" t="inlineStr">
        <is>
          <r>
            <rPr>
              <rFont val="Carlito"/>
              <b val="1"/>
              <sz val="14"/>
            </rPr>
            <t>C.</t>
          </r>
          <r>
            <rPr>
              <rFont val="Carlito"/>
              <sz val="11"/>
            </rPr>
            <t xml:space="preserve">
Restriction points 9.75 of 18 (levy limit 4; assessment cap 1; rate cap 2; rollback 0.5; supermajority 1; school districts covered 1; use restrictions 0.25). Deductions: built-in loopholes -1.5; workarounds in practice -1; state buydowns -1.5; data record +0. Total 5.75 = C (A 11+, B 8.5-10.9, C 5.5-8.4, D 3-5.4, F under 3).
Why: Built-in loopholes -1.5: county, city and school limits yield to a two-thirds board opt-out that reaches voters only on a 5% petition filed within 20 days, schools sit outside the 3% cap, and the assessment cap covers only county totals and ends after 2031. Workarounds -1: 79 school district opt-outs raise $43 million above the limits (Legislative Research Council, 2026), including a $2.1 million ten-year opt-out in Sioux Falls, and the Legislature rejected SB 85 and HB 1323 in 2026. Buydowns -1.5: SB 245 sends about $110 million a year of sales tax revenue to school property tax cuts from 2027, about 6.4% of FY2024 state and local property tax collections ($1.73 billion). Record 0: real per-person collections rose 17.8% from FY2002 to FY2022 (U.S. 23.4%) and fell 4.9% from FY2019 to FY2024, and the burden is 2.50% of income (U.S. 2.89%), offset by real homeowner bill growth of 19.3% from 2010 to 2024 (U.S. 9.3%) and an effective rate of 1.02% (U.S. 0.89%).</t>
          </r>
        </is>
      </c>
      <c r="C42" s="4">
        <f>((LEFT(D42,3)="Yes")+(LEFT(E42,3)="Yes")+(LEFT(F42,3)="Yes")+(LEFT(G42,3)="Yes"))&amp;" of 4 in force"&amp;IF(((LEFT(D42,7)="Partial")+(LEFT(E42,7)="Partial")+(LEFT(F42,7)="Partial")+(LEFT(G42,7)="Partial"))&gt;0," + "&amp;((LEFT(D42,7)="Partial")+(LEFT(E42,7)="Partial")+(LEFT(F42,7)="Partial")+(LEFT(G42,7)="Partial"))&amp;" partial","")&amp;CHAR(10)&amp;CHAR(10)&amp;IF(LEFT(D42,3)="Yes","✓",IF(LEFT(D42,7)="Partial","◐","✗"))&amp;" Spending limit"&amp;CHAR(10)&amp;IF(LEFT(E42,3)="Yes","✓",IF(LEFT(E42,7)="Partial","◐","✗"))&amp;" Levy limit"&amp;CHAR(10)&amp;IF(LEFT(F42,3)="Yes","✓",IF(LEFT(F42,7)="Partial","◐","✗"))&amp;" Assessment cap"&amp;CHAR(10)&amp;IF(LEFT(G42,3)="Yes","✓",IF(LEFT(G42,7)="Partial","◐","✗"))&amp;" Rate cap"</f>
        <v/>
      </c>
      <c r="D42" s="4" t="inlineStr">
        <is>
          <r>
            <rPr>
              <rFont val="Carlito"/>
              <b val="1"/>
              <sz val="11"/>
            </rPr>
            <t>No.</t>
          </r>
          <r>
            <rPr>
              <rFont val="Carlito"/>
              <sz val="11"/>
            </rPr>
            <t xml:space="preserve">
No limit on growth in local spending; South Dakota limits property tax revenue (see Levy).</t>
          </r>
        </is>
      </c>
      <c r="E42" s="4" t="inlineStr">
        <is>
          <r>
            <rPr>
              <rFont val="Carlito"/>
              <b val="1"/>
              <sz val="11"/>
            </rPr>
            <t>Yes.</t>
          </r>
          <r>
            <rPr>
              <rFont val="Carlito"/>
              <sz val="11"/>
            </rPr>
            <t xml:space="preserve">
Counties, municipalities and other taxing districts (school districts are excluded): revenue from taxes on real property may grow no more than the lesser of 3% or the index factor (CPI-W), plus growth from improvements, changes in use, annexation and similar changes, which since 2025 may add no more than 2% or the percentage that growth adds to value, whichever is less. Excluded: bonds subject to referendum issued after 1997, scheduled bond payment increases, court-ordered judgment levies, terminated TIF districts and discretionary formula adjustments. Opt-out: a taxing district may exceed the limit by a resolution adopted by two-thirds of its governing body, which voters may refer to an election by petition.
Authority: S.D. Codified Laws §§10-13-35, 10-13-36 (SB 216, 2025).</t>
          </r>
        </is>
      </c>
      <c r="F42" s="4" t="inlineStr">
        <is>
          <r>
            <rPr>
              <rFont val="Carlito"/>
              <b val="1"/>
              <sz val="11"/>
            </rPr>
            <t>Partial.</t>
          </r>
          <r>
            <rPr>
              <rFont val="Carlito"/>
              <sz val="11"/>
            </rPr>
            <t xml:space="preserve">
For taxes payable in 2027 through 2031, the total assessed value of owner-occupied single-family property in each county may rise no more than 3% a year, plus new improvements and reclassified property (SB 216, 2025). The cap applies to the county total; individual homes can still rise faster. Low-income owners 65 and older or disabled may freeze their assessment.
Authority: S.D. Codified Laws ch. 10-6 (SB 216, 2025 §1); ch. 10-6A.</t>
          </r>
        </is>
      </c>
      <c r="G42" s="4" t="inlineStr">
        <is>
          <r>
            <rPr>
              <rFont val="Carlito"/>
              <b val="1"/>
              <sz val="11"/>
            </rPr>
            <t>Yes.</t>
          </r>
          <r>
            <rPr>
              <rFont val="Carlito"/>
              <sz val="11"/>
            </rPr>
            <t xml:space="preserve">
Statutory mill limits for general-purpose governments (as of 2022, limits of 12 and 27 mills for counties and municipalities and 3 mills for townships, plus special levies). School district general fund levies are set by the Legislature each year by class of property, with the owner-occupied rate lowest (in 2022: 1.409 mills on agricultural property, 3.153 on owner-occupied homes and 6.525 on other property, per $1,000 of taxable value). Schools may exceed their limits through opt-outs. The constitution allows a state levy of up to 2 mills, which is not used.</t>
          </r>
        </is>
      </c>
      <c r="H42" s="4" t="inlineStr">
        <is>
          <r>
            <rPr>
              <rFont val="Carlito"/>
              <b val="1"/>
              <sz val="11"/>
            </rPr>
            <t>Yes.</t>
          </r>
          <r>
            <rPr>
              <rFont val="Carlito"/>
              <sz val="11"/>
            </rPr>
            <t xml:space="preserve">
School general fund levies are capped by class each year as part of the state aid formula. School districts may opt out of the levy limits by a two-thirds board vote, which residents can refer to an election by petition, or by a vote of the electorate. The Legislative Research Council counted 79 school district opt-outs in early 2026, raising $43 million in property taxes above the limits. SB 85 (2026), which would have required an election before any school opt-out, passed the Senate and failed in the House, 29-39, on Feb. 4, 2026. Capital outlay levies are separate. From 2027 the restored sales tax revenue goes into the school funding formula to lower school property taxes (see Subsidies).
Authority: S.D. Codified Laws §§10-12-43, 10-12-43.1 (school opt-outs); SB 245 (2026).</t>
          </r>
        </is>
      </c>
      <c r="I42" s="4" t="inlineStr">
        <is>
          <r>
            <rPr>
              <rFont val="Carlito"/>
              <b val="1"/>
              <sz val="11"/>
            </rPr>
            <t>No.</t>
          </r>
          <r>
            <rPr>
              <rFont val="Carlito"/>
              <sz val="11"/>
            </rPr>
            <t xml:space="preserve">
No state property tax; the constitutional authority for a state levy is unused.</t>
          </r>
        </is>
      </c>
      <c r="J42" s="4" t="inlineStr">
        <is>
          <r>
            <rPr>
              <rFont val="Carlito"/>
              <b val="1"/>
              <sz val="11"/>
            </rPr>
            <t>Partial.</t>
          </r>
          <r>
            <rPr>
              <rFont val="Carlito"/>
              <sz val="11"/>
            </rPr>
            <t xml:space="preserve">
No homestead exemption from value. Owner-occupied homes pay lower school levies than other property (see Rate). Owners 65 and older or disabled with incomes below set limits may freeze their assessed value.
Authority: S.D. Codified Laws ch. 10-6A.</t>
          </r>
        </is>
      </c>
      <c r="K42" s="4" t="inlineStr">
        <is>
          <r>
            <rPr>
              <rFont val="Carlito"/>
              <b val="1"/>
              <sz val="11"/>
            </rPr>
            <t>Partial.</t>
          </r>
          <r>
            <rPr>
              <rFont val="Carlito"/>
              <sz val="11"/>
            </rPr>
            <t xml:space="preserve">
SB 96, signed March 12, 2026, lets each county adopt a sales tax of up to 0.5% whose revenue offsets homeowners' county property taxes. Gov. Larry Rhoden said it would cut the county share of owner-occupied property taxes in Minnehaha County by 96%, and the governor's office estimated an average of $660 per homeowner in adopting counties. It is a local option, and other classes of property get no credit. There is no statewide circuit breaker.
Authority: SB 96 (2026).</t>
          </r>
        </is>
      </c>
      <c r="L42" s="4" t="inlineStr">
        <is>
          <r>
            <rPr>
              <rFont val="Carlito"/>
              <b val="1"/>
              <sz val="11"/>
            </rPr>
            <t>Yes.</t>
          </r>
          <r>
            <rPr>
              <rFont val="Carlito"/>
              <sz val="11"/>
            </rPr>
            <t xml:space="preserve">
SB 245 (2026) created the homeowner property tax reduction fund, which by law must be used to reduce the local effort for school general education levies on owner-occupied single-family homes. HB 1051 (2026) lowers the owner-occupied school general fund levy statewide for taxes payable in 2027, and the state aid formula replaces the lost levy revenue. SB 245 moved $55,896,576 from the general revenue replacement fund into the fund on July 1, 2026, and from August 1, 2027 the fund receives the 0.3-point share of state sales, use and contractor's excise taxes that returns when the temporary rate cut expires. A referendum petition against SB 245 did not qualify for the November 2026 ballot (June 2026).
Authority: SB 245 (2026), new sections of SDCL ch. 10-13; HB 1051 (2026); SDCL ch. 13-13.</t>
          </r>
        </is>
      </c>
      <c r="M42" s="4" t="inlineStr">
        <is>
          <r>
            <rPr>
              <rFont val="Carlito"/>
              <b val="1"/>
              <sz val="11"/>
            </rPr>
            <t>No.</t>
          </r>
          <r>
            <rPr>
              <rFont val="Carlito"/>
              <sz val="11"/>
            </rPr>
            <t/>
          </r>
        </is>
      </c>
      <c r="N42" s="4" t="inlineStr">
        <is>
          <r>
            <rPr>
              <rFont val="Carlito"/>
              <b val="1"/>
              <sz val="11"/>
            </rPr>
            <t>Partial.</t>
          </r>
          <r>
            <rPr>
              <rFont val="Carlito"/>
              <sz val="11"/>
            </rPr>
            <t xml:space="preserve">
The revenue cap holds tax dollars from existing property to the lesser of 3% or inflation, so rates fall when values rise faster; there is no separate rollback rate or notice.</t>
          </r>
        </is>
      </c>
      <c r="O42" s="4" t="inlineStr">
        <is>
          <r>
            <rPr>
              <rFont val="Carlito"/>
              <b val="1"/>
              <sz val="11"/>
            </rPr>
            <t>Yes.</t>
          </r>
          <r>
            <rPr>
              <rFont val="Carlito"/>
              <sz val="11"/>
            </rPr>
            <t xml:space="preserve">
Opt-outs from the levy limits need a resolution adopted by two-thirds of the governing body (county, municipality, other district or school board), subject to referendum on petition; a school opt-out may instead be approved by voters.
Authority: S.D. Codified Laws §10-13-36.</t>
          </r>
        </is>
      </c>
      <c r="P42" s="4" t="inlineStr">
        <is>
          <r>
            <rPr>
              <rFont val="Carlito"/>
              <b val="1"/>
              <sz val="11"/>
            </rPr>
            <t>No.</t>
          </r>
          <r>
            <rPr>
              <rFont val="Carlito"/>
              <sz val="11"/>
            </rPr>
            <t xml:space="preserve">
Opt-out referendums are held at elections called after a petition, on dates set by the taxing district.</t>
          </r>
        </is>
      </c>
      <c r="Q42" s="4" t="inlineStr">
        <is>
          <r>
            <rPr>
              <rFont val="Carlito"/>
              <b val="1"/>
              <sz val="11"/>
            </rPr>
            <t>Partial.</t>
          </r>
          <r>
            <rPr>
              <rFont val="Carlito"/>
              <sz val="11"/>
            </rPr>
            <t xml:space="preserve">
Levies are made by purpose (general fund, capital outlay, special education, roads and others), and school capital outlay levies are restricted to capital purposes. County and municipal general levies are unrestricted.</t>
          </r>
        </is>
      </c>
      <c r="R42" s="4" t="inlineStr">
        <is>
          <t>66 counties; 310 municipalities; 897 townships; 149 school districts; 478 special districts in the Census count, led by 198 road districts, 78 fire districts and 71 conservation districts. Census of Governments 2022: 1,900 local governments.</t>
        </is>
      </c>
      <c r="S42" s="4" t="inlineStr">
        <is>
          <t>Verdict: Partly. Property tax per person rose 21.6% after inflation from FY2002 to FY2024, against 25.9% for the U.S., and fell 4.9% from FY2019 to FY2024 (U.S. -1.1%).
Why it leaks: The 3% levy cap excludes referendum bonds and school districts, whose levy limits the Legislature sets yearly. Any district can opt out by a two-thirds board vote, which voters see only if residents petition for an election. There is no spending limit. SB 245 (2026) will spend about $110 million a year in sales tax to cut school property taxes from 2027, which counts against the state.
How localities get around it: The Sioux Falls School Board adopted a $2.1 million, ten-year opt-out in June 2025, and residents began a petition drive to force a vote. In early 2026, 79 school opt-outs raised $43 million above the limits.
Full record:
The 3% levy cap holds down county and city levies, but school boards opt out of their limits often, and voters see an opt-out only when residents force an election by petition.
The record (Census, BEA, ACS): state and local property tax was $1,864 per person in FY2024 (U.S. $2,132), 2.50% of personal income (32nd-highest of 50; U.S. 2.89%). After inflation, collections per person (all state and local property tax divided by residents) rose 21.6% from FY2002 to FY2024 (U.S. +25.9%) and fell 4.9% from FY2019 to FY2024 (U.S. -1.1%). The median homeowner paid $2,940 in 2024 (U.S. $3,211); the median bill rose 19.3% after inflation from 2010 to 2024 (U.S. +9.3%). The Tax Foundation's 2026 ranking puts its effective property tax rate on owner-occupied homes at 1.00%, 33rd-lowest of 50. By the same measure it was 1.21% in 2010 (U.S. 1.00% in 2010, 0.94% in 2024).
- Opt-outs: the Legislative Research Council counted 79 school district opt-outs statewide in early 2026, raising $43 million in property taxes above the limits. A two-thirds board vote is enough; an election follows only if petitioners collect signatures from 5% of registered voters within 20 days of publication.
- Big cities: the Sioux Falls School Board unanimously adopted a $2.1 million opt-out for ten years, starting with taxes payable in 2026, in June 2025; residents began a petition drive for a public vote.
- Taxpayer votes blocked: SB 85, requiring an election before any school opt-out, failed in the House, 29-39 (Feb. 4, 2026). HB 1323, which would have let 5% of registered voters or 2,500 voters, whichever is fewer, refer local tax decisions, passed both chambers in different forms and died when the House refused to concur in the Senate amendments, 40-27, on March 10, 2026.
- Cap design: school districts are outside the 3% cap, and the 2025 assessment cap applies to each county's total owner-occupied value, so individual homes can rise faster than 3%; the cap expires after taxes payable in 2031.
- State money: SB 245 (2026) uses about $110 million a year of sales tax revenue from 2027 to cut school property taxes, and SB 96 lets counties replace part of homeowners' county property taxes with a local sales tax of up to 0.5%. Both move the bill to sales taxes and leave local spending in place.
Property tax is 72% of local tax revenue (Census FY2022), and local sales taxes supply 24%. The state has no income tax, and the Tax Foundation ranks South Dakota 2nd overall on its 2026 State Tax Competitiveness Index.</t>
        </is>
      </c>
      <c r="T42" s="4" t="inlineStr">
        <is>
          <t>- Common Sense Institute, "Iowa Leads the Nation in Property Tax Relief: Ranking State Reforms of the Past Decade" (Aug. 6, 2026). Ranks state property tax relief laws of the past decade by savings per household and as a share of personal income, excluding state backfills; South Dakota's SB 216 (2025) places in the national top ten. https://archive.commonsenseinstituteus.org/iowa/research/taxes-and-fees/iowa-leads-the-nation-in-property-tax-relief-ranking-state-reforms-of-the-past-decade
- Americans for Prosperity-South Dakota, "AFP-SD Issues Fresh Call for Tax Transparency Legislation on Filing Day" (April 15, 2026). Calls on the Legislature to pass a truth-in-taxation bill, part of AFP-SD's Rushmore Roadmap agenda, under which tax authorities would give property owners detailed information on the impact of any proposed increase and hold at least one public hearing on it. https://americansforprosperity.org/press-release/afp-sd-issues-fresh-call-for-tax-transparency-legislation-on-filing-day/
- Americans for Prosperity-South Dakota, "AFP-South Dakota Criticizes House Defeat of Senate Bill 85" (Feb. 4, 2026). Faults the House for defeating SB 85, which would have required school boards to win local taxpayer approval before opting out of statutory property tax limits; State Director Jennifer Beving said "Taxpayers deserve a direct say in how they are taxed, especially when spending is above statutory limits already put in place." https://americansforprosperity.org/press-release/afp-south-dakota-criticizes-house-defeat-of-senate-bill-85/
- Tax Foundation, "Excise Taxes Cannot Replace Property Taxes" (Dec. 15, 2025). Argues that a single statewide excise or transaction tax cannot replace local property taxes, noting that effective property tax rates in South Dakota range from 0.44% to 2.23% of value and that state-level replacement "severs the connection between local taxes and the services they fund." https://taxfoundation.org/blog/excise-taxes-cannot-replace-property-taxes/
- Tax Foundation, "2026 State Tax Competitiveness Index" (Oct. 30, 2025). Ranks South Dakota's tax system 2nd overall and 8th on property tax (Table 6 of the full study). https://taxfoundation.org/location/south-dakota/
- South Dakota Legislature, Comprehensive Property Tax Task Force (Sen. Chris Karr, chair, and Rep. Jon Hansen, vice chair), "Comprehensive Property Tax Task Force Announces Recommendations" (Oct. 24, 2025). Recommends a $120 million homeowner rebate from collected but unspent tax dollars, a 5% cut in state spending ($123 million) for homeowner property tax reduction, dedicating the $105 million from the expiring sales tax cut to homeowner property taxes and 25% of future state revenue growth to replacing property tax revenue; it puts the package at more than $348 million, about a 25% cut in homeowner property taxes. https://mylrc.sdlegislature.gov/api/Documents/PressRelease/287260.pdf
- South Dakota has no State Policy Network affiliate.
Linked list: 7 items on the Analyses sheet (filter State = South Dakota); every source URL is linked on the Sources sheet.</t>
        </is>
      </c>
      <c r="U42" s="4" t="inlineStr">
        <is>
          <t>1995: levy limits and opt-outs. 2024: voters rejected Initiated Measure 21, which would have abolished property taxes.
2025: SB 216 limited growth in counties' total owner-occupied assessed value to 3% a year (taxes payable 2027-2031) and tightened the levy limit's growth allowance. The Common Sense Institute (Aug. 6, 2026) ranked SB 216 among the ten largest state property tax relief laws of the past decade.
Oct. 24, 2025: the Comprehensive Property Tax Task Force, led by Senate President Pro Tempore Chris Karr and House Speaker Jon Hansen, recommended a $120 million homeowner rebate from unspent tax collections, a 5% cut in state spending ($123 million) applied to homeowner property tax reduction, sending the $105 million from the expiring sales tax cut to homeowner property taxes, and dedicating 25% of future state revenue growth to property tax relief.
2026: Gov. Larry Rhoden signed SB 96 (county sales tax of up to 0.5% to offset homeowners' county property taxes) and SB 245 (the restored 4.5% state sales tax rate funds school property tax cuts from 2027, with nearly $56 million in 2026) on March 12, 2026, along with SB 154, HB 1193, HB 1258 (tax bills must point to a state property tax website) and HB 1264. A 5% annual assessment cap (HB 1253) failed in the Senate, 9-24. SB 85 (election required for school opt-outs) failed in the House, 29-39, on Feb. 4, 2026. HB 1323 (lower petition thresholds to refer local decisions) died on March 10, 2026, when the House refused to concur in Senate amendments, 40-27.
June 29, 2026: South Dakotans for Fair Taxes (Bread for the World SD, the South Dakota AFL-CIO and Dakota Rural Action) failed to gather the roughly 17,500 signatures needed to refer SB 245.
Nov. 3, 2026: no property tax measure is on the ballot. The Secretary of State lists four legislative amendments (I through L); Amendment L would require 60% voter approval for future constitutional amendments. A citizen amendment to repeal real property taxes and replace them with a "retail transaction" tax (sponsors Mike Mueller, Julie Frye-Mueller and Matt Smith) was approved for circulation Nov. 3, 2025 and did not reach the ballot.</t>
        </is>
      </c>
      <c r="V42" s="4" t="inlineStr">
        <is>
          <t>33rd (1.00% effective rate; 1.21% in 2010)</t>
        </is>
      </c>
      <c r="W42" s="4" t="inlineStr">
        <is>
          <t>South Dakota caps non-school revenue growth at the lesser of 3% or inflation (two-thirds board opt-outs), sets school levies by class through the state formula, and from 2027 limits growth in each county's total owner-occupied value to 3%. The 2026 package swaps homeowner property taxes for higher state and county sales taxes.</t>
        </is>
      </c>
      <c r="X42" s="4" t="inlineStr">
        <is>
          <t>https://mylrc.sdlegislature.gov/api/Documents/282923.html
https://www.newsfromthestates.com/article/governor-signs-bills-reduce-homeowner-property-taxes-higher-sales-taxes
https://rapidcitypost.com/?p=173628
https://www.dakotanewsnow.com/2025/03/13/rhoden-signs-property-tax-bill-into-law
https://www.lincolninst.edu/app/uploads/2024/12/levy_limits_2022.xlsx
https://apps.lincolninst.edu/uploads/summary-tables/rate-limits-summary-tables/rate-limits-2022-4.xlsx
https://www2.census.gov/programs-surveys/gov-finances/tables/2022/22slsstab1.xlsx
https://sdsos.gov/elections-voting/upcoming-elections/general-information/2026%20Election%20Information/2026-ballot-questions.aspx
https://www.sdpb.org/politics/2026-06-29/group-fails-to-get-homeowner-property-tax-relief-law-on-november-ballot
https://www.sdpb.org/politics/2026-03-12/governor-signs-property-tax-bills-into-law
https://www.kotatv.com/2026/03/13/these-bills-topped-them-all-rhoden-signs-what-he-says-is-largest-property-tax-cut-into-law
https://rapidcitypost.com/effort-to-require-elections-for-excess-school-taxation-falters-in-state-house/
https://sdlegislature.gov/api/Bills/ActionLog/26534
https://mylrc.sdlegislature.gov/api/Documents/306606.html
https://www.dakotanewsnow.com/2025/07/05/local-group-opposes-sioux-falls-school-district-opt-out
https://www.dakotanewsnow.com/2026/02/14/governor-rhoden-americans-prosperity-host-property-tax-town-hall/
https://mylrc.sdlegislature.gov/api/Documents/PressRelease/287260.pdf
https://americansforprosperity.org/press-release/afp-south-dakota-criticizes-house-defeat-of-senate-bill-85/
https://americansforprosperity.org/press-release/icymi-afp-sd-continues-grassroots-engagement-in-back-to-back-property-tax-town-halls-with-gov-rhoden/
https://archive.commonsenseinstituteus.org/iowa/research/taxes-and-fees/iowa-leads-the-nation-in-property-tax-relief-ranking-state-reforms-of-the-past-decade
https://taxfoundation.org/blog/excise-taxes-cannot-replace-property-taxes/
https://taxfoundation.org/location/south-dakota/</t>
        </is>
      </c>
    </row>
    <row r="43" ht="409" customHeight="1">
      <c r="A43" s="13" t="inlineStr">
        <is>
          <t>Tennessee</t>
        </is>
      </c>
      <c r="B43" s="4" t="inlineStr">
        <is>
          <r>
            <rPr>
              <rFont val="Carlito"/>
              <b val="1"/>
              <sz val="14"/>
            </rPr>
            <t>D.</t>
          </r>
          <r>
            <rPr>
              <rFont val="Carlito"/>
              <sz val="11"/>
            </rPr>
            <t xml:space="preserve">
Restriction points 4.75 of 18 (rate cap 1; truth in taxation 2; rollback 1; school districts covered 0.5; use restrictions 0.25). Deductions: built-in loopholes -1; workarounds in practice -1; state buydowns +0; data record +1. Total 3.75 = D (A 11+, B 8.5-10.9, C 5.5-8.4, D 3-5.4, F under 3).
Why: Built-in loopholes -1: the certified tax rate can be exceeded by a simple-majority vote after notice and a hearing, and between reappraisals rates rise with no special step. Workarounds -1: Metro Nashville raised its rate 34% in 2020 and set a 2025 rate the Beacon Center counts as a 26% increase, and Mt. Juliet (164%), Fairview (42%) and other cities passed large hikes; the Legislature let a 2% cap (HB 2607, 2026) die without a vote. Buydowns 0: state relief payments cover only low-income seniors, disabled owners and disabled veterans. Record +1: real per-person collections were flat from FY2002 to FY2022 (U.S. +23.4%) and fell 9.8% from FY2019 to FY2024, real homeowner bills rose 6.4% from 2010 to 2024 (U.S. 9.3%), and the burden is 1.39% of income (U.S. 2.89%) with a 0.45% effective rate.</t>
          </r>
        </is>
      </c>
      <c r="C43" s="4">
        <f>((LEFT(D43,3)="Yes")+(LEFT(E43,3)="Yes")+(LEFT(F43,3)="Yes")+(LEFT(G43,3)="Yes"))&amp;" of 4 in force"&amp;IF(((LEFT(D43,7)="Partial")+(LEFT(E43,7)="Partial")+(LEFT(F43,7)="Partial")+(LEFT(G43,7)="Partial"))&gt;0," + "&amp;((LEFT(D43,7)="Partial")+(LEFT(E43,7)="Partial")+(LEFT(F43,7)="Partial")+(LEFT(G43,7)="Partial"))&amp;" partial","")&amp;CHAR(10)&amp;CHAR(10)&amp;IF(LEFT(D43,3)="Yes","✓",IF(LEFT(D43,7)="Partial","◐","✗"))&amp;" Spending limit"&amp;CHAR(10)&amp;IF(LEFT(E43,3)="Yes","✓",IF(LEFT(E43,7)="Partial","◐","✗"))&amp;" Levy limit"&amp;CHAR(10)&amp;IF(LEFT(F43,3)="Yes","✓",IF(LEFT(F43,7)="Partial","◐","✗"))&amp;" Assessment cap"&amp;CHAR(10)&amp;IF(LEFT(G43,3)="Yes","✓",IF(LEFT(G43,7)="Partial","◐","✗"))&amp;" Rate cap"</f>
        <v/>
      </c>
      <c r="D43" s="4" t="inlineStr">
        <is>
          <r>
            <rPr>
              <rFont val="Carlito"/>
              <b val="1"/>
              <sz val="11"/>
            </rPr>
            <t>No.</t>
          </r>
          <r>
            <rPr>
              <rFont val="Carlito"/>
              <sz val="11"/>
            </rPr>
            <t xml:space="preserve">
No limit on growth in local spending. County and city budgets are adopted by their legislative bodies; school spending must meet state maintenance-of-effort rules.</t>
          </r>
        </is>
      </c>
      <c r="E43" s="4" t="inlineStr">
        <is>
          <r>
            <rPr>
              <rFont val="Carlito"/>
              <b val="1"/>
              <sz val="11"/>
            </rPr>
            <t>No.</t>
          </r>
          <r>
            <rPr>
              <rFont val="Carlito"/>
              <sz val="11"/>
            </rPr>
            <t xml:space="preserve">
No cap on growth in property tax levies. After each reappraisal the certified tax rate (see Truth-in-taxation) holds revenue from existing property flat unless the governing body votes to exceed it; in other years a county or city may raise its rate by ordinary vote.</t>
          </r>
        </is>
      </c>
      <c r="F43" s="4" t="inlineStr">
        <is>
          <r>
            <rPr>
              <rFont val="Carlito"/>
              <b val="1"/>
              <sz val="11"/>
            </rPr>
            <t>No.</t>
          </r>
          <r>
            <rPr>
              <rFont val="Carlito"/>
              <sz val="11"/>
            </rPr>
            <t xml:space="preserve">
No cap on growth in assessed value. Counties reappraise every four, five or six years. Assessment ratios are set in the constitution: 25% of value for residential and farm property, 40% for commercial and industrial real property, 55% for public utility property and 30% for commercial and industrial personal property.
Authority: Tenn. Const. art. II §28.</t>
          </r>
        </is>
      </c>
      <c r="G43" s="4" t="inlineStr">
        <is>
          <r>
            <rPr>
              <rFont val="Carlito"/>
              <b val="1"/>
              <sz val="11"/>
            </rPr>
            <t>Partial.</t>
          </r>
          <r>
            <rPr>
              <rFont val="Carlito"/>
              <sz val="11"/>
            </rPr>
            <t xml:space="preserve">
No general limit on county or city tax rates. Special school districts, created by private act, may levy only the rate the General Assembly sets, so their rates rise only by new legislation.</t>
          </r>
        </is>
      </c>
      <c r="H43" s="4" t="inlineStr">
        <is>
          <r>
            <rPr>
              <rFont val="Carlito"/>
              <b val="1"/>
              <sz val="11"/>
            </rPr>
            <t>Partial.</t>
          </r>
          <r>
            <rPr>
              <rFont val="Carlito"/>
              <sz val="11"/>
            </rPr>
            <t xml:space="preserve">
Most school systems are departments of counties or cities, whose school taxes are set by the county commission or city council with no rate or levy cap. County school property taxes must be shared with the city and special school systems in the county by average daily attendance. Special school districts are held to rates fixed by the General Assembly.</t>
          </r>
        </is>
      </c>
      <c r="I43" s="4" t="inlineStr">
        <is>
          <r>
            <rPr>
              <rFont val="Carlito"/>
              <b val="1"/>
              <sz val="11"/>
            </rPr>
            <t>No.</t>
          </r>
          <r>
            <rPr>
              <rFont val="Carlito"/>
              <sz val="11"/>
            </rPr>
            <t xml:space="preserve">
Tennessee levies no state property tax. Constitutional Amendment #2 on the Nov. 3, 2026 ballot would add to Article II, section 28 a ban on a state property tax on real, personal or mixed property.
Authority: Tenn. Const. art. II §28; HJR 81 (113th General Assembly) and SJR 1 (114th General Assembly).</t>
          </r>
        </is>
      </c>
      <c r="J43" s="4" t="inlineStr">
        <is>
          <r>
            <rPr>
              <rFont val="Carlito"/>
              <b val="1"/>
              <sz val="11"/>
            </rPr>
            <t>No.</t>
          </r>
          <r>
            <rPr>
              <rFont val="Carlito"/>
              <sz val="11"/>
            </rPr>
            <t xml:space="preserve">
No property tax homestead exemption. Relief for homeowners comes through the state-funded tax relief program and the local-option tax freeze (see Credits).</t>
          </r>
        </is>
      </c>
      <c r="K43" s="4" t="inlineStr">
        <is>
          <r>
            <rPr>
              <rFont val="Carlito"/>
              <b val="1"/>
              <sz val="11"/>
            </rPr>
            <t>Yes.</t>
          </r>
          <r>
            <rPr>
              <rFont val="Carlito"/>
              <sz val="11"/>
            </rPr>
            <t xml:space="preserve">
- Property tax relief (state-funded): owners 65 and older or totally and permanently disabled with household income up to $38,470 (2026 program year) receive a state payment toward the tax on the first $33,600 of market value; veterans with a 100% service-connected disability (and certain surviving spouses) receive relief on the first $175,000 of market value without an income test.
- Tax freeze (local option, authorized by a 2006 constitutional amendment): in adopting counties and cities, owners 65 and older with income below a county-specific limit keep paying the tax of their base year; new improvements are added.
Authority: Tenn. Const. art. II §28; Property Tax Relief and Tax Freeze programs administered by the Comptroller.</t>
          </r>
        </is>
      </c>
      <c r="L43" s="4" t="inlineStr">
        <is>
          <r>
            <rPr>
              <rFont val="Carlito"/>
              <b val="1"/>
              <sz val="11"/>
            </rPr>
            <t>No.</t>
          </r>
          <r>
            <rPr>
              <rFont val="Carlito"/>
              <sz val="11"/>
            </rPr>
            <t xml:space="preserve">
Tennessee's property tax relief program reimburses low-income elderly and disabled homeowners, and disabled veteran homeowners and their surviving spouses, for part or all of the property tax they have paid. The state pays these amounts to the owners after the tax is paid, so they belong in the credits and rebates row. School funding through TISA is general state aid and does not count. No state program reimburses local governments for exemptions or pays them to lower their rates.
Authority: Tenn. Const. art. II, § 28; Tenn. Code Ann. §§ 67-5-701 to 67-5-704.</t>
          </r>
        </is>
      </c>
      <c r="M43" s="4" t="inlineStr">
        <is>
          <r>
            <rPr>
              <rFont val="Carlito"/>
              <b val="1"/>
              <sz val="11"/>
            </rPr>
            <t>Yes.</t>
          </r>
          <r>
            <rPr>
              <rFont val="Carlito"/>
              <sz val="11"/>
            </rPr>
            <t xml:space="preserve">
After each reappraisal the State Board of Equalization certifies a tax rate that would raise the same revenue as the prior year from existing property (new construction excluded). A county or city may exceed it only by a resolution or ordinance adopted after advertising its intent in a newspaper of general circulation and holding a public hearing, with proof of publication sent to the State Board within 30 days. Tennessee's law dates to 1979.
Authority: Tenn. Code Ann. §§67-5-1701, 67-5-1702.</t>
          </r>
        </is>
      </c>
      <c r="N43" s="4" t="inlineStr">
        <is>
          <r>
            <rPr>
              <rFont val="Carlito"/>
              <b val="1"/>
              <sz val="11"/>
            </rPr>
            <t>Yes.</t>
          </r>
          <r>
            <rPr>
              <rFont val="Carlito"/>
              <sz val="11"/>
            </rPr>
            <t xml:space="preserve">
The certified tax rate rolls rates back after every reappraisal; exceeding it requires advertised notice, a hearing and a vote. Between reappraisals there is no rollback.
Authority: Tenn. Code Ann. §67-5-1701.</t>
          </r>
        </is>
      </c>
      <c r="O43" s="4" t="inlineStr">
        <is>
          <r>
            <rPr>
              <rFont val="Carlito"/>
              <b val="1"/>
              <sz val="11"/>
            </rPr>
            <t>No.</t>
          </r>
          <r>
            <rPr>
              <rFont val="Carlito"/>
              <sz val="11"/>
            </rPr>
            <t xml:space="preserve">
Rates, including rates above the certified rate, are adopted by simple majority of the county commission or city council.</t>
          </r>
        </is>
      </c>
      <c r="P43" s="4" t="inlineStr">
        <is>
          <r>
            <rPr>
              <rFont val="Carlito"/>
              <b val="1"/>
              <sz val="11"/>
            </rPr>
            <t>No.</t>
          </r>
          <r>
            <rPr>
              <rFont val="Carlito"/>
              <sz val="11"/>
            </rPr>
            <t xml:space="preserve">
Property tax rates are set by governing bodies without a referendum; no statewide rule limits local tax questions to November.</t>
          </r>
        </is>
      </c>
      <c r="Q43" s="4" t="inlineStr">
        <is>
          <r>
            <rPr>
              <rFont val="Carlito"/>
              <b val="1"/>
              <sz val="11"/>
            </rPr>
            <t>Partial.</t>
          </r>
          <r>
            <rPr>
              <rFont val="Carlito"/>
              <sz val="11"/>
            </rPr>
            <t xml:space="preserve">
County tax levies are set by fund (general, highway, schools, debt service), and county school taxes must be shared with the other school systems in the county by attendance. General county and city levies are otherwise unrestricted.</t>
          </r>
        </is>
      </c>
      <c r="R43" s="4" t="inlineStr">
        <is>
          <t>95 counties (Census counts 92 county governments; Nashville-Davidson and two other metropolitan governments are counted as municipalities); 345 municipal governments; 14 special school districts and 128 school systems that depend on counties or cities; 451 special districts in the Census count, led by 147 water and utility districts, 94 soil and water conservation districts and 92 housing authorities. Census of Governments 2022: 902 local governments.</t>
        </is>
      </c>
      <c r="S43" s="4" t="inlineStr">
        <is>
          <t>Verdict: Worked. Property tax per person fell 11.3% after inflation from FY2002 to FY2024 while the U.S. figure rose 25.9%, ranking Tennessee 48th of 50 for growth.
Why it leaks: Tennessee has no levy cap or assessment cap. The certified tax rate (Tenn. Code Ann. §67-5-1701) offers transparency and accountability, but it applies only after a reappraisal and excludes new construction. A county commission or city council can exceed it by simple majority after a notice and hearing, and in other years can raise its rate by ordinary vote.
How localities get around it: Metro Nashville raised its rate 34% in 2020, a non-reappraisal year. After the 2025 reappraisal the Metro Council set a rate that the Beacon Center counts as a 26% increase.
Full record:
The certified tax rate offers transparency and accountability after each reappraisal, but Tennessee has no levy, rate or assessment cap, so county commissions and city councils can raise rates by simple majority, and many have.
The record (Census, BEA, ACS): state and local property tax was $921 per person in FY2024 (U.S. $2,132), 1.39% of personal income (50th-highest of 50; U.S. 2.89%). After inflation, collections per person (all state and local property tax divided by residents) fell 11.3% from FY2002 to FY2024 (U.S. +25.9%) and fell 9.8% from FY2019 to FY2024 (U.S. -1.1%). The median homeowner paid $1,488 in 2024 (U.S. $3,211); the median bill rose 6.4% after inflation from 2010 to 2024 (U.S. +9.3%). The Tax Foundation's 2026 ranking puts its effective property tax rate on owner-occupied homes at 0.52%, 10th-lowest of 50. By the same measure it was 0.72% in 2010 (U.S. 1.00% in 2010, 0.94% in 2024).
- Big cities: Metro Nashville raised its property tax rate 34% in 2020, a non-reappraisal year. After the 2025 reappraisal the Metro Council set a combined rate of $2.814 per $100 of assessed value with a $3.8 billion budget (June 17, 2025); the mayor's plan was roughly 15% above the prior year's budget, and a substitute at $2.646 that would have cut the budget by $116 million was withdrawn before a vote. The Beacon Center counts the 2025 rate as a 26% increase, puts Metro's 2024 property tax revenue at $1.62 billion and reports that Nashville property taxes rose 60% over five years.
- Tax cut claims: Beacon notes that Shelby County officials in 2025, like Nashville's mayor in 2021, called the post-reappraisal certified rate a "property tax cut" despite no reduction in government revenue or spending.
- Rate hikes elsewhere: Mt. Juliet approved a 164% increase (down from a 400% proposal), with Fairview at 42%, Bristol 21%, Johnson City and Erwin 20% each and Red Bank 14% over the past two years (Beacon, Aug. 14, 2026); Beacon also lists Chattanooga at 24.5% and Jonesborough at 28% in 2025 and South Pittsburg at 138% in 2024.
- Cap blocked: HB 2607/SB 2002 (2026), a 2% annual cap with a 60% referendum to exceed it, died in committee without a vote.
- Sales taxes: local sales taxes supply 30% of local tax revenue (Census FY2022), and the average combined rate of 9.61% is the second highest in the nation. Fees and charges are 47% of local own-source revenue.
- Relief is targeted: the state program covers tax on only the first $33,600 of value for low-income seniors and disabled owners, and the freeze depends on local adoption.
Property tax is 65% of local tax revenue. The Tax Foundation ranks Tennessee 8th overall on its 2026 State Tax Competitiveness Index.</t>
        </is>
      </c>
      <c r="T43" s="4" t="inlineStr">
        <is>
          <t>- Beacon Center of Tennessee (State Policy Network affiliate), "Taxing 9 to 5: What Does the Research Say About Property Tax Caps?" (Oct. 12, 2026). Reviews research from the 46 states with property tax limits and finds levy caps, paired with a referendum on increases above the cap, the most effective type; cites Johnson City's 20% increase of July 2026, partly to pay for a $37 million aquatics center ($55 million with interest), and notes that the 2026 cap bill (SB 2064/HB 1873, 2% a year plus inflation) stalled after passing the House Cities and Counties Subcommittee. https://www.beacontn.org/taxing-9-to-5-what-does-the-research-say-about-property-tax-caps/
- Tennessee House Republican Caucus, Rep. Tandy Darby, "Rep. Tandy Darby: Amendment 2 to keep Tennessee free from a state property tax" (Oct. 12, 2026). Urges a yes vote on Amendment 2 on the Nov. 3, 2026 ballot, which would amend Article II, Section 28 so the General Assembly may never "levy, authorize, or otherwise permit" a state tax on property; the state set its property tax rate at zero in 1949, and the amendment leaves local property taxes untouched. https://tnhousegop.org/press-releases/2026/10/rep-tandy-darby-amendment-2-to-keep-tennessee-free-from-a-state-property-tax/
- Beacon Center of Tennessee (State Policy Network affiliate), "Tennessee Leads the Nation—In Property Tax Hikes" (Aug. 14, 2026). Using the dataset behind a Wall Street Journal analysis, finds Tennessee had the highest percentage increase in property taxes of any state over six years, the only state above 75%, with a double-digit lead over Colorado; lists Mt. Juliet (164%), Fairview (42%), Bristol (21%), Johnson City and Erwin (20%) and Red Bank (14%) and calls for the property tax cap that 46 states and D.C. have. https://www.beacontn.org/tennessee-leads-the-nation-in-property-tax-hikes
- Beacon Center of Tennessee (State Policy Network affiliate), "Why Tennessee Doesn't Need a State Property Tax" (March 3, 2026). Backs Amendment 2, which would bar re-enactment of the state property tax repealed in 1949; notes a future legislature could now reimpose one by simple majority and that an April 2025 Beacon Poll and other polls show more than six in 10 voters support the ban. https://www.beacontn.org/why-tennessee-doesnt-need-a-state-property-tax/
- Tennessee House Republican Caucus, "Rep. Bud Hulsey proposes limiting local property tax hikes" (Feb. 18, 2026). Announces HB 2607, capping property tax increases at 2% a year; local governments could exceed the cap for up to four years only after a referendum with at least 60% approval, and Hulsey said "Government at all levels must live within its means." https://tnhousegop.org/press-releases/2026/02/rep-bud-hulsey-proposes-limiting-local-property-tax-hikes/
- Beacon Center of Tennessee (State Policy Network affiliate), "Volunteering for Higher Taxes? Assessing Tennessee's Uncapped Property Taxes" (Nov. 12, 2025). Says Tennessee is one of four states with no statewide limit on property tax increases; the certified tax rate offers transparency and accountability after each reappraisal, yet local governments can still adopt higher rates, as Nashville did with 26% in 2025 after 34% in 2020; recommends a levy cap, a limited rollover of unused increases and a referendum trigger for revenue above the cap. https://www.beacontn.org/wp-content/uploads/2025/11/PropertyTaxBrief_BeaconCenter_11.12.25_3.pdf
- Tax Foundation, "2026 State Tax Competitiveness Index" (Oct. 30, 2025). Ranks Tennessee's tax system 8th overall and 32nd on property tax (Table 6 of the full study). https://taxfoundation.org/location/tennessee/
- Americans for Prosperity-Tennessee, "AFP-TN and Conservative Coalition Launches Campaign to Fight Property Tax Increase in Nashville" (April 24, 2025). Announces a coalition with GOP-Nashville and the Nashville Tea Party against any Metro Nashville property tax increase, citing the earlier 34% increase and the loss of more than 40,000 Davidson County residents since 2014 while Wilson, Sumner and Rutherford counties gained more than 100,000. https://americansforprosperity.org/press-release/afp-tn-and-conservative-coalition-launches-campaign-to-fight-property-tax-increase-in-nashville/
- Millennial Debt Foundation (State Policy Network associate): no property tax report since 2021 was found.
Linked list: 8 items on the Analyses sheet (filter State = Tennessee); every source URL is linked on the Sources sheet.</t>
        </is>
      </c>
      <c r="U43" s="4" t="inlineStr">
        <is>
          <t>1979: certified tax rate after reappraisal. 2006: constitutional amendment authorizing the senior tax freeze (Property Tax Freeze Act, 2007).
2020: Metro Nashville raised its property tax rate 34%. 2025: after reappraisal, the Metro Council adopted a combined rate of $2.814 per $100 of assessed value (June 17, 2025).
2026: HB 2607/SB 2002 (Rep. Bud Hulsey, Sen. Joey Hensley) would have capped property tax increases at 2% a year, allowing more for up to four years only with a referendum and 60% voter approval; it was taken off notice in the House Cities &amp; Counties Subcommittee (March 11, 2026) and sent to a Senate general subcommittee, with no recorded vote. Gov. Bill Lee signed a law letting counties and cities refund property taxes owed to a taxpayer in annual installments credited against future taxes, under a written agreement (Bloomberg Tax, May 27, 2026).
Nov. 3, 2026 ballot: Constitutional Amendment #2 (HJR 81, 113th General Assembly; SJR 1, 114th General Assembly) would add a ban on a state property tax to Article II, section 28.</t>
        </is>
      </c>
      <c r="V43" s="4" t="inlineStr">
        <is>
          <t>10th (0.52% effective rate; 0.72% in 2010)</t>
        </is>
      </c>
      <c r="W43" s="4" t="inlineStr">
        <is>
          <t>Tennessee relies on the certified tax rate, which rolls rates back after each reappraisal unless a governing body votes to exceed it after notice and a hearing, plus state-funded relief for low-income seniors, disabled owners and disabled veterans and a local-option senior freeze. It has no levy, assessment or general rate cap, and leans heavily on local sales taxes.</t>
        </is>
      </c>
      <c r="X43" s="4" t="inlineStr">
        <is>
          <t>https://comptroller.tn.gov/boards/state-board-of-equalization/sboe-resources/certified-tax-rate.html
https://www.ctas.tennessee.edu/levy-tax-rate-excess-certified-tax-rate
https://www.graingercountytrustee.com/wp-content/uploads/2026/06/Tax-Relief-Brochure-2026.pdf
https://news.ballotpedia.org/2026/08/27/voters-in-seven-states-to-decide-13-property-tax-measures-in-2026/
https://tnfarmbureau.org/wp-content/uploads/2025/08/2026-Election-Constitutional-Amendments.pdf
https://www.lincolninst.edu/app/uploads/2024/10/truth_in_taxation_2024.xlsx
https://www2.census.gov/programs-surveys/gov-finances/tables/2022/22slsstab1.xlsx
https://sos.tn.gov/elections/announcements/2026-proposed-constitutional-amendments
https://www.beacontn.org/tennessee-leads-the-nation-in-property-tax-hikes
https://www.beacontn.org/wp-content/uploads/2025/11/PropertyTaxBrief_BeaconCenter_11.12.25_3.pdf
https://www.wsmv.com/2026/08/17/tennessee-has-worst-property-tax-hikes-nation-new-report-says-heres-why/
https://tnhousegop.org/press-releases/2026/02/rep-bud-hulsey-proposes-limiting-local-property-tax-hikes/
https://wapp.capitol.tn.gov/apps/BillInfo/Default.aspx?BillNumber=HB2607&amp;GA=114
https://wpln.org/post/nashvilles-next-city-budget-includes-a-substantial-property-tax-increase/
https://www.wsmv.com/2025/06/18/mayor-oconnell-signs-new-nashville-budget-property-tax-rate-increase/
https://news.bloombergtax.com/daily-tax-report-state/tennessee-authorizes-certain-local-property-tax-refund-credits
https://taxfoundation.org/location/tennessee/</t>
        </is>
      </c>
    </row>
    <row r="44" ht="409" customHeight="1">
      <c r="A44" s="13" t="inlineStr">
        <is>
          <t>Texas</t>
        </is>
      </c>
      <c r="B44" s="4" t="inlineStr">
        <is>
          <r>
            <rPr>
              <rFont val="Carlito"/>
              <b val="1"/>
              <sz val="14"/>
            </rPr>
            <t>B.</t>
          </r>
          <r>
            <rPr>
              <rFont val="Carlito"/>
              <sz val="11"/>
            </rPr>
            <t xml:space="preserve">
Restriction points 13.5 of 18 (levy limit 4; assessment cap 2; rate cap 2; truth in taxation 2; rollback 1; supermajority 1; school districts covered 1; November-ballot rule 0.25; use restrictions 0.25). Deductions: built-in loopholes -1.5; workarounds in practice -1; state buydowns -1.5; data record -0.5. Total 9 = B (A 11+, B 8.5-10.9, C 5.5-8.4, D 3-5.4, F under 3).
Why: Built-in loopholes -1.5: debt rates outside the 3.5% limit with simple-majority bonds, three years of banked unused increment, the de minimis rate, the disaster exception, 8% for special districts, and the 20% non-homestead cap expiring Dec. 31, 2026. Workarounds -1: the five largest cities' budgets grew about 78% from 2016 to 2026 against 48% inflation plus population growth, Austin set its 2026 rate at the legal maximum after voters rejected Proposition Q, county levies rose 10.4% in 2024, and Houston's revenue cap carries a $90 million add-on. Buydowns -1.5: about $25.5 billion a year of state-paid compression and exemptions, roughly 35% of FY2024 collections ($72.66 billion). Record -0.5: a heavy burden (3.31% of personal income, 41st; effective rate 1.31%, 43rd) and real homeowner bills up 17.4% in 2010-2024 (US 9.3%), offset by a real per-person drop of 11.1% in FY2019-FY2024 that the buydown paid for.</t>
          </r>
        </is>
      </c>
      <c r="C44" s="4">
        <f>((LEFT(D44,3)="Yes")+(LEFT(E44,3)="Yes")+(LEFT(F44,3)="Yes")+(LEFT(G44,3)="Yes"))&amp;" of 4 in force"&amp;IF(((LEFT(D44,7)="Partial")+(LEFT(E44,7)="Partial")+(LEFT(F44,7)="Partial")+(LEFT(G44,7)="Partial"))&gt;0," + "&amp;((LEFT(D44,7)="Partial")+(LEFT(E44,7)="Partial")+(LEFT(F44,7)="Partial")+(LEFT(G44,7)="Partial"))&amp;" partial","")&amp;CHAR(10)&amp;CHAR(10)&amp;IF(LEFT(D44,3)="Yes","✓",IF(LEFT(D44,7)="Partial","◐","✗"))&amp;" Spending limit"&amp;CHAR(10)&amp;IF(LEFT(E44,3)="Yes","✓",IF(LEFT(E44,7)="Partial","◐","✗"))&amp;" Levy limit"&amp;CHAR(10)&amp;IF(LEFT(F44,3)="Yes","✓",IF(LEFT(F44,7)="Partial","◐","✗"))&amp;" Assessment cap"&amp;CHAR(10)&amp;IF(LEFT(G44,3)="Yes","✓",IF(LEFT(G44,7)="Partial","◐","✗"))&amp;" Rate cap"</f>
        <v/>
      </c>
      <c r="D44" s="4" t="inlineStr">
        <is>
          <r>
            <rPr>
              <rFont val="Carlito"/>
              <b val="1"/>
              <sz val="11"/>
            </rPr>
            <t>No.</t>
          </r>
          <r>
            <rPr>
              <rFont val="Carlito"/>
              <sz val="11"/>
            </rPr>
            <t xml:space="preserve">
No limit on growth in local spending. The state constitution limits growth in state spending; local budgets are limited only through the property tax rate rules below.</t>
          </r>
        </is>
      </c>
      <c r="E44" s="4" t="inlineStr">
        <is>
          <r>
            <rPr>
              <rFont val="Carlito"/>
              <b val="1"/>
              <sz val="11"/>
            </rPr>
            <t>Yes.</t>
          </r>
          <r>
            <rPr>
              <rFont val="Carlito"/>
              <sz val="11"/>
            </rPr>
            <t xml:space="preserve">
Voter-approval tax rate (SB 2, 2019): a city or county may raise maintenance and operations (M&amp;O) revenue from existing property by no more than 3.5% over the no-new-revenue rate, plus its debt rate and an "unused increment rate" (unused room from the prior three years). Special taxing units (hospital and junior college districts and units with an M&amp;O rate of 2.5 cents or less per $100) get 8%. Adopting a higher rate triggers an automatic election on the next uniform election date. Small units may use a "de minimis rate" instead, above which voters may petition for an election, and a disaster exception allows temporary increases. Debt service (interest and sinking fund) rates sit outside the 3.5% limit. SB 10 (2025, second special session), which would have cut the limit to 2.5% for cities and counties over 75,000, died when the House refused the conference report on Sept. 2, 2025.
Authority: Tex. Tax Code §§26.04, 26.07; SB 2 (2019).</t>
          </r>
        </is>
      </c>
      <c r="F44" s="4" t="inlineStr">
        <is>
          <r>
            <rPr>
              <rFont val="Carlito"/>
              <b val="1"/>
              <sz val="11"/>
            </rPr>
            <t>Yes.</t>
          </r>
          <r>
            <rPr>
              <rFont val="Carlito"/>
              <sz val="11"/>
            </rPr>
            <t xml:space="preserve">
- Homesteads: appraised value may rise no more than 10% a year (since 1997); improvements are added at full value, and the cap ends when the home is sold.
- Other real property worth $5 million or less (the threshold is indexed to inflation after 2024): a 20% annual cap on appraisal increases ("circuit breaker") created by SB 2 (2023, second special session) for tax years 2024 through 2026. The section expires Dec. 31, 2026, and the 2025 Legislature did not renew it, so these properties lose the cap in 2027 unless the 2027 Legislature acts.
Personal property and higher-value real property have no cap.
Authority: Tex. Tax Code §§23.23, 23.231; SB 2 (2023, second special session).</t>
          </r>
        </is>
      </c>
      <c r="G44" s="4" t="inlineStr">
        <is>
          <r>
            <rPr>
              <rFont val="Carlito"/>
              <b val="1"/>
              <sz val="11"/>
            </rPr>
            <t>Yes.</t>
          </r>
          <r>
            <rPr>
              <rFont val="Carlito"/>
              <sz val="11"/>
            </rPr>
            <t xml:space="preserve">
Constitutional rate maximums per $100 of value: counties 80 cents for general purposes, home-rule cities $2.50 and general-law cities $1.50. School district M&amp;O rates are capped at a state-set maximum compressed rate plus limited enrichment pennies; rates above the voter-approval rate need a voter-approval tax rate election.
Authority: Tex. Const. art. VIII §9, art. XI §§4-5; Tex. Educ. Code ch. 48.</t>
          </r>
        </is>
      </c>
      <c r="H44" s="4" t="inlineStr">
        <is>
          <r>
            <rPr>
              <rFont val="Carlito"/>
              <b val="1"/>
              <sz val="11"/>
            </rPr>
            <t>Yes.</t>
          </r>
          <r>
            <rPr>
              <rFont val="Carlito"/>
              <sz val="11"/>
            </rPr>
            <t xml:space="preserve">
The state sets each district's maximum compressed M&amp;O rate and lowers it as statewide values grow, paying the difference through the school finance formula. Districts may add enrichment pennies; going above the voter-approval rate requires an election (VATRE). Owners 65 and older or disabled have a school tax ceiling that freezes their school taxes. Debt (I&amp;S) rates are outside the M&amp;O limits, though new bonds need voter approval.
Authority: Tex. Educ. Code §§45.003, 48.2551; Tex. Tax Code §§11.26, 26.08.</t>
          </r>
        </is>
      </c>
      <c r="I44" s="4" t="inlineStr">
        <is>
          <r>
            <rPr>
              <rFont val="Carlito"/>
              <b val="1"/>
              <sz val="11"/>
            </rPr>
            <t>No.</t>
          </r>
          <r>
            <rPr>
              <rFont val="Carlito"/>
              <sz val="11"/>
            </rPr>
            <t xml:space="preserve">
The Texas Constitution bars a state property tax; all property taxes are local.
Authority: Tex. Const. art. VIII §1-e.</t>
          </r>
        </is>
      </c>
      <c r="J44" s="4" t="inlineStr">
        <is>
          <r>
            <rPr>
              <rFont val="Carlito"/>
              <b val="1"/>
              <sz val="11"/>
            </rPr>
            <t>Yes.</t>
          </r>
          <r>
            <rPr>
              <rFont val="Carlito"/>
              <sz val="11"/>
            </rPr>
            <t xml:space="preserve">
- School district homestead exemption: $140,000 of value (raised from $100,000 by Proposition 13, approved Nov. 4, 2025).
- Owners 65 and older or disabled: an additional $60,000 school exemption (raised from $10,000 by Proposition 11, 2025) and a school tax ceiling.
- Local option: cities, counties and special districts may exempt up to 20% of a homestead's value and add senior and disabled exemptions and tax ceilings.
- Disabled veterans: a 100% disabled veteran's homestead is fully exempt.
Authority: Tex. Const. art. VIII §1-b; Tex. Tax Code §§11.13, 11.131, 11.26.</t>
          </r>
        </is>
      </c>
      <c r="K44" s="4" t="inlineStr">
        <is>
          <r>
            <rPr>
              <rFont val="Carlito"/>
              <b val="1"/>
              <sz val="11"/>
            </rPr>
            <t>No.</t>
          </r>
          <r>
            <rPr>
              <rFont val="Carlito"/>
              <sz val="11"/>
            </rPr>
            <t xml:space="preserve">
No state circuit breaker or income tax credit (Texas has no income tax). Relief comes through homestead exemptions, tax ceilings and state-funded school rate compression.</t>
          </r>
        </is>
      </c>
      <c r="L44" s="4" t="inlineStr">
        <is>
          <r>
            <rPr>
              <rFont val="Carlito"/>
              <b val="1"/>
              <sz val="11"/>
            </rPr>
            <t>Yes.</t>
          </r>
          <r>
            <rPr>
              <rFont val="Carlito"/>
              <sz val="11"/>
            </rPr>
            <t xml:space="preserve">
The state pays school districts through the Foundation School Program to replace revenue lost to state-mandated cuts in maintenance and operations tax rates (compression) and to the larger school homestead exemptions. The 2026-27 General Appropriations Act includes an estimated $51.0 billion for the biennium to provide new relief and maintain relief enacted since HB 3 (2019), including $3.9 billion for the 2025 package (SB 4, SB 23 and HB 9) and $2.6 billion of further rate compression. Voters approved the 2025 package in November 2025 as Propositions 13, 11 and 9, which raised the school homestead exemption to $140,000, the added senior and disabled exemption to $60,000 and the business personal property exemption to $125,000. A separate $9.5 million a year goes to cities and counties with large disabled veteran exemption losses. Other city, county and special district levies are outside these payments.
Authority: Tex. Educ. Code §§ 46.071, 48.2543, 48.2551, 48.2552; Tex. Tax Code §§ 11.13, 11.145; Tex. Loc. Gov't Code § 140.011; General Appropriations Act 2026-27 (SB 1, 89th Leg.), Art. III TEA Rider 76 and Art. I Comptroller Fiscal Programs Rider 14.</t>
          </r>
        </is>
      </c>
      <c r="M44" s="4" t="inlineStr">
        <is>
          <r>
            <rPr>
              <rFont val="Carlito"/>
              <b val="1"/>
              <sz val="11"/>
            </rPr>
            <t>Yes.</t>
          </r>
          <r>
            <rPr>
              <rFont val="Carlito"/>
              <sz val="11"/>
            </rPr>
            <t xml:space="preserve">
Each taxing unit calculates a no-new-revenue rate (the rate that raises the same revenue from the same properties as last year) and a voter-approval rate, publishes both on its website, mails or publishes notices and holds hearings before adopting a higher rate; rates above the voter-approval rate go automatically to voters. For units other than school districts, adopting any rate above the no-new-revenue rate takes a record vote of at least 60% of the governing body, and the motion must say the property tax rate is being increased; school districts need the same 60% vote above a rate set under the Education Code. A debt rate above the minimum needed must also be approved by at least 60% of the governing body. Texas has had truth in taxation since 1982.
Authority: Tex. Tax Code ch. 26, §26.05(b).</t>
          </r>
        </is>
      </c>
      <c r="N44" s="4" t="inlineStr">
        <is>
          <r>
            <rPr>
              <rFont val="Carlito"/>
              <b val="1"/>
              <sz val="11"/>
            </rPr>
            <t>Yes.</t>
          </r>
          <r>
            <rPr>
              <rFont val="Carlito"/>
              <sz val="11"/>
            </rPr>
            <t xml:space="preserve">
The no-new-revenue rate is the benchmark each year, and revenue from existing property may grow no more than 3.5% (8% for special taxing units) above it without an automatic election.
Authority: Tex. Tax Code §§26.04, 26.07.</t>
          </r>
        </is>
      </c>
      <c r="O44" s="4" t="inlineStr">
        <is>
          <r>
            <rPr>
              <rFont val="Carlito"/>
              <b val="1"/>
              <sz val="11"/>
            </rPr>
            <t>Yes.</t>
          </r>
          <r>
            <rPr>
              <rFont val="Carlito"/>
              <sz val="11"/>
            </rPr>
            <t xml:space="preserve">
A taxing unit other than a school district may adopt a rate above the no-new-revenue rate only by a record vote with at least 60% of the members of the governing body in favor. A school district needs the same 60% record vote to exceed the rate calculated under Education Code §44.004(c)(5)(A)(ii). A debt rate above the minimum needed for debt payments also needs a 60% vote. Tax rate elections and bond elections pass by simple majority.
Authority: Tex. Tax Code §26.05(b); Tex. Educ. Code §44.004.</t>
          </r>
        </is>
      </c>
      <c r="P44" s="4" t="inlineStr">
        <is>
          <r>
            <rPr>
              <rFont val="Carlito"/>
              <b val="1"/>
              <sz val="11"/>
            </rPr>
            <t>Partial.</t>
          </r>
          <r>
            <rPr>
              <rFont val="Carlito"/>
              <sz val="11"/>
            </rPr>
            <t xml:space="preserve">
When a city, county or other unit adopts a rate above its voter-approval rate, the election must be held on the next uniform election date in November, and the rate must be adopted at least 71 days before it. Bond elections may be held on the May or November uniform election dates.
Authority: Tex. Tax Code §26.07.</t>
          </r>
        </is>
      </c>
      <c r="Q44" s="4" t="inlineStr">
        <is>
          <r>
            <rPr>
              <rFont val="Carlito"/>
              <b val="1"/>
              <sz val="11"/>
            </rPr>
            <t>Partial.</t>
          </r>
          <r>
            <rPr>
              <rFont val="Carlito"/>
              <sz val="11"/>
            </rPr>
            <t xml:space="preserve">
Rates are split into maintenance and operations and interest and sinking fund (debt) components, and debt revenue may pay only debt. School enrichment pennies and special district taxes are tied to their purposes. City and county M&amp;O revenue is otherwise unrestricted.</t>
          </r>
        </is>
      </c>
      <c r="R44" s="4" t="inlineStr">
        <is>
          <t>254 counties; 1,225 municipal governments; 1,070 independent school districts (plus 9 dependent systems); 2,984 special districts in the Census count, led by 1,000 multiple-function districts (mostly municipal utility districts that finance development with property taxes), 384 water and sewer districts, 264 fire protection and emergency services districts and 120 hospital districts. Census of Governments 2022: 5,533 local governments.</t>
        </is>
      </c>
      <c r="S44" s="4" t="inlineStr">
        <is>
          <t>Verdict: Partly. Property tax per person rose 17.7% after inflation from FY2002 to FY2024, below the U.S. figure of 25.9%, and fell 11.1% from FY2019 to FY2024 (U.S. -1.1%), a drop that leans on about $25.5 billion a year of state money buying down school taxes, which counts against Texas.
Why it leaks: The 3.5% voter-approval rate (SB 2, 2019) covers only maintenance and operations revenue. Debt rates sit outside it, and bonds pass by simple majority. Units may also bank three years of unused room, and special districts get 8%.
How localities get around it: Austin voters rejected Proposition Q in 2025, yet the city's fallback rate was still about 10% above the prior year's. Houston's Proposition H (2006) adds $90 million to the base of its charter revenue cap for public safety.
Full record:
The 3.5% voter-approval rate and the 60% governing-body vote to exceed the no-new-revenue rate give Texas taxpayers strong tools, and Austin voters used them in 2025; levies still rise, and the state pays for most of the school relief. The Tax Foundation's 2026 index ranks Texas 38th on property tax (7th overall).
The record (Census, BEA, ACS): state and local property tax was $2,320 per person in FY2024 (U.S. $2,132), 3.31% of personal income (10th-highest of 50; U.S. 2.89%). After inflation, collections per person (all state and local property tax divided by residents) rose 17.7% from FY2002 to FY2024 (U.S. +25.9%) and fell 11.1% from FY2019 to FY2024 (U.S. -1.1%). The median homeowner paid $4,108 in 2024 (U.S. $3,211); the median bill rose 17.4% after inflation from 2010 to 2024 (U.S. +9.3%). The Tax Foundation's 2026 ranking puts its effective property tax rate on owner-occupied homes at 1.40%, 44th-lowest of 50. By the same measure it was 1.77% in 2010 (U.S. 1.00% in 2010, 0.94% in 2024).
Levies: Comptroller data show statewide levies of $86.8 billion in 2024, up 6.6% ($5.4 billion) from 2023, the year of the $18 billion relief package; counties rose 10.4%, schools 6.4%, special districts 6.1% and cities 3.9% (as compiled by Texas Policy Research).
Big cities: Austin adopted a rate above its voter-approval rate in 2025 to fund about $100 million in added spending; voters rejected it as Proposition Q on Nov. 4, 2025, yet the fallback rate of $0.524017 per $100 was still about 10% above the prior year's. In August 2026 Austin set its rate at $0.579948, which The Texan called "the highest rate allowed under state law."
Budgets: the operating budgets of Houston, San Antonio, Dallas, Fort Worth and Austin grew about 78% from 2016 to 2026, against about 40% inflation and 8% population growth. Houston's $7.5 billion budget is 69% above 2016, Dallas's draft of almost $5.7 billion is 85% above, and Fort Worth's draft would raise its rate from $0.67 to $0.702 per $100 (The Texan, Aug. 25, 2026).
Houston: the charter revenue cap (Proposition 1, 2004) holds property tax revenue to the lower of population plus inflation or 4.5% growth, but Proposition H (2006) adds $90 million to the base for public safety (City of Houston Finance Department, Oct. 7, 2025).
Small cities: TPPF's survey of September 2026 tax increase notices found proposed homeowner bill increases as high as 36%, 48% and 92% in some small and mid-sized cities and counties.
Built-in openings: debt rates sit outside the 3.5% limit, and bonds pass by simple majority. Unused increments let a unit bank three years of room; small units have the de minimis rate; disasters allow temporary increases. Special districts get 8%, and municipal utility districts multiply in growing suburbs.
State money: about $25.5 billion a year of state money maintains school compression and exemptions (Legislative Budget Board), which shields school spending from voters while non-school levies keep rising. The Common Sense Institute leaves Texas's 2023 package out of its national relief ranking because the state backfilled it.
Property tax is 82% of local tax revenue (Census FY2022); local sales taxes supply 16%, and fees and charges are 30% of local own-source revenue.</t>
        </is>
      </c>
      <c r="T44" s="4" t="inlineStr">
        <is>
          <t>- Texas Public Policy Foundation, "These 12 Small &amp; Mid-Sized Cities and Counties are Threatening Huge Tax Hikes" (Sept. 14, 2026). Surveys the legally required Notices of Public Hearing on Tax Increase and charts the 12 largest proposed homeowner bill increases among smaller cities and counties, with hikes as high as 36%, 48% and 92%; calls for "stronger taxpayer protections and stricter rules governing local property tax growth." https://www.texaspolicy.com/these-12-small-mid-sized-cities-and-counties-are-threatening-huge-tax-hikes/
- Texas Public Policy Foundation, "Just the Facts: Local Government Spending" (Aug. 10, 2026). Finds that "Texans' property tax bills continue to increase due to unrestricted spending at the local level" despite state relief, with city and county spending outpacing population and inflation; the state works under four constitutional spending limits and one statutory limit while local governments have none, so the Legislature should apply similar limits to them. https://www.texaspolicy.com/just-the-facts-local-government-spending/
- Common Sense Institute, "Iowa Leads the Nation in Property Tax Relief: Ranking State Reforms of the Past Decade" (Aug. 6, 2026). Counts relief the state backfills as no net tax relief, so Texas's 2023 property tax reform falls off its ranking of state reforms. https://archive.commonsenseinstituteus.org/iowa/research/taxes-and-fees/iowa-leads-the-nation-in-property-tax-relief-ranking-state-reforms-of-the-past-decade
- Texas Public Policy Foundation, "Just the Facts: Property Taxes in Texas' Most Populous Cities, Counties, and School Districts 4th Edition" (April 3, 2026). Reports that local governments levied $89.4 billion in property taxes in 2025, that taxing units reached almost 5,000 and that school district levies are the most burdensome; urges the 90th Legislature to strengthen the property tax revenue limitation and require a lower threshold for voter-approved tax rates. https://www.texaspolicy.com/just-the-facts-property-taxes-in-texas-most-populous-cities-counties-and-school-districts-4th-edition/
- Americans for Prosperity-Texas, "AFP-Texas Launches Task Force of Local Officials for Property Tax Reform" (March 11, 2026). Launches the Lone Star Property Tax Reform Council of local elected officials to push local spending caps, with Gov. Greg Abbott saying "out-of-control local spending has eroded billions of dollars" of the state's relief. https://americansforprosperity.org/press-release/afp-texas-launches-task-force-of-local-officials-for-property-tax-reform/
- Tax Foundation, "2026 State Tax Competitiveness Index" (Oct. 30, 2025). Ranks Texas 7th overall and 38th on property tax. https://taxfoundation.org/research/all/state/2026-state-tax-competitiveness-index/
- Texas Public Policy Foundation, James Quintero, "Stop the Steal: How to Prevent Local Governments from Eroding State-Directed Tax Relief" (Aug. 15, 2025). Argues that local rate hikes, frequent voter-approval tax rate elections, bonds and certificates of obligation have largely frustrated state relief since 2019; recommends cutting the voter-approval rate from 3.5% to 2.5% or lower, a local debt limit (local debt outstanding neared $500 billion in FY 2024) and limits on certificate-of-obligation debt, which rose 65% to $22.67 billion from FY 2014 to FY 2023. https://www.texaspolicy.com/wp-content/uploads/2025/08/2025-08-TPP-Stop-the-Steal-Special-Session-Quintero.pdf
- Texas Senate, Sen. Paul Bettencourt (R-Houston), "Bettencourt's SB 4 &amp; SB 23 Head to Gov's Desk, Part of $10 Billion in Property Tax Cuts &amp; Relief" (May 30, 2025). Announces the school homestead exemption rising from $100,000 to $140,000 (about $484 a year for 5.7 million homesteads) and the added over-65 and disabled exemption from $10,000 to $60,000, subject to the November 2025 constitutional amendment votes. https://senate.texas.gov/press.php?id=7-20250530a
- Cicero Institute, Goodman Institute and Institute for Policy Innovation (State Policy Network associates): no Texas property tax report since 2021 was found.
Linked list: 8 items on the Analyses sheet (filter State = Texas); every source URL is linked on the Sources sheet.</t>
        </is>
      </c>
      <c r="U44" s="4" t="inlineStr">
        <is>
          <t>1982: truth-in-taxation. 1997: 10% homestead appraisal cap. 2019: SB 2 (3.5% voter-approval rate, November elections) and HB 3 (school compression).
2023: SB 2 (second special session; $100,000 homestead exemption, 20% non-homestead circuit breaker for 2024-2026, compression), approved by voters as Proposition 4.
2025: SB 4 ($140,000 homestead), SB 23 ($60,000 for seniors and disabled) and HB 9 ($125,000 business personal property) approved as Propositions 13, 11 and 9 on Nov. 4, 2025. SB 10 (2.5% limit for large cities and counties) died on Sept. 2, 2025. The Legislature did not renew the 20% circuit breaker, which expires Dec. 31, 2026. Austin voters rejected Proposition Q, a city tax rate increase, on Nov. 4, 2025.
2026: Gov. Greg Abbott proposed a five-point plan for the 2027 session (June 30, 2026): local spending growth capped at the lower of population plus inflation or 3.5%; two-thirds voter approval for local property tax increases; a rollback election on petition of 15% of registered voters; appraisals every five years with the appraisal cap cut from 10% to 3% and extended to all property; and a constitutional amendment letting voters decide whether to end school district property taxes on homesteads. No interim law or special session changed property tax rules in 2026.
No Texas property tax measure is on the Nov. 3, 2026 ballot; the Legislature next meets in January 2027.</t>
        </is>
      </c>
      <c r="V44" s="4" t="inlineStr">
        <is>
          <t>44th (1.40% effective rate; 1.77% in 2010)</t>
        </is>
      </c>
      <c r="W44" s="4" t="inlineStr">
        <is>
          <t>Texas holds city and county M&amp;O revenue growth to 3.5% (8% for special districts) with automatic November elections, requires a 60% governing-body vote to exceed the no-new-revenue rate, caps homestead appraisals at 10%, and uses about $25.5 billion a year of state money to compress school rates and fund large homestead exemptions. Debt, unused increments, special districts and fast-growing big-city budgets keep total levies growing; the 20% cap on other real property expires at the end of 2026.</t>
        </is>
      </c>
      <c r="X44" s="4" t="inlineStr">
        <is>
          <t>https://www.comptroller.texas.gov/taxes/property-tax/truth-in-taxation/index.php
https://Comptroller.Texas.Gov/taxes/property-tax/docs/98-1080.pdf
https://capitol.texas.gov/BillLookup/History.aspx?LegSess=892&amp;Bill=SB10
https://www.ktsm.com/news/national-news/texas-house-approves-stricter-limits-on-cities-and-counties-when-it-comes-to-raising-property-taxes/amp/
https://www.gtlaw.com/en/insights/2025/11/election-day-update-texas-voters-approve-all-17-constitutional-amendments
https://excellentthought.substack.com/p/property-taxes-up-again-in-2024-despite
https://news.ballotpedia.org/2026/08/27/voters-in-seven-states-to-decide-13-property-tax-measures-in-2026/
https://www.lincolninst.edu/app/uploads/2024/10/truth_in_taxation_2024.xlsx
https://www2.census.gov/programs-surveys/gov-finances/tables/2022/22slsstab1.xlsx
https://texas.public.law/statutes/tex._tax_code_section_26.05
https://texas.public.law/statutes/tex._tax_code_section_23.231
https://www.ownwell.com/blog/texas-20-percent-appraisal-cap-expiration-2027
https://lbb.texas.gov/Documents/HAC_Summary_Recs/89R/8963_HAC_FSP_Property_Tax_Overview.pdf
https://preflight.houstontx.gov/council/committees/bfacommittee/20251007/revenue-cap.pdf
https://thetexan.news/issues/texas-taxes-spending/texas-largest-city-budgets-outpace-population-inflation-growth/article_df965de5-f3a4-4f5b-8f06-340786eafc65.html
https://communityimpact.com/north-central-austin/government/city-council-approves-austins-trimmed-budget-lower-tax-rate-following-prop-q-election/
https://austin.citycast.fm/local-civics/prop-q-fails-election-voting-turnout-election-austin
https://www.kwtx.com/2026/06/30/texas-gov-greg-abbott-touts-taxpayer-empowerment-property-tax-plan-bullard/
https://www.texaspolicy.com/these-12-small-mid-sized-cities-and-counties-are-threatening-huge-tax-hikes/
https://www.texaspolicy.com/just-the-facts-local-government-spending/
https://archive.commonsenseinstituteus.org/iowa/research/taxes-and-fees/iowa-leads-the-nation-in-property-tax-relief-ranking-state-reforms-of-the-past-decade
https://taxfoundation.org/research/all/state/2026-state-tax-competitiveness-index/</t>
        </is>
      </c>
    </row>
    <row r="45" ht="409" customHeight="1">
      <c r="A45" s="13" t="inlineStr">
        <is>
          <t>Utah</t>
        </is>
      </c>
      <c r="B45" s="4" t="inlineStr">
        <is>
          <r>
            <rPr>
              <rFont val="Carlito"/>
              <b val="1"/>
              <sz val="14"/>
            </rPr>
            <t>D.</t>
          </r>
          <r>
            <rPr>
              <rFont val="Carlito"/>
              <sz val="11"/>
            </rPr>
            <t xml:space="preserve">
Restriction points 6.25 of 18 (rate cap 2; truth in taxation 2; rollback 1; school districts covered 1; use restrictions 0.25). Deductions: built-in loopholes -1; workarounds in practice -0.5; state buydowns +0; data record +0. Total 4.75 = D (A 11+, B 8.5-10.9, C 5.5-8.4, D 3-5.4, F under 3).
Why: Built-in loopholes -1: after a compliant hearing a simple majority of the governing body may exceed the certified rate with no percentage cap or public vote, new growth adds revenue without a hearing, and debt and judgment levies sit outside the rate limits. Workarounds -0.5: 79 entities sought about $93.6 million in 2026, with Salt Lake City and Granite School District in their fourth straight year of increases, and HB 425 (2026) opens a utility-bill transportation fee; strict Tax Commission enforcement (35 increases denied in 2025) limits the damage. Buydowns 0: the state-funded circuit breaker is small. Record 0: a light burden (2.12% of personal income, 11th lowest; effective rate 0.49%, 9th lowest) offset by fast growth (real per-person collections up 34.9% in FY2002-FY2022 against 23.4% nationally; real homeowner bills up 30.8% in 2010-2024 against 9.3%, 47th).</t>
          </r>
        </is>
      </c>
      <c r="C45" s="4">
        <f>((LEFT(D45,3)="Yes")+(LEFT(E45,3)="Yes")+(LEFT(F45,3)="Yes")+(LEFT(G45,3)="Yes"))&amp;" of 4 in force"&amp;IF(((LEFT(D45,7)="Partial")+(LEFT(E45,7)="Partial")+(LEFT(F45,7)="Partial")+(LEFT(G45,7)="Partial"))&gt;0," + "&amp;((LEFT(D45,7)="Partial")+(LEFT(E45,7)="Partial")+(LEFT(F45,7)="Partial")+(LEFT(G45,7)="Partial"))&amp;" partial","")&amp;CHAR(10)&amp;CHAR(10)&amp;IF(LEFT(D45,3)="Yes","✓",IF(LEFT(D45,7)="Partial","◐","✗"))&amp;" Spending limit"&amp;CHAR(10)&amp;IF(LEFT(E45,3)="Yes","✓",IF(LEFT(E45,7)="Partial","◐","✗"))&amp;" Levy limit"&amp;CHAR(10)&amp;IF(LEFT(F45,3)="Yes","✓",IF(LEFT(F45,7)="Partial","◐","✗"))&amp;" Assessment cap"&amp;CHAR(10)&amp;IF(LEFT(G45,3)="Yes","✓",IF(LEFT(G45,7)="Partial","◐","✗"))&amp;" Rate cap"</f>
        <v/>
      </c>
      <c r="D45" s="4" t="inlineStr">
        <is>
          <r>
            <rPr>
              <rFont val="Carlito"/>
              <b val="1"/>
              <sz val="11"/>
            </rPr>
            <t>No.</t>
          </r>
          <r>
            <rPr>
              <rFont val="Carlito"/>
              <sz val="11"/>
            </rPr>
            <t xml:space="preserve">
No limit on growth in local spending. Revenue from the property tax is restrained through truth in taxation (see Truth-in-taxation).</t>
          </r>
        </is>
      </c>
      <c r="E45" s="4" t="inlineStr">
        <is>
          <r>
            <rPr>
              <rFont val="Carlito"/>
              <b val="1"/>
              <sz val="11"/>
            </rPr>
            <t>No.</t>
          </r>
          <r>
            <rPr>
              <rFont val="Carlito"/>
              <sz val="11"/>
            </rPr>
            <t xml:space="preserve">
No percentage cap on levy growth. Each year the certified tax rate holds property tax revenue from existing property at last year's budgeted amount, plus new growth; any increase requires the truth-in-taxation notice and hearing process, after which the governing body may adopt it by ordinary vote.</t>
          </r>
        </is>
      </c>
      <c r="F45" s="4" t="inlineStr">
        <is>
          <r>
            <rPr>
              <rFont val="Carlito"/>
              <b val="1"/>
              <sz val="11"/>
            </rPr>
            <t>No.</t>
          </r>
          <r>
            <rPr>
              <rFont val="Carlito"/>
              <sz val="11"/>
            </rPr>
            <t xml:space="preserve">
No cap on growth in assessed value; property is assessed at fair market value each year. Primary residences receive a 45% exemption from value (see Homestead).</t>
          </r>
        </is>
      </c>
      <c r="G45" s="4" t="inlineStr">
        <is>
          <r>
            <rPr>
              <rFont val="Carlito"/>
              <b val="1"/>
              <sz val="11"/>
            </rPr>
            <t>Yes.</t>
          </r>
          <r>
            <rPr>
              <rFont val="Carlito"/>
              <sz val="11"/>
            </rPr>
            <t xml:space="preserve">
Statutory maximum rates for each type of levy; for example, county general fund levies are limited to 0.0032 (3.2 mills) in counties with taxable value over $100 million and 0.0036 in smaller counties. The school district basic levy is set by the state. Debt service and specifically authorized levies sit outside the limits.
Authority: Utah Code §59-2-908 (county maximum levy); other levy types have their own statutory maximums.</t>
          </r>
        </is>
      </c>
      <c r="H45" s="4" t="inlineStr">
        <is>
          <r>
            <rPr>
              <rFont val="Carlito"/>
              <b val="1"/>
              <sz val="11"/>
            </rPr>
            <t>Yes.</t>
          </r>
          <r>
            <rPr>
              <rFont val="Carlito"/>
              <sz val="11"/>
            </rPr>
            <t xml:space="preserve">
School districts must levy the state-set basic rate for the Minimum School Program, and their local levies (board, voted and capital levies) are subject to rate limits and to truth in taxation like other entities. In 2025 six school districts accounted for $41.67 million of the $49.87 million in tax increases the Tax Commission denied for procedural noncompliance.</t>
          </r>
        </is>
      </c>
      <c r="I45" s="4" t="inlineStr">
        <is>
          <r>
            <rPr>
              <rFont val="Carlito"/>
              <b val="1"/>
              <sz val="11"/>
            </rPr>
            <t>Partial.</t>
          </r>
          <r>
            <rPr>
              <rFont val="Carlito"/>
              <sz val="11"/>
            </rPr>
            <t xml:space="preserve">
No state property tax for state purposes. The Legislature sets a statewide basic school levy that every school district must impose; the revenue stays with the district and counts toward the state-guaranteed Minimum School Program, so it works as a state-required local tax.</t>
          </r>
        </is>
      </c>
      <c r="J45" s="4" t="inlineStr">
        <is>
          <r>
            <rPr>
              <rFont val="Carlito"/>
              <b val="1"/>
              <sz val="11"/>
            </rPr>
            <t>Yes.</t>
          </r>
          <r>
            <rPr>
              <rFont val="Carlito"/>
              <sz val="11"/>
            </rPr>
            <t xml:space="preserve">
Residential exemption: 45% of the fair market value of a primary residence is exempt (the home is taxed on 55% of value). SB 238 (2026) tightens applications: owners must apply when a property was ineligible the year before, changes ownership or may no longer qualify (effective January 1, 2027). Veterans with service-connected disabilities and blind residents receive additional exemptions.
Authority: Utah Code §§59-2-103, 59-2-103.5.</t>
          </r>
        </is>
      </c>
      <c r="K45" s="4" t="inlineStr">
        <is>
          <r>
            <rPr>
              <rFont val="Carlito"/>
              <b val="1"/>
              <sz val="11"/>
            </rPr>
            <t>Yes.</t>
          </r>
          <r>
            <rPr>
              <rFont val="Carlito"/>
              <sz val="11"/>
            </rPr>
            <t xml:space="preserve">
Circuit breaker: older low-income homeowners (and certain surviving spouses) receive a credit on their property tax bill, from $197 to $1,259, with a 2025 household income limit of $42,623 indexed to inflation; renters receive a state refund of up to $2,000. A 2025 bill to phase out the homeowner circuit breaker (SB 197) was vetoed by Gov. Cox in March 2025. Counties also grant low-income abatements and deferrals.</t>
          </r>
        </is>
      </c>
      <c r="L45" s="4" t="inlineStr">
        <is>
          <r>
            <rPr>
              <rFont val="Carlito"/>
              <b val="1"/>
              <sz val="11"/>
            </rPr>
            <t>Partial.</t>
          </r>
          <r>
            <rPr>
              <rFont val="Carlito"/>
              <sz val="11"/>
            </rPr>
            <t xml:space="preserve">
The homeowner's credit (circuit breaker) for older low-income owners is applied by the county against the tax bill, and the state General Fund repays the county for the credits granted. Under a 2025 deferral program for elderly owners, the Tax Commission also reimburses counties for deferred taxes assessed through 2026, and owners repay the amount when the lien is satisfied. The Legislative Fiscal Analyst put the homeowner and renter credits combined at about $9.2 million a year in 2026; SB 78 (2026), which would have repealed them, failed in the House. The Minimum School Program and its basic levy are general school aid and do not count.
Authority: Utah Code §§ 59-2a-301 to 59-2a-305, 59-2a-901 to 59-2a-903; Legislative Fiscal Analyst fiscal note, 4th Sub. S.B. 78 (2026).</t>
          </r>
        </is>
      </c>
      <c r="M45" s="4" t="inlineStr">
        <is>
          <r>
            <rPr>
              <rFont val="Carlito"/>
              <b val="1"/>
              <sz val="11"/>
            </rPr>
            <t>Yes.</t>
          </r>
          <r>
            <rPr>
              <rFont val="Carlito"/>
              <sz val="11"/>
            </rPr>
            <t xml:space="preserve">
Each year the county auditor computes a certified tax rate that would raise the same revenue as last year plus new growth. A taxing entity that wants more must give notice (mailed notices with parcel-specific information for calendar-year entities such as counties, plus published notices) and hold a public hearing that begins at or after 6 p.m., on a date with no other general business, before adopting the higher rate. Since SB 29 (2024) and SB 202 (2025), the Tax Commission reviews compliance and must deny any increase that misses a required step; SB 238 (2026) requires entities to send compliance evidence within 7 days of adopting the budget and gives the commission 30 days to act. HB 236 (2026) requires cities, school districts and some special service districts to give the public earlier notice that they may raise property taxes, and to operate on an interim budget until they adopt an increase at a truth-in-taxation meeting (passed House 67-0, Senate 28-0). Utah enacted truth in taxation in 1985 at the request of the Utah Taxpayers Association (ALEC).
Authority: Utah Code §59-2-919; SB 29 (2024); SB 202 (2025); SB 238 (2026); HB 236 (2026).</t>
          </r>
        </is>
      </c>
      <c r="N45" s="4" t="inlineStr">
        <is>
          <r>
            <rPr>
              <rFont val="Carlito"/>
              <b val="1"/>
              <sz val="11"/>
            </rPr>
            <t>Yes.</t>
          </r>
          <r>
            <rPr>
              <rFont val="Carlito"/>
              <sz val="11"/>
            </rPr>
            <t xml:space="preserve">
The certified tax rate falls automatically as values rise, so revenue from existing property stays flat unless an entity completes the truth-in-taxation process.
Authority: Utah Code §59-2-924.</t>
          </r>
        </is>
      </c>
      <c r="O45" s="4" t="inlineStr">
        <is>
          <r>
            <rPr>
              <rFont val="Carlito"/>
              <b val="1"/>
              <sz val="11"/>
            </rPr>
            <t>No.</t>
          </r>
          <r>
            <rPr>
              <rFont val="Carlito"/>
              <sz val="11"/>
            </rPr>
            <t xml:space="preserve">
Rates above the certified rate are adopted by simple majority after the hearing; voted leeway levies and bonds pass by simple majority of voters. Pending: Constitutional Amendment B on the Nov. 3, 2026 ballot (SJR 2, 2025) would require at least 60% voter approval for citizen initiatives that raise taxes, including a property tax rate change that cuts the rate less than current law would; it does not reach votes of local governing bodies.</t>
          </r>
        </is>
      </c>
      <c r="P45" s="4" t="inlineStr">
        <is>
          <r>
            <rPr>
              <rFont val="Carlito"/>
              <b val="1"/>
              <sz val="11"/>
            </rPr>
            <t>No.</t>
          </r>
          <r>
            <rPr>
              <rFont val="Carlito"/>
              <sz val="11"/>
            </rPr>
            <t xml:space="preserve">
Increases above the certified rate are adopted by governing bodies after hearings; no referendum or election date rule applies to them.</t>
          </r>
        </is>
      </c>
      <c r="Q45" s="4" t="inlineStr">
        <is>
          <r>
            <rPr>
              <rFont val="Carlito"/>
              <b val="1"/>
              <sz val="11"/>
            </rPr>
            <t>Partial.</t>
          </r>
          <r>
            <rPr>
              <rFont val="Carlito"/>
              <sz val="11"/>
            </rPr>
            <t xml:space="preserve">
Levies are authorized by purpose (general fund, debt service, school capital and voted levies, judgment levies), and judgment levies must be advertised and itemized. General county and city levies are unrestricted.
Authority: Utah Code §59-2-918.5.</t>
          </r>
        </is>
      </c>
      <c r="R45" s="4" t="inlineStr">
        <is>
          <t>29 counties; 254 municipalities; 41 school districts; 308 special districts in the Census count, including cemetery, conservation, water, sewer, drainage, health and fire districts and other local and special service districts. Census of Governments 2022: 632 local governments.</t>
        </is>
      </c>
      <c r="S45" s="4" t="inlineStr">
        <is>
          <t>Verdict: Failed. Property tax per person rose 34.1% after inflation from FY2002 to FY2024, above the U.S. figure of 25.9%, ranking Utah 17th of 50 for growth.
Why it leaks: Utah has no percentage cap on levies or assessments. Truth in taxation (Utah Code §59-2-919) offers transparency and accountability, but after a compliant hearing a simple majority of the governing body can raise the rate, with no vote of the people. New growth adds revenue every year without a hearing, and debt service sits outside the rate limits.
How localities get around it: Salt Lake City sought a 12.5% increase in 2026 in its fourth straight year with a truth-in-taxation hearing, and Granite School District sought $21.1 million, also in its fourth straight year. HB 425 (2026) gives cities a way to add a transportation fee to utility bills.
Full record:
Truth in taxation offers transparency and accountability: revenue from existing property is frozen each year unless an entity gives notice and holds a hearing, and since 2025 the Tax Commission voids increases that miss any step. After a compliant hearing, though, a simple majority of the governing body can raise taxes, and many entities do so year after year. The Tax Foundation's 2026 index ranks Utah 14th on property tax (15th overall).
The record (Census, BEA, ACS): state and local property tax was $1,428 per person in FY2024 (U.S. $2,132), 2.12% of personal income (40th-highest of 50; U.S. 2.89%). After inflation, collections per person (all state and local property tax divided by residents) rose 34.1% from FY2002 to FY2024 (U.S. +25.9%) and rose 1.4% from FY2019 to FY2024 (U.S. -1.1%). The median homeowner paid $2,648 in 2024 (U.S. $3,211); the median bill rose 30.8% after inflation from 2010 to 2024 (U.S. +9.3%). The Tax Foundation's 2026 ranking puts its effective property tax rate on owner-occupied homes at 0.48%, 3rd-lowest of 50. By the same measure it was 0.57% in 2010 (U.S. 1.00% in 2010, 0.94% in 2024).
Hearings: 79 entities scheduled August 2026 truth-in-taxation hearings on proposed increases totaling about $93.6 million (Utah News Dispatch list of 2026 notices). In 2025 the Tax Commission approved increases for 28 entities and denied 35 that sought $49.87 million (Deseret News).
Salt Lake City: requested a 12.5% property tax increase in 2026 to raise about $13 million, pairing it with $13 million in cuts to close a $26 million deficit (KSL). The 2026 list shows the rate rising from the certified 0.003216 to 0.003481, $102.46 a year on the average home, in the city's fourth straight year with a truth-in-taxation hearing.
Schools: Granite School District sought $21.1 million (6.85% on the average home), also its fourth straight year, and Canyons School District sought $6.9 million. In 2025 six school districts accounted for $41.67 million of the $49.87 million in increases the Tax Commission denied.
Suburbs and towns: in Salt Lake County, Cottonwood Heights proposed a 36.31% increase on the average home and Draper 25.06%; KSL reported proposals of 506% in Ogden Valley and 220.9% in Eagle Mountain.
Fees: HB 425 (2026) sets up a way for cities to add a transportation fee to utility bills through a process modeled on truth in taxation, with the fee expiring after 10 years (Utah Taxpayers Association).
Built-in openings: new growth adds revenue every year without a hearing; debt service and judgment levies sit outside the rate limits; there is no percentage cap or vote of the people on increases.
Long run: ALEC (2019) reports Utah moved from 24th to 36th among states in property taxes per $1,000 of personal income after the 1985 law (a lighter relative burden), while inflation-adjusted property tax revenue grew 132% against 86% population growth.
Revenue shift: local governments lean on sales taxes, which supply 37% of local tax revenue (Census FY2022); fees and charges are 40% of local own-source revenue. Property tax is 60% of local tax revenue.</t>
        </is>
      </c>
      <c r="T45" s="4" t="inlineStr">
        <is>
          <t>- Utah Taxpayers Association, "See Who Is Proposing a Property Tax Increase" (Aug. 3, 2026). The association's 2026 truth-in-taxation list puts the largest increases on an average home in Ogden Valley City ($640.51) and Hildale ($448.47); the biggest revenue requests are Granite School District (about $21.1 million) and Salt Lake City ($13.8 million). Salt Lake City, West Jordan, West Valley City, Midvale and Granite School District are holding a truth-in-taxation hearing for the fourth consecutive year. https://utahtaxpayers.org/see-who-is-proposing-a-property-tax-increase/
- Utah Taxpayers Association, "2026 Legislative Scorecard" (March 2026). Scores the 2026 session's tax votes, including HB 236 (earlier public notice of property tax increases and an interim budget until an increase is adopted; passed House 67-0, Senate 28-0), HB 170 (a taxpayer referendum on school board tax increases; passed House 50-21, failed Senate 9-15), HB 425 (a utility-bill transportation fee with a truth-in-taxation-style process) and SB 238 (residential exemption applications and notice content). https://utahtaxpayers.org/wp-content/uploads/2026/03/Legislative-Scorecard-2026-v2.pdf
- Utah House of Representatives (Republican majority), Rep. Karen Peterson and Utah Taxpayers Association President Billy Hesterman, "Opinion: It's Time to Make Truth in Taxation Work Better" (Jan. 14, 2026). Proposes that local governments considering a tax increase notify the public at least a month before finalizing budgets and operate from July 1 on a baseline budget built on existing revenue; a second budget with the increase could be adopted only after the truth-in-taxation hearing. Rep. Peterson carried the plan as HB 236. https://house.utleg.gov/opinion-its-time-to-make-truth-in-taxation-work-better/
- Tax Foundation, "2026 State Tax Competitiveness Index" (Oct. 30, 2025). Ranks Utah 15th overall and 14th on property tax. https://taxfoundation.org/research/all/state/2026-state-tax-competitiveness-index/
- National Taxpayers Union, Matthew Putnam, "Opinion: Don't undermine 40 years of success with tax hikes" (Aug. 8, 2025). Marks 40 years of Utah's 1985 Truth in Taxation law, "one of the most effective and long-standing property tax policies in the country," and cites Tax Foundation data that Utah had the seventh-lowest property tax in 2021 and the fourth-lowest effective rate in 2023. Argues assessment limits and other hard caps hamstring local governments or distort assessments, and urges taxpayers at the 2025 hearings to accept only projects "with a clearly defined public benefit, budgeted as tightly as possible." https://www.deseret.com/opinion/2025/08/08/utah-tax-hike-hurts-40-years-policy-success
- Utah Taxpayers Association, Billy Hesterman, "President's Message June 2025 – Keeping Property Taxes Affordable" (May 29, 2025). Opposes a Utah Republican Party convention resolution calling for a California-style acquisition-value system; under Truth in Taxation, Utah fell from 23rd highest in property tax collections per $1,000 of personal income in FY 1980 ($34.84) to 35th ($23.54). Points to school districts, which collected 59% of 2023 property taxes and grew collections from about $1.37 billion in FY2014 to $2.86 billion in FY2022 while enrollment rose 4.5%, and asks lawmakers and school boards to examine school budgets. https://utahtaxpayers.org/presidents-message-june-2025-keeping-property-taxes-affordable/
- Libertas Institute, "SB 29: More “Truth” in Truth in Taxation" (Jan. 26, 2024). Backs Sen. Chris Wilson's bill requiring notices of proposed increases to state the dollar amount the increase will raise and its primary purpose, with the same disclosure at the public hearing, and allowing county auditors to audit compliance. Calls the 1985 law "a success." https://libertas.institute/bill/sb-29-more-truth-in-truth-in-taxation/
- Libertas Institute, Ben Shelton and Danny Harris (AARP Utah), "Elderly people shouldn't become homeless because of property taxes" (Feb. 22, 2022). Cites 2019 increases of 25% to 70% in Ogden and Brigham City and up to 130% in Charleston and Joseph, and backs SB 25, a deferral program letting homeowners 75 or older with income below $65,000 put off property taxes until the home is sold or transferred, repaid with interest. Argues the deferral protects county revenue and "does not create long-term costs to other taxpayers." https://libertas.institute/op-eds/elderly-people-shouldnt-become-homeless-because-of-property-taxes/
- American Legislative Exchange Council, Sen. Howard Stephenson, "Utah's Truth-in-Taxation for Property Taxes" (July 23, 2019). The defining explanation of the law: "Truth-in-Taxation is Utah's most taxpayer-friendly law," enacted in 1985 at the request of the Utah Taxpayers Association; the certified rate falls as values rise, and Utah moved from 24th to 36th in property taxes per $1,000 of personal income, though inflation-adjusted property taxes grew 132% while population grew 86%. https://alec.org/article/utahs-truth-in-taxation-for-property-taxes/
- Sutherland Institute (State Policy Network affiliate): no property tax report since 2021 was found.
- Abundance Institute and Center for Growth and Opportunity (State Policy Network associates): no Utah property tax report since 2021 was found.
Linked list: 9 items on the Analyses sheet (filter State = Utah); every source URL is linked on the Sources sheet.</t>
        </is>
      </c>
      <c r="U45" s="4" t="inlineStr">
        <is>
          <t>1985: truth in taxation enacted at the request of the Utah Taxpayers Association. 2024: SB 29 (compliance rules). 2025: SB 202 (Tax Commission must deny noncompliant increases); SB 197 (circuit breaker phase-out) vetoed.
2026: SB 238 (hearing and compliance timing; residential exemption applications), effective May 6, 2026, with exemption changes from January 1, 2027. HB 236 (earlier notice of possible increases; interim budget until an increase is adopted) passed House 67-0 and Senate 28-0. HB 425 (city transportation fee on utility bills, 10-year expiration) passed House 68-0 and Senate 26-0. HB 170 (taxpayer referendum on school board tax increases) passed the House 50-21 but failed in the Senate 9-15. A bill to cap tax increases at a small percentage stalled after the Utah League of Cities and Towns objected (KSL).
Nov. 3, 2026 ballot: Constitutional Amendment B (SJR 2, 2025; Senate 21-8) would require at least 60% voter approval for citizen initiatives that impose or raise taxes, including a property tax rate change that cuts the rate less than current law would.</t>
        </is>
      </c>
      <c r="V45" s="4" t="inlineStr">
        <is>
          <t>3rd (0.48% effective rate; 0.57% in 2010)</t>
        </is>
      </c>
      <c r="W45" s="4" t="inlineStr">
        <is>
          <t>Utah freezes property tax revenue from existing property every year through its certified tax rate; increases require mailed or published notice and an evening hearing, and since 2025 the Tax Commission voids increases that miss any step (35 denied in 2025). There is no percentage cap, homes are taxed on 55% of value, and 79 entities sought about $93.6 million in increases in 2026, Salt Lake City and Granite School District for the fourth straight year. Amendment B on the Nov. 3, 2026 ballot would require 60% voter approval for tax-raising citizen initiatives.</t>
        </is>
      </c>
      <c r="X45" s="4" t="inlineStr">
        <is>
          <t>https://www.deseret.com/utah/2025/10/02/utah-tax-officials-deny-tax-hikes-from-35-cities-school-districts-and-other-entities/
https://www.kuer.org/politics-government/2025-03-24/phase-out-of-utahs-circuit-breaker-tax-relief-might-be-a-mixed-bag-for-seniors
https://le.utah.gov/Session/2026/bills/enrolled/SB0238.pdf
https://www.ksl.com/article/51357666/these-utah-cities-school-districts-other-entities-are-seeking-property-tax-hikes
https://news.ballotpedia.org/2026/08/27/voters-in-seven-states-to-decide-13-property-tax-measures-in-2026/
https://apps.lincolninst.edu/uploads/summary-tables/rate-limits-summary-tables/rate-limits-2022-4.xlsx
https://www.lincolninst.edu/app/uploads/2024/10/truth_in_taxation_2024.xlsx
https://www2.census.gov/programs-surveys/gov-finances/tables/2022/22slsstab1.xlsx
https://utahnewsdispatch.com/wp-content/uploads/2026/08/2026-Truth-in-Taxation-list-Sheet1-2.pdf
https://www.ksl.com/article/news/politics/why-are-your-taxes-increasing-numerous-utah-cities-pursue-property-tax-hikes/51546349
https://utahtaxpayers.org/wp-content/uploads/2026/03/Legislative-Scorecard-2026-v2.pdf
https://alec.org/article/utahs-truth-in-taxation-for-property-taxes/
https://news.ballotpedia.org/2025/03/10/utah-legislature-refers-a-constitutional-amendment-to-2026-ballot-that-would-require-initiatives-making-tax-changes-to-receive-a-60-vote-of-approval/
https://www.daviscountyutah.gov/Sitefinity/WebsiteTemplates/ClerkAuditor/2026%20General%20Notice.pdf
https://le.utah.gov/Session/2026/bills/enrolled/HB0236.pdf
https://taxfoundation.org/research/all/state/2026-state-tax-competitiveness-index/
https://le.utah.gov/xcode/Title59/Chapter2/59-2-S908.html</t>
        </is>
      </c>
    </row>
    <row r="46" ht="409" customHeight="1">
      <c r="A46" s="13" t="inlineStr">
        <is>
          <t>Vermont</t>
        </is>
      </c>
      <c r="B46" s="4" t="inlineStr">
        <is>
          <r>
            <rPr>
              <rFont val="Carlito"/>
              <b val="1"/>
              <sz val="14"/>
            </rPr>
            <t>F.</t>
          </r>
          <r>
            <rPr>
              <rFont val="Carlito"/>
              <sz val="11"/>
            </rPr>
            <t xml:space="preserve">
Restriction points 2.75 of 18 (spending limit 2; school districts covered 0.5; use restrictions 0.25). Deductions: built-in loopholes -1; workarounds in practice -0.5; state buydowns -1.5; data record -1. Total -1.25 = F (A 11+, B 8.5-10.9, C 5.5-8.4, D 3-5.4, F under 3).
Why: Built-in loopholes -1: the only standing check (excess spending threshold) starts at 118% of the statewide average, and the Act 73 cap was delayed by Act 170 to 2029 and made contingent on more legislation. Workarounds -0.5: budgets pass by simple majority and the statewide pool spreads a district's added spending to all taxpayers. Buydowns -1.5: one-time rate buy-downs of $118 million (FY2026) and $104.9 million (FY2027) equal about 5.3% and 4.7% of FY2024 collections ($2.24 billion), before the state-paid credit. Record -1: 4.79% of personal income (49th), real per-person growth of 50.1% from FY2002 to FY2022 against 23.4% nationally and a 1.42% effective rate.</t>
          </r>
        </is>
      </c>
      <c r="C46" s="4">
        <f>((LEFT(D46,3)="Yes")+(LEFT(E46,3)="Yes")+(LEFT(F46,3)="Yes")+(LEFT(G46,3)="Yes"))&amp;" of 4 in force"&amp;IF(((LEFT(D46,7)="Partial")+(LEFT(E46,7)="Partial")+(LEFT(F46,7)="Partial")+(LEFT(G46,7)="Partial"))&gt;0," + "&amp;((LEFT(D46,7)="Partial")+(LEFT(E46,7)="Partial")+(LEFT(F46,7)="Partial")+(LEFT(G46,7)="Partial"))&amp;" partial","")&amp;CHAR(10)&amp;CHAR(10)&amp;IF(LEFT(D46,3)="Yes","✓",IF(LEFT(D46,7)="Partial","◐","✗"))&amp;" Spending limit"&amp;CHAR(10)&amp;IF(LEFT(E46,3)="Yes","✓",IF(LEFT(E46,7)="Partial","◐","✗"))&amp;" Levy limit"&amp;CHAR(10)&amp;IF(LEFT(F46,3)="Yes","✓",IF(LEFT(F46,7)="Partial","◐","✗"))&amp;" Assessment cap"&amp;CHAR(10)&amp;IF(LEFT(G46,3)="Yes","✓",IF(LEFT(G46,7)="Partial","◐","✗"))&amp;" Rate cap"</f>
        <v/>
      </c>
      <c r="D46" s="4" t="inlineStr">
        <is>
          <r>
            <rPr>
              <rFont val="Carlito"/>
              <b val="1"/>
              <sz val="11"/>
            </rPr>
            <t>Partial.</t>
          </r>
          <r>
            <rPr>
              <rFont val="Carlito"/>
              <sz val="11"/>
            </rPr>
            <t xml:space="preserve">
No hard limit is in force. Voters approve each school budget, and the state education tax rises to fund what districts spend. The only standing check is the excess spending threshold: per-pupil education spending above 118% of the statewide average district per-pupil spending (FY2025 base, increased by inflation) is "excess spending" in the education tax calculation. Act 73 (2025) enacted a foundation formula (base amount $15,033 per weighted pupil) with a cap on locally voted supplemental spending. Act 170 (2026) moved the start to July 1, 2029 (FY2030) and made the formula and the statewide tax rate contingent on further legislation in 2027 and 2028. The supplemental cap would be 10% of the unweighted formula amount from 2029-30 through 2033-34, stepping down to 5% in 2038-39. Town budgets have no state limit.
Authority: 32 V.S.A. 5401(12); Act 73 of 2025; Act 170 of 2026 (H.955).</t>
          </r>
        </is>
      </c>
      <c r="E46" s="4" t="inlineStr">
        <is>
          <r>
            <rPr>
              <rFont val="Carlito"/>
              <b val="1"/>
              <sz val="11"/>
            </rPr>
            <t>No.</t>
          </r>
          <r>
            <rPr>
              <rFont val="Carlito"/>
              <sz val="11"/>
            </rPr>
            <t xml:space="preserve">
No cap on growth in municipal or education property tax levies. The state sets education tax rates each year from the spending districts adopt.</t>
          </r>
        </is>
      </c>
      <c r="F46" s="4" t="inlineStr">
        <is>
          <r>
            <rPr>
              <rFont val="Carlito"/>
              <b val="1"/>
              <sz val="11"/>
            </rPr>
            <t>No.</t>
          </r>
          <r>
            <rPr>
              <rFont val="Carlito"/>
              <sz val="11"/>
            </rPr>
            <t xml:space="preserve">
No cap on growth in assessed value. Towns reappraise when ordered, and the state equalizes education tax rates with each town's common level of appraisal.</t>
          </r>
        </is>
      </c>
      <c r="G46" s="4" t="inlineStr">
        <is>
          <r>
            <rPr>
              <rFont val="Carlito"/>
              <b val="1"/>
              <sz val="11"/>
            </rPr>
            <t>No.</t>
          </r>
          <r>
            <rPr>
              <rFont val="Carlito"/>
              <sz val="11"/>
            </rPr>
            <t xml:space="preserve">
No limit on municipal or education tax rates.</t>
          </r>
        </is>
      </c>
      <c r="H46" s="4" t="inlineStr">
        <is>
          <r>
            <rPr>
              <rFont val="Carlito"/>
              <b val="1"/>
              <sz val="11"/>
            </rPr>
            <t>Partial.</t>
          </r>
          <r>
            <rPr>
              <rFont val="Carlito"/>
              <sz val="11"/>
            </rPr>
            <t xml:space="preserve">
School budgets are voted by residents (most at Town Meeting in March) and funded through the statewide education tax, so higher spending in a district raises that district's homestead rate. The excess spending threshold (118% of the inflation-adjusted statewide average per pupil) is the only standing check. The supplemental spending cap of Act 73, as amended by Act 170 (2026), would apply from July 1, 2029, if the Legislature enacts the required follow-up legislation.
Authority: 32 V.S.A. 5401(12); Act 73 of 2025; Act 170 of 2026.</t>
          </r>
        </is>
      </c>
      <c r="I46" s="4" t="inlineStr">
        <is>
          <r>
            <rPr>
              <rFont val="Carlito"/>
              <b val="1"/>
              <sz val="11"/>
            </rPr>
            <t>Yes.</t>
          </r>
          <r>
            <rPr>
              <rFont val="Carlito"/>
              <sz val="11"/>
            </rPr>
            <t xml:space="preserve">
Statewide education property tax (Act 60 of 1997, Act 68 of 2003): a state tax on homestead and nonhomestead property, collected by towns and paid into the state Education Fund, which pays each district's voted budget. Homestead rates vary with each district's per-pupil spending; the nonhomestead rate is uniform statewide. In FY2022 the Census counted $1.24 billion of state property tax, more than all local property taxes ($825 million). This tax replaced local school property taxes.
Authority: 32 V.S.A. ch. 135; Act 60 (1997); Act 68 (2003).</t>
          </r>
        </is>
      </c>
      <c r="J46" s="4" t="inlineStr">
        <is>
          <r>
            <rPr>
              <rFont val="Carlito"/>
              <b val="1"/>
              <sz val="11"/>
            </rPr>
            <t>Partial.</t>
          </r>
          <r>
            <rPr>
              <rFont val="Carlito"/>
              <sz val="11"/>
            </rPr>
            <t xml:space="preserve">
Owners file a homestead declaration that places their home in the homestead class, taxed at the district's homestead education rate. Low- and moderate-income homesteads receive the property tax credit (see Credits). Veterans' exemptions are set by statute and town vote.</t>
          </r>
        </is>
      </c>
      <c r="K46" s="4" t="inlineStr">
        <is>
          <r>
            <rPr>
              <rFont val="Carlito"/>
              <b val="1"/>
              <sz val="11"/>
            </rPr>
            <t>Yes.</t>
          </r>
          <r>
            <rPr>
              <rFont val="Carlito"/>
              <sz val="11"/>
            </rPr>
            <t xml:space="preserve">
Property tax credit for homesteads, based on household income: up to $5,600 against the state education tax and $2,400 against the municipal tax, applied to the property tax bill. Household income must be $115,400 or less (tax year 2025). Act 169 of 2026 (H.949) raised the income level for the fullest credits from $47,000 to $50,000, the first update to the circuit breaker since 1997, and raised the maximum renter credit from $2,500 to $3,250 for one year.
Authority: 32 V.S.A. ch. 154; Act 169 of 2026.</t>
          </r>
        </is>
      </c>
      <c r="L46" s="4" t="inlineStr">
        <is>
          <r>
            <rPr>
              <rFont val="Carlito"/>
              <b val="1"/>
              <sz val="11"/>
            </rPr>
            <t>Yes.</t>
          </r>
          <r>
            <rPr>
              <rFont val="Carlito"/>
              <sz val="11"/>
            </rPr>
            <t xml:space="preserve">
The state General Fund pays each town a hold harmless payment equal to the municipal property tax lost on land enrolled in the current use (use value appraisal) program: $19.77 million for FY2025, with FY2027 payments issued about November 1, 2026. The state also lowers the statewide education property tax rates with one-time General Fund transfers to the Education Fund: $77.8 million for FY2026 and $100.9 million for FY2027, which held the average FY2027 bill increase to about 3.5% under Act 169 of 2026 (H.949). The income-sensitized homestead property tax credit, $134.2 million for FY2027, is applied on the bills of eligible lower-income homeowners and paid from the Education Fund. Dedicated sales and other tax revenue in the Education Fund is general education funding and does not count.
Authority: 32 V.S.A. § 3760; 32 V.S.A. ch. 154; Act 169 of 2026 (H.949); FY2027 appropriations act; Joint Fiscal Office, Education Fund Outlook (May 2026).</t>
          </r>
        </is>
      </c>
      <c r="M46" s="4" t="inlineStr">
        <is>
          <r>
            <rPr>
              <rFont val="Carlito"/>
              <b val="1"/>
              <sz val="11"/>
            </rPr>
            <t>No.</t>
          </r>
          <r>
            <rPr>
              <rFont val="Carlito"/>
              <sz val="11"/>
            </rPr>
            <t/>
          </r>
        </is>
      </c>
      <c r="N46" s="4" t="inlineStr">
        <is>
          <r>
            <rPr>
              <rFont val="Carlito"/>
              <b val="1"/>
              <sz val="11"/>
            </rPr>
            <t>No.</t>
          </r>
          <r>
            <rPr>
              <rFont val="Carlito"/>
              <sz val="11"/>
            </rPr>
            <t xml:space="preserve">
No rollback rate; education tax rates follow spending and the yield set by the Legislature.</t>
          </r>
        </is>
      </c>
      <c r="O46" s="4" t="inlineStr">
        <is>
          <r>
            <rPr>
              <rFont val="Carlito"/>
              <b val="1"/>
              <sz val="11"/>
            </rPr>
            <t>No.</t>
          </r>
          <r>
            <rPr>
              <rFont val="Carlito"/>
              <sz val="11"/>
            </rPr>
            <t xml:space="preserve">
School and town budgets pass by simple majority at Town Meeting or by Australian ballot.</t>
          </r>
        </is>
      </c>
      <c r="P46" s="4" t="inlineStr">
        <is>
          <r>
            <rPr>
              <rFont val="Carlito"/>
              <b val="1"/>
              <sz val="11"/>
            </rPr>
            <t>No.</t>
          </r>
          <r>
            <rPr>
              <rFont val="Carlito"/>
              <sz val="11"/>
            </rPr>
            <t xml:space="preserve">
School and town budgets are voted at Town Meeting (the first Tuesday in March) or at later revotes.</t>
          </r>
        </is>
      </c>
      <c r="Q46" s="4" t="inlineStr">
        <is>
          <r>
            <rPr>
              <rFont val="Carlito"/>
              <b val="1"/>
              <sz val="11"/>
            </rPr>
            <t>Partial.</t>
          </r>
          <r>
            <rPr>
              <rFont val="Carlito"/>
              <sz val="11"/>
            </rPr>
            <t xml:space="preserve">
Statewide education tax revenue is dedicated to the Education Fund. Municipal property taxes are unrestricted.</t>
          </r>
        </is>
      </c>
      <c r="R46" s="4" t="inlineStr">
        <is>
          <t>14 counties (with few functions); 237 towns and 40 cities and incorporated villages (Census counts); 121 school districts in the Census count, many in supervisory unions, which Act 73 directs into larger districts; 162 special districts, including fire districts and water districts. Census of Governments 2022: 574 local governments.</t>
        </is>
      </c>
      <c r="S46" s="4" t="inlineStr">
        <is>
          <t>Verdict: Failed. Property tax per person rose 48.5% after inflation from FY2002 to FY2024, against 25.9% for the U.S., the fifth-fastest of any state. One-time state buy-downs of $118 million for FY2026 and $104.9 million for FY2027 also count against Vermont.
Why it leaks: Vermont has no cap on levies or tax rates. The state sets education tax rates each year to fund what districts spend, and the Education Fund spreads each district's added spending across taxpayers statewide. The only standing check (32 V.S.A. 5401(12)) starts at 118% of the statewide average per pupil, and Act 170 (2026) pushed the Act 73 spending cap back to July 1, 2029.
How localities get around it: School districts added $115 million in education spending for FY2027. Their budgets pass by simple majority at Town Meeting, and budgets that fail return for revotes.
Full record:
Vermont has no binding limit on property taxes; the one spending cap it enacted keeps moving further out while the state covers increases with one-time money.
The record (Census, BEA, ACS): state and local property tax was $3,465 per person in FY2024 (U.S. $2,132), 4.79% of personal income (2nd-highest of 50; U.S. 2.89%). After inflation, collections per person (all state and local property tax divided by residents) rose 48.5% from FY2002 to FY2024 (U.S. +25.9%) and fell 0.5% from FY2019 to FY2024 (U.S. -1.1%). The median homeowner paid $5,026 in 2024 (U.S. $3,211); the median bill fell 0.0% after inflation from 2010 to 2024 (U.S. +9.3%). The Tax Foundation's 2026 ranking puts its effective property tax rate on owner-occupied homes at 1.51%, 47th-lowest of 50. By the same measure it was 1.49% in 2010 (U.S. 1.00% in 2010, 0.94% in 2024).
Rate letter: the December 1, 2025 letter projected an 11.9% average increase in education tax bills for FY2027, with school districts adding $115 million in education spending and per-pupil spending up 6.8%.
State money: the Legislature then spent $104.9 million of one-time General Fund money to hold the FY2027 average increase to about 3.5%, after a $118 million buy-down for FY2026. The one-time money will not recur (Vermont Business Magazine).
Delayed cap: Act 170 (2026) pushed the foundation formula and supplemental spending cap from July 1, 2028 to July 1, 2029 and made both contingent on more legislation in 2027 and 2028; the cap starts at 10% and reaches 5% only in 2038-39.
High threshold: the excess spending check applies only above 118% of the statewide average per pupil, so a district can grow spending well above the state average before it applies.
Shared pool: a district's added spending is paid partly by taxpayers statewide through the Education Fund and the uniform nonhomestead rate ($1.643 per $100 for FY2027).
Simple majorities: school and town budgets pass by simple majority at Town Meeting or by Australian ballot, and failed budgets return for revotes.
Property tax is 95% of local tax revenue (Census FY2022), and the state education tax raises more than all local property taxes combined.</t>
        </is>
      </c>
      <c r="T46" s="4" t="inlineStr">
        <is>
          <t>- Fiscal Alliance Foundation (State Policy Network affiliate), William Ruger and Jason Sorens, "Locked In: The Economic and Fiscal Effects of Vermont's Proposal 3" (Oct. 6, 2026). White paper on the Nov. 3, 2026 collective-bargaining amendment; using $4.1 billion in state and local employee compensation as a base, it estimates $53 million to $135 million a year in added public-sector costs and $140 to $352 a year in higher property taxes on a $400,000 home. https://fiscalalliancefoundation.org/proposal3/
- Fiscal Alliance Foundation, "Vermont poll finds broad affordability concerns across party lines" (Sept. 3, 2026). A poll of 600 Vermont voters (Advantage, Inc., Aug. 24-27, 2026) finds 61% say household income is not keeping pace with costs that include housing and property taxes, and 42.5% say Vermont spends too much on public education after seeing per-pupil spending, property tax and outcome data. Seventy percent say tax relief means reducing the taxes people pay, while 30% count slower increases; Executive Director Paul Diego Craney says lowering the burden "requires reduced spending." https://fiscalalliancefoundation.org/vermont-affordability-poll
- Fiscal Alliance Foundation, Vermont chapter launch page (2026). Says Vermont property taxes "have increased 30% faster than the national average to pay for a system that is broken" and calls for fiscal accountability in education finance. https://fiscalalliancefoundation.org/vermont.html
- Americans for Prosperity, "AFP Responds to Governor Phil Scott's State of the State Address" (Jan. 8, 2026). Northeast Region Director Ross Connolly says the status quo in Vermont education is unsustainable for students and taxpayers and that "meaningful tax relief must be provided to Vermont families"; calls for reforms that let funding follow students and reduce spending waste "while simultaneously keeping property taxes in check," and says redistricting school districts alone will not remove the burden on property owners. https://americansforprosperity.org/press-release/afp-responds-to-governor-phil-scotts-state-of-the-state-address/
- Vermont Senate and House Republican leaders, Sen. Scott Beck and Rep. Pattie McCoy, "House and Senate Response to Education Tax Letter" (Dec. 1, 2025). Responding to the projected 11.9% average education property tax increase, with school spending up $115 million and per-pupil spending up nearly $1,000 (6.8%), they say the increases are "more than double inflation" and that Vermonters see "diminishing returns" despite nearly the highest per-pupil spending in the nation and the country's highest staffing ratio (3.4:1). Call the Act 73 foundation formula "a step in the right direction." Statement printed in Vermont Business Magazine. https://vermontbiz.com/node/240664
- Tax Foundation, "2026 State Tax Competitiveness Index" (Oct. 30, 2025). Ranks Vermont 42nd overall and 50th, the worst, on property tax. https://taxfoundation.org/research/all/state/2026-state-tax-competitiveness-index/
- Ethan Allen Institute, David Flemming, "Property Tax Limits: a Modest Proposal from 46 States" (July 16, 2021). Notes Vermont is one of four states with no property tax limit (with Hawaii, New Hampshire and Tennessee) and has the fourth-highest property tax rate (1.76%, Tax Foundation); urges adopting a rate, levy or assessment limit as a first step. https://www.ethanallen.org/a_modest_proposal_from_46_states_property_tax_limitations
Linked list: 7 items on the Analyses sheet (filter State = Vermont); every source URL is linked on the Sources sheet.</t>
        </is>
      </c>
      <c r="U46" s="4" t="inlineStr">
        <is>
          <t>1997: Act 60 (statewide education tax after Brigham v. State). 2003: Act 68 (homestead and nonhomestead classes).
2021: the Ethan Allen Institute urged Vermont to adopt one of the common property tax limits.
2025: Act 73 (foundation formula, supplemental spending cap and larger school districts, contingent on later legislation).
2026: Act 169 (H.949) set FY2027 yields and a $1.643 nonhomestead rate, used $104.9 million of one-time General Fund money to buy down rates and raised the circuit breaker income level from $47,000 to $50,000. Act 170 (H.955, approved June 18, 2026) replaced state-drawn district maps with district-led merger committees, delayed the foundation formula to July 1, 2029 and made it and the statewide tax rate contingent on legislation in 2027 and 2028. Governor Scott had threatened to veto the budget without mandatory district consolidation and dropped that demand at the end of session.
Nov. 3, 2026 ballot: no property tax measure. Voters decide Proposal 3 (right to collective bargaining) and Proposal 4 (equal protection). The Fiscal Alliance Foundation estimates Proposal 3 could add $140 to $352 a year to property taxes on a $400,000 home.</t>
        </is>
      </c>
      <c r="V46" s="4" t="inlineStr">
        <is>
          <t>47th (1.51% effective rate; 1.49% in 2010)</t>
        </is>
      </c>
      <c r="W46" s="4" t="inlineStr">
        <is>
          <t>Vermont funds schools with a statewide education property tax whose homestead rates follow each district's voted spending; it has no levy, rate or assessment limits. The only standing check on school spending is the excess spending threshold at 118% of the statewide average per pupil. Act 170 (2026) delayed the Act 73 foundation formula and supplemental spending cap to July 1, 2029, contingent on more legislation. The state used $104.9 million of one-time money to hold the FY2027 average education tax increase to about 3.5%.</t>
        </is>
      </c>
      <c r="X46" s="4" t="inlineStr">
        <is>
          <t>https://legislature.vermont.gov/Documents/2026/Docs/ACTS/ACT073/ACT073%20Act%20Summary.pdf
https://tax.vermont.gov/property/property-tax-credit
https://vermontbiz.com/node/240664
https://education.vermont.gov/content/statewide-education-property-tax
https://www.lincolninst.edu/app/uploads/2024/10/truth_in_taxation_2024.xlsx
https://www2.census.gov/programs-surveys/gov-finances/tables/2022/22slsstab1.xlsx
https://legislature.vermont.gov/bill/status/2026/H.955
https://education.vermont.gov/node/22021
https://legislature.vermont.gov/Documents/2026/Docs/ACTS/ACT169/ACT169%20As%20Enacted.pdf
https://vermontbiz.com/node/243690
https://legislature.vermont.gov/statutes/section/32/135/05401
https://www.wamc.org/news/2026-07-28/vermonters-to-decide-two-state-constitutional-amendments
https://fiscalalliancefoundation.org/proposal3/
https://fiscalalliancefoundation.org/vermont.html
https://www.ethanallen.org/a_modest_proposal_from_46_states_property_tax_limitations</t>
        </is>
      </c>
    </row>
    <row r="47" ht="409" customHeight="1">
      <c r="A47" s="13" t="inlineStr">
        <is>
          <t>Virginia</t>
        </is>
      </c>
      <c r="B47" s="4" t="inlineStr">
        <is>
          <r>
            <rPr>
              <rFont val="Carlito"/>
              <b val="1"/>
              <sz val="14"/>
            </rPr>
            <t>F.</t>
          </r>
          <r>
            <rPr>
              <rFont val="Carlito"/>
              <sz val="11"/>
            </rPr>
            <t xml:space="preserve">
Restriction points 3.75 of 18 (truth in taxation 2; rollback 1; school districts covered 0.5; use restrictions 0.25). Deductions: built-in loopholes -1; workarounds in practice -0.5; state buydowns +0; data record -0.25. Total 2 = F (A 11+, B 8.5-10.9, C 5.5-8.4, D 3-5.4, F under 3).
Why: Built-in loopholes -1: a simple majority can exceed the lowered rate after one separate hearing, new construction is excluded and increases under 1% need no hearing. Workarounds -0.5: Fairfax kept its rate for FY2027 and projected $202.15 million more in real estate revenue, Prince William proposed a flat rate that still raises the average bill about $203, and at least 36 localities seek new 1% school sales taxes. Buydowns 0: the $950 million car tax reimbursement is about 4.7% of FY2024 collections ($20.25 billion). Record -0.25: burden near average (2.96% of income, 0.71% effective rate) but real per-person growth of 34.6% from FY2002 to FY2022 against 23.4% nationally.</t>
          </r>
        </is>
      </c>
      <c r="C47" s="4">
        <f>((LEFT(D47,3)="Yes")+(LEFT(E47,3)="Yes")+(LEFT(F47,3)="Yes")+(LEFT(G47,3)="Yes"))&amp;" of 4 in force"&amp;IF(((LEFT(D47,7)="Partial")+(LEFT(E47,7)="Partial")+(LEFT(F47,7)="Partial")+(LEFT(G47,7)="Partial"))&gt;0," + "&amp;((LEFT(D47,7)="Partial")+(LEFT(E47,7)="Partial")+(LEFT(F47,7)="Partial")+(LEFT(G47,7)="Partial"))&amp;" partial","")&amp;CHAR(10)&amp;CHAR(10)&amp;IF(LEFT(D47,3)="Yes","✓",IF(LEFT(D47,7)="Partial","◐","✗"))&amp;" Spending limit"&amp;CHAR(10)&amp;IF(LEFT(E47,3)="Yes","✓",IF(LEFT(E47,7)="Partial","◐","✗"))&amp;" Levy limit"&amp;CHAR(10)&amp;IF(LEFT(F47,3)="Yes","✓",IF(LEFT(F47,7)="Partial","◐","✗"))&amp;" Assessment cap"&amp;CHAR(10)&amp;IF(LEFT(G47,3)="Yes","✓",IF(LEFT(G47,7)="Partial","◐","✗"))&amp;" Rate cap"</f>
        <v/>
      </c>
      <c r="D47" s="4" t="inlineStr">
        <is>
          <r>
            <rPr>
              <rFont val="Carlito"/>
              <b val="1"/>
              <sz val="11"/>
            </rPr>
            <t>No.</t>
          </r>
          <r>
            <rPr>
              <rFont val="Carlito"/>
              <sz val="11"/>
            </rPr>
            <t xml:space="preserve">
No limit on growth in local spending.</t>
          </r>
        </is>
      </c>
      <c r="E47" s="4" t="inlineStr">
        <is>
          <r>
            <rPr>
              <rFont val="Carlito"/>
              <b val="1"/>
              <sz val="11"/>
            </rPr>
            <t>No.</t>
          </r>
          <r>
            <rPr>
              <rFont val="Carlito"/>
              <sz val="11"/>
            </rPr>
            <t xml:space="preserve">
No cap on growth in real property tax levies. The truth-in-taxation rule (see Truth-in-taxation) requires a rate cut or a separate hearing when reassessment raises levies by 1% or more, but a governing body may adopt any increase after that hearing.</t>
          </r>
        </is>
      </c>
      <c r="F47" s="4" t="inlineStr">
        <is>
          <r>
            <rPr>
              <rFont val="Carlito"/>
              <b val="1"/>
              <sz val="11"/>
            </rPr>
            <t>No.</t>
          </r>
          <r>
            <rPr>
              <rFont val="Carlito"/>
              <sz val="11"/>
            </rPr>
            <t xml:space="preserve">
No cap on growth in assessed value; the constitution requires assessment at fair market value, and localities reassess annually, biennially or in general reassessments.
Authority: Va. Const. art. X §2.</t>
          </r>
        </is>
      </c>
      <c r="G47" s="4" t="inlineStr">
        <is>
          <r>
            <rPr>
              <rFont val="Carlito"/>
              <b val="1"/>
              <sz val="11"/>
            </rPr>
            <t>No.</t>
          </r>
          <r>
            <rPr>
              <rFont val="Carlito"/>
              <sz val="11"/>
            </rPr>
            <t xml:space="preserve">
No statutory limit on county or city real estate tax rates.</t>
          </r>
        </is>
      </c>
      <c r="H47" s="4" t="inlineStr">
        <is>
          <r>
            <rPr>
              <rFont val="Carlito"/>
              <b val="1"/>
              <sz val="11"/>
            </rPr>
            <t>Partial.</t>
          </r>
          <r>
            <rPr>
              <rFont val="Carlito"/>
              <sz val="11"/>
            </rPr>
            <t xml:space="preserve">
School divisions have no taxing power: 133 school systems depend on their county or city (Census count), which levies all property taxes and appropriates school funds. School money is therefore subject only to the locality's truth-in-taxation hearing rule; the state requires a minimum local effort.</t>
          </r>
        </is>
      </c>
      <c r="I47" s="4" t="inlineStr">
        <is>
          <r>
            <rPr>
              <rFont val="Carlito"/>
              <b val="1"/>
              <sz val="11"/>
            </rPr>
            <t>No.</t>
          </r>
          <r>
            <rPr>
              <rFont val="Carlito"/>
              <sz val="11"/>
            </rPr>
            <t xml:space="preserve">
No state tax on real property; all real estate and personal property taxes are local.</t>
          </r>
        </is>
      </c>
      <c r="J47" s="4" t="inlineStr">
        <is>
          <r>
            <rPr>
              <rFont val="Carlito"/>
              <b val="1"/>
              <sz val="11"/>
            </rPr>
            <t>Partial.</t>
          </r>
          <r>
            <rPr>
              <rFont val="Carlito"/>
              <sz val="11"/>
            </rPr>
            <t xml:space="preserve">
No general homestead exemption. Statewide, the home of a veteran with a 100% permanent and total service-connected disability (and the surviving spouse) is fully exempt, as is the home of the surviving spouse of a service member who died in the line of duty (widened from "killed in action" by a constitutional amendment approved Nov. 5, 2024, with 93% of the vote in unofficial results). Localities may grant exemptions or deferrals for owners 65 and older or permanently disabled, with income and net worth limits they set.
Authority: Va. Const. art. X §6-A; Va. Code §§58.1-3210, 58.1-3219.5.</t>
          </r>
        </is>
      </c>
      <c r="K47" s="4" t="inlineStr">
        <is>
          <r>
            <rPr>
              <rFont val="Carlito"/>
              <b val="1"/>
              <sz val="11"/>
            </rPr>
            <t>No.</t>
          </r>
          <r>
            <rPr>
              <rFont val="Carlito"/>
              <sz val="11"/>
            </rPr>
            <t xml:space="preserve">
No state circuit breaker or income tax credit for real property taxes. Relief comes through local-option exemptions and deferrals (see Homestead) and the state's car tax reimbursement (see Subsidies).</t>
          </r>
        </is>
      </c>
      <c r="L47" s="4" t="inlineStr">
        <is>
          <r>
            <rPr>
              <rFont val="Carlito"/>
              <b val="1"/>
              <sz val="11"/>
            </rPr>
            <t>Yes.</t>
          </r>
          <r>
            <rPr>
              <rFont val="Carlito"/>
              <sz val="11"/>
            </rPr>
            <t xml:space="preserve">
Under the Personal Property Tax Relief Act of 1998, the state pays localities a fixed $950 million a year (since tax year 2006) to reduce local personal property taxes on qualifying personal-use vehicles, and the 2026 Appropriation Act carries $950 million in each of FY2027 and FY2028. Each locality's share is pro rata to its tax year 2004 reimbursements, and each locality sets the percentage of a qualifying vehicle's tax that the state payment covers on the bill. Because the total is fixed, that share shrinks as vehicle values and local rates rise.
Authority: Va. Code §§ 58.1-3523 to 58.1-3536 (esp. § 58.1-3524); 2026 Appropriation Act (HB 30, Special Session I, Chapter 1), Item 258.</t>
          </r>
        </is>
      </c>
      <c r="M47" s="4" t="inlineStr">
        <is>
          <r>
            <rPr>
              <rFont val="Carlito"/>
              <b val="1"/>
              <sz val="11"/>
            </rPr>
            <t>Yes.</t>
          </r>
          <r>
            <rPr>
              <rFont val="Carlito"/>
              <sz val="11"/>
            </rPr>
            <t xml:space="preserve">
When an annual or general reassessment would raise total real property tax levies by 1% or more, the county, city or town must lower its rate so levies on existing property are no more than 101% of the prior year's, unless it holds a public hearing, separate from its budget hearing, after publishing notice at least seven days in advance. New construction and special levies are left out of the calculation. After the hearing the governing body may adopt the higher rate by ordinary vote. The notice must run at least seven days before the hearing in a newspaper and at the governing body's building; the newspaper notice must fill at least one-eighth of a page, carry an 18-point headline, run outside the legal notices and state the lowered rate, the proposed rate and the percent difference. Truth in taxation offers transparency and accountability. Virginia has had this rule since 1976 (last amended in 2024); increases under 1% need no disclosure.
Authority: Va. Code §58.1-3321.</t>
          </r>
        </is>
      </c>
      <c r="N47" s="4" t="inlineStr">
        <is>
          <r>
            <rPr>
              <rFont val="Carlito"/>
              <b val="1"/>
              <sz val="11"/>
            </rPr>
            <t>Yes.</t>
          </r>
          <r>
            <rPr>
              <rFont val="Carlito"/>
              <sz val="11"/>
            </rPr>
            <t xml:space="preserve">
The 101% rule rolls the rate back after reassessment unless the governing body holds the separate advertised hearing.
Authority: Va. Code §58.1-3321(A).</t>
          </r>
        </is>
      </c>
      <c r="O47" s="4" t="inlineStr">
        <is>
          <r>
            <rPr>
              <rFont val="Carlito"/>
              <b val="1"/>
              <sz val="11"/>
            </rPr>
            <t>No.</t>
          </r>
          <r>
            <rPr>
              <rFont val="Carlito"/>
              <sz val="11"/>
            </rPr>
            <t xml:space="preserve">
Real estate tax rates, including rates above the rolled-back rate, are adopted by simple majority of the governing body.</t>
          </r>
        </is>
      </c>
      <c r="P47" s="4" t="inlineStr">
        <is>
          <r>
            <rPr>
              <rFont val="Carlito"/>
              <b val="1"/>
              <sz val="11"/>
            </rPr>
            <t>No.</t>
          </r>
          <r>
            <rPr>
              <rFont val="Carlito"/>
              <sz val="11"/>
            </rPr>
            <t xml:space="preserve">
Real estate tax rates are set by governing bodies without a referendum; county general obligation bonds go to voters at elections set by the court order or law calling them.</t>
          </r>
        </is>
      </c>
      <c r="Q47" s="4" t="inlineStr">
        <is>
          <r>
            <rPr>
              <rFont val="Carlito"/>
              <b val="1"/>
              <sz val="11"/>
            </rPr>
            <t>Partial.</t>
          </r>
          <r>
            <rPr>
              <rFont val="Carlito"/>
              <sz val="11"/>
            </rPr>
            <t xml:space="preserve">
Localities may create service districts with additional levies dedicated to services in the district. General real estate taxes are unrestricted.</t>
          </r>
        </is>
      </c>
      <c r="R47" s="4" t="inlineStr">
        <is>
          <t>95 counties; 38 independent cities and 190 towns (Census counts 228 municipal governments; cities are outside counties and levy all local taxes in their areas); 133 dependent school systems; 198 special districts in the Census count, including 47 soil and water conservation districts and library, airport, solid waste and water and sewer authorities. Census of Governments 2022: 522 local governments.</t>
        </is>
      </c>
      <c r="S47" s="4" t="inlineStr">
        <is>
          <t>Verdict: Failed. Property tax per person rose 43.0% after inflation from FY2002 to FY2024, against 25.9% for the U.S. The state's fixed $950 million a year of car tax relief buys down local personal property taxes and counts against Virginia.
Why it leaks: Virginia caps neither levies nor rates. The truth-in-taxation rule (Va. Code §58.1-3321) offers transparency and accountability, but after a separate hearing a simple majority can keep the whole reassessment windfall. New construction is left out of the calculation, and increases under 1% need no hearing.
How localities get around it: Fairfax County's advertised FY2027 budget held the rate, projected to raise $202.15 million more in real estate revenue. The City of Richmond and Chesterfield County are among at least 36 localities voting Nov. 3, 2026 on a 1% sales tax for school construction, outside the rule.
Full record:
Truth in taxation offers transparency and accountability, but Virginia has no hard limit, and its largest counties hold their rates after reassessment and keep the added revenue by simple majority after the separate hearing.
The record (Census, BEA, ACS): state and local property tax was $2,296 per person in FY2024 (U.S. $2,132), 2.96% of personal income (18th-highest of 50; U.S. 2.89%). After inflation, collections per person (all state and local property tax divided by residents) rose 43.0% from FY2002 to FY2024 (U.S. +25.9%) and rose 5.6% from FY2019 to FY2024 (U.S. -1.1%). The median homeowner paid $2,872 in 2024 (U.S. $3,211); the median bill rose 4.0% after inflation from 2010 to 2024 (U.S. +9.3%). The Tax Foundation's 2026 ranking puts its effective property tax rate on owner-occupied homes at 0.78%, 23rd-lowest of 50. By the same measure it was 0.75% in 2010 (U.S. 1.00% in 2010, 0.94% in 2024).
Fairfax: the advertised FY2027 budget kept the current real estate rate, which the county projected would bring in $202.15 million more in real estate revenue.
Prince William: the county executive's proposed FY2027 budget held the rate at $0.906 per $100, yet the average homeowner would pay about $181 more in real estate tax and about $203 more with added fees; the transfer to schools would rise 12.8% to $1.1 billion. Data centers were projected to supply $549.7 million, about 28% of general fund tax revenue.
Revenue shift: on Nov. 3, 2026, voters in at least 36 counties and cities, among them the City of Richmond and Chesterfield County, decide whether to add a 1% local sales tax for school construction, a revenue source outside the real estate truth-in-taxation rule.
Car tax: the state's reimbursement has been fixed at $950 million a year since 2006, so localities set the share of the vehicle tax owners pay. The Thomas Jefferson Institute puts Virginia's average effective car tax rate at 4.05%, the highest in the country, with an average bill of $1,011.
Simple majority: after the separate hearing a simple majority can keep the windfall; new construction is left out of the calculation, and increases under 1% need no hearing.
Property tax is 77% of local tax revenue (Census FY2022); local sales taxes supply 15%, and fees and charges are 26% of local own-source revenue.</t>
        </is>
      </c>
      <c r="T47" s="4" t="inlineStr">
        <is>
          <t>- Jefferson Forum, Derrick A. Max, "Data Center Misinformation is Killing the Golden Goose" (August 15, 2026). Argues that data centers "reduce pressure on residential property taxes": data center receipts let Loudoun County cut residential rates, and without that commercial base the average Loudoun homeowner would face an estimated $5,800 increase in the annual tax bill. It cites more than $2 billion in local tax revenue from data centers in Northern Virginia in 2024. https://www.jeffersonforum.org/data-center-misinformation-is-killing-the-golden-goose/
- Jefferson Forum, Stephen D. Haner, "First They Came for the Data Centers, But Will It Stop There?" (March 1, 2026). Warns that 2026 General Assembly plans to end or condition the data center sales tax exemption would slow new building and shrink local revenue, because installed equipment owes annual personal property tax; Haner calls that tax "the real golden egg they produce for Virginia’s cities and counties" and says the Department of Taxation found the taxes paid far exceed the value of the exemption. https://www.jeffersonforum.org/first-they-came-for-the-data-centers-but-will-it-stop-there/
- Virginia House Republicans, "House Republicans Roll Out Affordability Done Right Agenda to Lower Costs for Virginians" (January 19, 2026). The caucus agenda includes car tax relief; Del. Joe McNamara says families "were promised a full repeal of the car tax up to $20,000, and the General Assembly broke that promise," and Leader Terry Kilgore cites a $1.2 billion surplus in the first half of the fiscal year as room for tax relief. https://virginiahouse.gop/2026/01/19/house-republicans-roll-out-affordability-done-right-agenda-to-lower-costs-for-virginians/
- Thomas Jefferson Institute for Public Policy (merged into the Jefferson Forum in 2026), "Standard Deductions, Opportunity Scholarships and Car Taxes: Gov. Youngkin Proposes Three of TJI's Key Policy Priorities" (December 19, 2024). Backs Gov. Youngkin's proposed permanent, refundable income tax credit equal to local property tax paid on personal-use vehicles, up to $150 ($300 for joint filers), for filers earning under $50,000 ($100,000 joint); the credit "is limited to Virginians living in jurisdictions where the tax credit is not increased by more than 2.5 percent annually." It notes a $4.7 billion current and projected state surplus. https://www.thomasjeffersoninst.org/standard-deductions-opportunity-scholarships-and-car-taxes-gov-youngkin-proposes-three-of-tjis-key-policy-priorities/
- Thomas Jefferson Institute for Public Policy, Kimberly Pinter and Callahan Burton, "It's Car Tax Day, Let's Move Forward on Governor Gilmore's 'No Car Tax' Pledge" (October 7, 2024). Says Virginians pay the highest car tax rate in the country, an average effective rate of 4.05% and an average annual bill of $1,011; recounts how state relief rose from 12.5% in 1998 to 70%, was frozen at 70% in 2002 and capped at $950 million a year from 2006, and urges finishing the "No Car Tax" pledge. https://www.thomasjeffersoninst.org/its-car-tax-day-lets-move-forward-on-governor-gilmores-no-car-tax-pledge/
- Virginia Institute for Public Policy (State Policy Network affiliate): no property tax report since 2021 was found.
Linked list: 5 items on the Analyses sheet (filter State = Virginia); every source URL is linked on the Sources sheet.</t>
        </is>
      </c>
      <c r="U47" s="4" t="inlineStr">
        <is>
          <t>1976: truth-in-taxation rule (now §58.1-3321). 1998: Personal Property Tax Relief Act, capped at $950 million a year from 2006. 2010: constitutional amendment exempting homes of 100% disabled veterans (later extended to surviving spouses).
2024: §58.1-3321 last amended (2024 Acts, cc. 225 and 242). Nov. 5, 2024: voters approved extending the surviving-spouse exemption to spouses of service members who died in the line of duty (93% yes, unofficial results).
2026: Del. Franklin's resolution to study repeal of the car tax passed the House of Delegates with a bipartisan vote in February 2026. No 2025 or 2026 amendment to §58.1-3321 and no assessment cap was enacted.
Nov. 3, 2026 ballot: three statewide constitutional amendments (reproductive freedom, marriage, voting rights), none on property tax. At least 36 localities vote on 1% local sales taxes for school construction.</t>
        </is>
      </c>
      <c r="V47" s="4" t="inlineStr">
        <is>
          <t>23rd (0.78% effective rate; 0.75% in 2010)</t>
        </is>
      </c>
      <c r="W47" s="4" t="inlineStr">
        <is>
          <t>Virginia has no levy, rate or assessment caps. Its main protection is the 101% rule: after reassessment a locality must cut its rate or hold a separate advertised hearing, after which a simple majority may keep the increase. Fairfax's advertised and Prince William's proposed FY2027 budgets held rates while raising more revenue. The state pays a fixed $950 million a year toward local car taxes, and at least 36 localities vote Nov. 3, 2026 on new 1% sales taxes for school construction.</t>
        </is>
      </c>
      <c r="X47" s="4" t="inlineStr">
        <is>
          <t>https://law.lis.virginia.gov/vacode/title58.1/chapter32/section58.1-3321/
https://law.lis.virginia.gov/vacode/title58.1/chapter35/section58.1-3524/
https://news.ballotpedia.org/2026/08/27/voters-in-seven-states-to-decide-13-property-tax-measures-in-2026/
https://www.lincolninst.edu/app/uploads/2024/10/truth_in_taxation_2024.xlsx
https://www2.census.gov/programs-surveys/gov-finances/tables/2022/22slsstab1.xlsx
https://law.lis.virginia.gov/constitution/article10/section6-a/
https://www.vpm.org/elections/2024-11-07/virginia-constitution-amendment-surviving-spouses-property-tax
https://www.elections.virginia.gov/casting-a-ballot/candidate-list/november-2026-proposed-constitutional-amendments/
https://www.wmra.org/2026-02-03/study-of-car-tax-repeal-clears-house-of-delegates
https://www.fairfaxcounty.gov/budget/sites/budget/files/Assets/documents/fy2027/advertised/FY2027%20Advertised%20BAAG%20-%20FINAL.pdf
https://www.potomaclocal.com/2026/02/18/prince-william-bills-to-rise-203-under-flat-tax-rate/
https://www.loudoun.gov/2857/Current-Budget
https://www.thomasjeffersoninst.org/its-car-tax-day-lets-move-forward-on-governor-gilmores-no-car-tax-pledge/</t>
        </is>
      </c>
    </row>
    <row r="48" ht="409" customHeight="1">
      <c r="A48" s="13" t="inlineStr">
        <is>
          <t>Washington</t>
        </is>
      </c>
      <c r="B48" s="4" t="inlineStr">
        <is>
          <r>
            <rPr>
              <rFont val="Carlito"/>
              <b val="1"/>
              <sz val="14"/>
            </rPr>
            <t>D.</t>
          </r>
          <r>
            <rPr>
              <rFont val="Carlito"/>
              <sz val="11"/>
            </rPr>
            <t xml:space="preserve">
Restriction points 8.25 of 18 (levy limit 4; rate cap 2; rollback 0.5; supermajority 1; school districts covered 0.5; use restrictions 0.25). Deductions: built-in loopholes -2; workarounds in practice -1.5; state buydowns +0; data record -0.5. Total 4.25 = D (A 11+, B 8.5-10.9, C 5.5-8.4, D 3-5.4, F under 3).
Why: Built-in loopholes -2: simple-majority lid lifts that can be permanent, banked capacity, new construction outside the 1% limit, and simple-majority school enrichment levies whose caps the Legislature raised in 2025. Workarounds -1.5: Seattle's voter-approved property taxes grew from $133 million in 2014 to an expected $570 million in 2026 through record levies in 2023, 2024, 2025 and 2026. Buydowns 0: Local Effort Assistance and the state levy are not levy replacement, and the 2026 senior exemption shifts tax to other owners. Record -0.5: real per-person growth above the U.S. average (FY2002-FY2022 and FY2019-FY2024) and real homeowner bill growth of 23.7% in 2010-2024 (U.S. 9.3%), partly offset by a below-average 2.50% share of income.</t>
          </r>
        </is>
      </c>
      <c r="C48" s="4">
        <f>((LEFT(D48,3)="Yes")+(LEFT(E48,3)="Yes")+(LEFT(F48,3)="Yes")+(LEFT(G48,3)="Yes"))&amp;" of 4 in force"&amp;IF(((LEFT(D48,7)="Partial")+(LEFT(E48,7)="Partial")+(LEFT(F48,7)="Partial")+(LEFT(G48,7)="Partial"))&gt;0," + "&amp;((LEFT(D48,7)="Partial")+(LEFT(E48,7)="Partial")+(LEFT(F48,7)="Partial")+(LEFT(G48,7)="Partial"))&amp;" partial","")&amp;CHAR(10)&amp;CHAR(10)&amp;IF(LEFT(D48,3)="Yes","✓",IF(LEFT(D48,7)="Partial","◐","✗"))&amp;" Spending limit"&amp;CHAR(10)&amp;IF(LEFT(E48,3)="Yes","✓",IF(LEFT(E48,7)="Partial","◐","✗"))&amp;" Levy limit"&amp;CHAR(10)&amp;IF(LEFT(F48,3)="Yes","✓",IF(LEFT(F48,7)="Partial","◐","✗"))&amp;" Assessment cap"&amp;CHAR(10)&amp;IF(LEFT(G48,3)="Yes","✓",IF(LEFT(G48,7)="Partial","◐","✗"))&amp;" Rate cap"</f>
        <v/>
      </c>
      <c r="D48" s="4" t="inlineStr">
        <is>
          <r>
            <rPr>
              <rFont val="Carlito"/>
              <b val="1"/>
              <sz val="11"/>
            </rPr>
            <t>No.</t>
          </r>
          <r>
            <rPr>
              <rFont val="Carlito"/>
              <sz val="11"/>
            </rPr>
            <t xml:space="preserve">
No limit on growth in local spending. The 1% levy limit (see Levy) restrains regular property tax revenue only; Washington's state spending limit does not apply to local governments.</t>
          </r>
        </is>
      </c>
      <c r="E48" s="4" t="inlineStr">
        <is>
          <r>
            <rPr>
              <rFont val="Carlito"/>
              <b val="1"/>
              <sz val="11"/>
            </rPr>
            <t>Yes.</t>
          </r>
          <r>
            <rPr>
              <rFont val="Carlito"/>
              <sz val="11"/>
            </rPr>
            <t xml:space="preserve">
101% limit (Initiative 747, 2001, reenacted by the Legislature in 2007): a taxing district's regular levy may grow no more than 1% a year (the lesser of 1% or inflation for districts over 10,000 people when inflation is below 1%), measured against its highest lawful levy since 1985, plus new construction, improvements and state-assessed property. Unused capacity is banked. Levy lid lifts: voters may approve a larger increase by simple majority, for one year, for up to six years with a stated limit factor, or permanently. Excess (voted) levies and bonds sit outside the limit. In 2025, HB 2049 as introduced would have raised the limit to 3%, and SB 5798 would have allowed the greater of 1% or population growth plus inflation; the change was dropped in April 2025 after Gov. Ferguson opposed it, and HB 2049 was enacted (chapter 404, Laws of 2025) without it, carrying higher school enrichment levy limits (see Schools). The 1% limit remains in force as of October 2026.
Authority: RCW 84.55.010, 84.55.050.</t>
          </r>
        </is>
      </c>
      <c r="F48" s="4" t="inlineStr">
        <is>
          <r>
            <rPr>
              <rFont val="Carlito"/>
              <b val="1"/>
              <sz val="11"/>
            </rPr>
            <t>No.</t>
          </r>
          <r>
            <rPr>
              <rFont val="Carlito"/>
              <sz val="11"/>
            </rPr>
            <t xml:space="preserve">
No cap on growth in assessed value; property is revalued annually at true and fair value. Qualifying seniors and disabled owners have their value frozen (see Homestead).</t>
          </r>
        </is>
      </c>
      <c r="G48" s="4" t="inlineStr">
        <is>
          <r>
            <rPr>
              <rFont val="Carlito"/>
              <b val="1"/>
              <sz val="11"/>
            </rPr>
            <t>Yes.</t>
          </r>
          <r>
            <rPr>
              <rFont val="Carlito"/>
              <sz val="11"/>
            </rPr>
            <t xml:space="preserve">
- Constitutional 1% limit: regular levies of all districts combined may not exceed 1% of true value ($10 per $1,000).
- Statutory $5.90 per $1,000 aggregate limit for most local regular levies, within which counties may levy up to $1.80 (up to $2.475 if the county and road district levies total no more than $4.05), road districts $2.25 and cities up to $3.375.
- State school levy and certain port and public utility district levies sit outside the $5.90 limit.
Excess levies above these limits need voter approval (see Supermajority).
Authority: Wash. Const. art. VII §2; RCW 84.52.043.</t>
          </r>
        </is>
      </c>
      <c r="H48" s="4" t="inlineStr">
        <is>
          <r>
            <rPr>
              <rFont val="Carlito"/>
              <b val="1"/>
              <sz val="11"/>
            </rPr>
            <t>Partial.</t>
          </r>
          <r>
            <rPr>
              <rFont val="Carlito"/>
              <sz val="11"/>
            </rPr>
            <t xml:space="preserve">
The state pays for basic education through the state school levy and state funds. School districts may levy voter-approved enrichment levies for up to four years, limited to the lesser of $2.50 per $1,000 of value or a per-pupil amount, and these pass by simple majority. ESHB 2049 (2025) loosened the per-pupil limit: $500 above Seattle-area inflation in 2026, 3.3% above inflation each year from 2027 to 2030 for districts under 40,000 students, and $5,035 per pupil for all districts from 2031, indexed to inflation after that (the 2024 limits were $3,149.69 per pupil, or $3,779.63 for districts of 40,000 or more). School bonds need 60% approval with turnout of at least 40% of the last general election. The state pays Local Effort Assistance to districts with low property values.
Authority: Wash. Const. art. VII §2(a); RCW 84.52.0531, ch. 28A.500; ESHB 2049, chapter 404, Laws of 2025.</t>
          </r>
        </is>
      </c>
      <c r="I48" s="4" t="inlineStr">
        <is>
          <r>
            <rPr>
              <rFont val="Carlito"/>
              <b val="1"/>
              <sz val="11"/>
            </rPr>
            <t>Yes.</t>
          </r>
          <r>
            <rPr>
              <rFont val="Carlito"/>
              <sz val="11"/>
            </rPr>
            <t xml:space="preserve">
State levy for the support of common schools, collected by counties and sent to the state, an additional tax on all property within the 1% constitutional limit. After the McCleary school funding decision the levy had two parts (the second added in 2017). ESSB 6162 (2026) merges them into a single state property tax, to be labeled the state school levy on tax statements, sets its 2026 rate at $2.075355 per $1,000, and directs the Department of Revenue to report by March 1, 2027 what the rate would have been under the 1% revenue limit. Census FY2022 state property tax revenue: about $4.4 billion.
Authority: RCW 84.52.065; ESSB 6162, chapter 163, Laws of 2026.</t>
          </r>
        </is>
      </c>
      <c r="J48" s="4" t="inlineStr">
        <is>
          <r>
            <rPr>
              <rFont val="Carlito"/>
              <b val="1"/>
              <sz val="11"/>
            </rPr>
            <t>Yes.</t>
          </r>
          <r>
            <rPr>
              <rFont val="Carlito"/>
              <sz val="11"/>
            </rPr>
            <t xml:space="preserve">
No general homestead exemption. Owners 61 and older, owners unable to work because of a disability, and veterans with a service-connected disability rating of at least 80% (or paid at the 100% rate), with income below thresholds tied to county median household income, receive a frozen value and exemptions from voted (excess) levies and part of the state levy and, at lower incomes, part of regular levies. Deferral programs are also available. ESSB 6162 (signed March 23, 2026, effective for the 2027 tax year) raises each income threshold by 10 percentage points of county median household income (to 60%, 70% and 80%) and the deferral threshold by 15 points, exempts participants from the entire state levy, raises the regular levy exemption to the greater of $80,000 or 80% of value at the lowest income tier and the greater of $70,000 or 45% (up to $200,000) at the next, and adds a $7,500 standard deduction per person in counting income.
Authority: RCW 84.36.381, 84.36.383; ESSB 6162, chapter 163, Laws of 2026.</t>
          </r>
        </is>
      </c>
      <c r="K48" s="4" t="inlineStr">
        <is>
          <r>
            <rPr>
              <rFont val="Carlito"/>
              <b val="1"/>
              <sz val="11"/>
            </rPr>
            <t>No.</t>
          </r>
          <r>
            <rPr>
              <rFont val="Carlito"/>
              <sz val="11"/>
            </rPr>
            <t xml:space="preserve">
No state circuit breaker or income tax credit. Relief comes through the senior and disabled exemption and deferrals.</t>
          </r>
        </is>
      </c>
      <c r="L48" s="4" t="inlineStr">
        <is>
          <r>
            <rPr>
              <rFont val="Carlito"/>
              <b val="1"/>
              <sz val="11"/>
            </rPr>
            <t>No.</t>
          </r>
          <r>
            <rPr>
              <rFont val="Carlito"/>
              <sz val="11"/>
            </rPr>
            <t xml:space="preserve">
Under the senior citizen and disabled persons deferral program, the Department of Revenue pays county treasurers the property tax deferred by qualifying owners aged 60 or older or retired because of disability with limited incomes, and the state recovers the amount through a lien with 5% interest. A second program lets limited-income homeowners defer half their tax under a similar state lien. A deferral repaid with interest replaces no local revenue, so neither counts. Local Effort Assistance gives districts with low property values extra state aid for their enrichment levies; it is equalization aid and does not count. No state program reimburses local governments for exemptions or pays them to cut their own levies.
Authority: RCW 84.38.100 to 84.38.130; RCW ch. 84.37; RCW ch. 28A.500.</t>
          </r>
        </is>
      </c>
      <c r="M48" s="4" t="inlineStr">
        <is>
          <r>
            <rPr>
              <rFont val="Carlito"/>
              <b val="1"/>
              <sz val="11"/>
            </rPr>
            <t>No.</t>
          </r>
          <r>
            <rPr>
              <rFont val="Carlito"/>
              <sz val="11"/>
            </rPr>
            <t/>
          </r>
        </is>
      </c>
      <c r="N48" s="4" t="inlineStr">
        <is>
          <r>
            <rPr>
              <rFont val="Carlito"/>
              <b val="1"/>
              <sz val="11"/>
            </rPr>
            <t>Partial.</t>
          </r>
          <r>
            <rPr>
              <rFont val="Carlito"/>
              <sz val="11"/>
            </rPr>
            <t xml:space="preserve">
No rollback rate. The 1% limit caps regular levy dollars, so rates fall as values rise; banked capacity and lid lifts can restore the difference.</t>
          </r>
        </is>
      </c>
      <c r="O48" s="4" t="inlineStr">
        <is>
          <r>
            <rPr>
              <rFont val="Carlito"/>
              <b val="1"/>
              <sz val="11"/>
            </rPr>
            <t>Yes.</t>
          </r>
          <r>
            <rPr>
              <rFont val="Carlito"/>
              <sz val="11"/>
            </rPr>
            <t xml:space="preserve">
Excess levies above the constitutional and statutory limits, other than school enrichment levies, need 60% voter approval with turnout of at least 40% of the voters in the last general election; general obligation bonds need the same. School enrichment levies and levy lid lifts pass by simple majority.
Authority: Wash. Const. art. VII §2(a), art. VIII §6.</t>
          </r>
        </is>
      </c>
      <c r="P48" s="4" t="inlineStr">
        <is>
          <r>
            <rPr>
              <rFont val="Carlito"/>
              <b val="1"/>
              <sz val="11"/>
            </rPr>
            <t>No.</t>
          </r>
          <r>
            <rPr>
              <rFont val="Carlito"/>
              <sz val="11"/>
            </rPr>
            <t xml:space="preserve">
Levy lid lifts and excess levies may be held at special elections on set dates in February, April and August as well as at the November general election.
Authority: RCW 29A.04.330.</t>
          </r>
        </is>
      </c>
      <c r="Q48" s="4" t="inlineStr">
        <is>
          <r>
            <rPr>
              <rFont val="Carlito"/>
              <b val="1"/>
              <sz val="11"/>
            </rPr>
            <t>Partial.</t>
          </r>
          <r>
            <rPr>
              <rFont val="Carlito"/>
              <sz val="11"/>
            </rPr>
            <t xml:space="preserve">
Excess levies and lid lifts must state their purpose, school enrichment levies may fund only enrichment beyond basic education, and many districts levy only for one function (fire, parks, ports, hospitals). City and county regular levies are otherwise unrestricted.
Authority: RCW 84.55.050, 28A.150.276.</t>
          </r>
        </is>
      </c>
      <c r="R48" s="4" t="inlineStr">
        <is>
          <t>39 counties; 281 cities and towns; 295 school districts; 1,275 special districts in the Census count, led by 359 fire protection districts, 132 water districts, 103 cemetery districts, 90 park and recreation districts, 87 drainage and diking districts and 50 hospital districts, plus ports and public utility districts. Census of Governments 2022: 1,890 local governments.</t>
        </is>
      </c>
      <c r="S48" s="4" t="inlineStr">
        <is>
          <t>Verdict: Failed. Property tax per person rose 27.9% after inflation from FY2002 to FY2024, above the U.S. figure of 25.9%.
Why it leaks: The 101% limit (Initiative 747, RCW 84.55.010) holds regular levies to 1% a year without a vote, plus new construction, and districts bank unused capacity. Levy lid lifts and school enrichment levies pass by simple majority, and lid lifts can be permanent. Voted levies and bonds sit outside the limit, and ESHB 2049 (2025) lets the per-pupil school levy cap rise faster than inflation through 2030.
How localities get around it: Seattle voters approved a $1.55 billion transportation levy in 2024 and a $1.3 billion education levy in 2025; the city's voter-approved property taxes grew from $133 million in 2014 to an expected $570 million in 2026.
Full record:
The 1% limit holds regular levies without a vote, but simple-majority lid lifts and school levies let local governments, led by Seattle, raise property taxes far faster, and the Legislature loosened school levy caps in 2025.
The record (Census, BEA, ACS): state and local property tax was $2,134 per person in FY2024 (U.S. $2,132), 2.50% of personal income (31st-highest of 50; U.S. 2.89%). After inflation, collections per person (all state and local property tax divided by residents) rose 27.9% from FY2002 to FY2024 (U.S. +25.9%) and rose 4.8% from FY2019 to FY2024 (U.S. -1.1%). The median homeowner paid $4,729 in 2024 (U.S. $3,211); the median bill rose 23.7% after inflation from 2010 to 2024 (U.S. +9.3%). The Tax Foundation's 2026 ranking puts its effective property tax rate on owner-occupied homes at 0.75%, 21st-lowest of 50. By the same measure it was 0.83% in 2010 (U.S. 1.00% in 2010, 0.94% in 2024). The FY2024 Census figure is a sample estimate with a 20% coefficient of variation.
- Big cities: Seattle voters approved a $970 million housing levy in 2023, a $1.55 billion transportation levy in 2024 and a $1.3 billion education levy in 2025, the three largest property tax measures in city history. The city's voter-approved property taxes grew from $133 million in 2014 to an expected $570 million in 2026, and its rate is close to $3 of its $3.60 per $1,000 legal limit (Seattle Times, reprinted by the Yakima Herald-Republic, Jan. 12, 2026).
- Overrides: Seattle voters renewed the library levy on Aug. 4, 2026 at $480 million over seven years, about 19 cents per $1,000 in the first year, which KOMO reported doubles the amount sought from taxpayers. Seattle Center backers spent 2025 preparing a 2026 levy widely expected to exceed $1 billion. Lid lifts need only a simple majority and can be permanent.
- Banked capacity: districts that levy below their limit keep the unused capacity and can use it later without a vote, and new construction adds revenue on top of the 1%.
- Schools: enrichment levies pass by simple majority, and ESHB 2049 (2025) raises the per-pupil cap above inflation every year through 2030, to $5,035 per pupil in 2031.
- Tax shift: ESSB 6162 (2026) widens the senior and disabled exemption and merges the state school levy; as heard in the House Finance Committee it was designed to be revenue-neutral, shifting about $200 million a year to other taxpayers (Center Square, Feb. 27, 2026).
- Revenue shift: local sales taxes supply 39% of local tax revenue (Census FY2022), and the average combined rate of 9.51% is the third highest in the nation; fees and charges are 42% of local own-source revenue. The state levy, outside the local $5.90 limit, was raised after the McCleary decision.
- Pressure to loosen: local governments lobbied in 2025 to raise the limit to 3%; a fiscal analysis put the added local revenue at $236 million in the next budget cycle. The Washington Policy Center called SB 5798 "a massive tax increase on the homeowners of Washington."
Property tax is 51% of local tax revenue.</t>
        </is>
      </c>
      <c r="T48" s="4" t="inlineStr">
        <is>
          <t>- Washington State House Republicans, "The largest tax increase in state history: How Democrats are taxing you" (March 18, 2026). Lists property tax measures adopted in 2025, including HB 2049, which "Increased the property tax levy authority of local school districts by 55%," and HB 1488, which raised the rate counties may levy for conservation districts; among bills it says Republicans helped stop, it lists HB 1334, which "Triples the property tax growth limit," and a new county property tax for public health clinics "not subject to aggregate statutory limits." https://houserepublicans.wa.gov/how-democrats-are-taxing-you/
- Washington State House Republicans, "Tax increases passed by Democrats" (January 22, 2026). Tallies $131.2 billion in 10-year estimated tax increases since 2017, including HB 2049 (2025), which "Increases the property tax limit for large school districts," at $5.755 billion; SB 5313 (2020) local school levies at $7 billion; and the 2017 McCleary property tax increase (HB 2242) at $13 billion. https://houserepublicans.wa.gov/tax-increases/
- Washington State Senate Republican Caucus, "Democrat legislators still on track for supporting property-tax hikes, just by a different route" (April 21, 2025). Says that after Democrats dropped the plan to triple the 1% annual cap, HB 2049 would still raise the school levy cap, with areas outside Seattle facing an increase of "nearly 20% next year and 55% over the next 6 years"; Sen. Nikki Torres says the amended bill raises levy authority by $500 per pupil above inflation in the first year and 3.3% above inflation after that, and Leader John Braun warns it risks a "McCleary 2.0" lawsuit. https://src.wastateleg.org/?p=23212
- Citizen Action Defense Fund, "Back . . . Back in the Northwest Groove!!" (April 4, 2025). Reviewing the 2025 session against a forecast $10 billion to $16 billion four-year shortfall, it warns that a proposed wealth tax combined with "pushes to remove the 5% and 1% caps on payroll and property taxes, respectively," makes "a perfect recipe for wealth and brain drain." https://citizenactiondefense.org/back-back-in-the-northwest-groove/
- Washington Policy Center, Mark Harmsworth, "Senate Bill 5798 is a massive tax increase on the homeowners of Washington" (March 28, 2025). Argues that SB 5798's limit factor, the greater of 101% or 100% plus population change and inflation, would dismantle the 1% cap that voters approved 58% to 42% in Initiative 747 (2001), noting that cities and counties could raise property taxes 6% a year before it; he writes that he served seven years on a city council under the 1% rule without voting to raise property taxes. https://washingtonpolicy.org/publications/detail/senate-bill-5798-is-a-massive-tax-increase-on-the-homeowners-of-washington
- Mountain States Policy Center, "Washington lawmakers propose billions in new tax increases" (March 24, 2025). Citing the Washington Research Council, it reports that the Senate Democrats' 2025-27 revenue plan would raise the property tax growth limit for $779 million over four years, alongside a $12 billion wealth tax and a $6.9 billion payroll expense tax. https://www.mountainstatespolicy.org/post/washington-lawmakers-propose-billions-in-new-tax-increases
- Washington Policy Center, Mark Harmsworth, "House Bill 1334 would allow municipalities to increase property taxes significantly" (January 23, 2025). HB 1334 would switch the levy limit's inflation measure from the implicit price deflator to the Consumer Price Index, which typically runs 2% to 2.4% a year, and add up to 3% for population growth, so it estimates local property taxes could rise 5% to 6% a year depending on inflation and population. It notes that SB 5570, which would have removed the 1% cap set by Initiative 747 (2001), failed in the Senate in 2024. https://www.washingtonpolicy.org/publications/detail/house-bill-1334-would-allow-municipalities-to-increase-property-taxes-significantly
- Freedom Foundation (State Policy Network affiliate): no property tax report since 2021 was found; its Washington tax work covers the capital gains tax and the 2026 millionaire tax.
Linked list: 7 items on the Analyses sheet (filter State = Washington); every source URL is linked on the Sources sheet.</t>
        </is>
      </c>
      <c r="U48" s="4" t="inlineStr">
        <is>
          <t>1944: constitutional limit on regular levies (now 1% of true value). 1973: $5.90 statutory aggregate limit. 2001: Initiative 747 (1% levy growth limit); the Supreme Court struck it down in 2007 and the Legislature reenacted it. 2007: constitutional amendment allowing simple-majority school levies. 2017-2018: McCleary school funding changes to the state levy and local levies.
2025: HB 2049 as introduced would have raised the 1% limit to 3%, and SB 5798 would have allowed the greater of 1% or population growth plus inflation; the change was dropped in April 2025 after Gov. Ferguson opposed it. HB 2049 was enacted (chapter 404, Laws of 2025) with higher school enrichment levy limits.
2026: ESSB 6162 (chapter 163, Laws of 2026; Senate 41-8, House 93-2, Senate concurred 41-8; signed March 23, 2026) expands the senior, disabled and veteran exemption for the 2027 tax year and merges the two parts of the state school levy. Seattle voters approved a $480 million library levy on Aug. 4, 2026.
Nov. 3, 2026: no property tax measure is on the statewide ballot. Initiative 645 would repeal the tax on household income over $1 million and bar state and local taxes on individual income.</t>
        </is>
      </c>
      <c r="V48" s="4" t="inlineStr">
        <is>
          <t>21st (0.75% effective rate; 0.83% in 2010)</t>
        </is>
      </c>
      <c r="W48" s="4" t="inlineStr">
        <is>
          <t>Washington limits each district's regular levy growth to 1% a year plus new construction (Initiative 747, reenacted 2007), under a constitutional 1% of value cap and a $5.90 statutory limit. Simple-majority lid lifts and school levies, banked capacity and a large state school levy keep revenue growing; Seattle's voter-approved property taxes are expected to reach $570 million in 2026. The 2025 attempt to raise the limit to 3% failed, while the Legislature raised school enrichment levy caps in 2025 and widened the senior exemption in 2026.</t>
        </is>
      </c>
      <c r="X48" s="4" t="inlineStr">
        <is>
          <t>https://washingtonstatestandard.com/2025/04/21/washington-democrats-abandon-property-tax-hike/
https://apps.lincolninst.edu/uploads/summary-tables/rate-limits-summary-tables/rate-limits-2022-4.xlsx
https://www.lincolninst.edu/app/uploads/2024/12/levy_limits_2022.xlsx
https://news.ballotpedia.org/2026/08/27/voters-in-seven-states-to-decide-13-property-tax-measures-in-2026/
https://www2.census.gov/programs-surveys/gov-finances/tables/2022/22slsstab1.xlsx
https://app.leg.wa.gov/billsummary?BillNumber=2049&amp;Year=2025
https://lawfilesext.leg.wa.gov/biennium/2025-26/Pdf/Bill%20Reports/House/2049-S.E%20HBR%20FBR%2025.pdf
https://app.leg.wa.gov/billsummary?BillNumber=6162&amp;Year=2026
https://lawfilesext.leg.wa.gov/biennium/2025-26/Pdf/Bill%20Reports/Senate/6162-S.E%20SBR%20FBR%2026.pdf
https://senatedemocrats.wa.gov/blog/2026/03/23/khq-washington-law-makes-more-people-eligible-for-property-tax-exemption/
https://thecentersquare.com/washington/article_e0ea71b0-85dd-40b8-8be4-7180d00692a6.html
https://www.yakimaherald.com/news/seattle-s-appetite-for-new-property-taxes-approaching-its-legal-limit/article_77c48458-9ad9-51a6-8615-4cb07ebca280.html
https://komonews.com/news/local/seattle-voters-to-decide-480m-library-levy-that-would-raise-property-taxes-27-branches-operating-budget-public-library-august-4-building-maintenance-services-tom-fay
https://content.govdelivery.com/accounts/WASEATTLE/bulletins/423ae08
https://ballotpedia.org/Washington_2026_ballot_measures
https://washingtonpolicy.org/publications/detail/senate-bill-5798-is-a-massive-tax-increase-on-the-homeowners-of-washington</t>
        </is>
      </c>
    </row>
    <row r="49" ht="409" customHeight="1">
      <c r="A49" s="13" t="inlineStr">
        <is>
          <t>West Virginia</t>
        </is>
      </c>
      <c r="B49" s="4" t="inlineStr">
        <is>
          <r>
            <rPr>
              <rFont val="Carlito"/>
              <b val="1"/>
              <sz val="14"/>
            </rPr>
            <t>C.</t>
          </r>
          <r>
            <rPr>
              <rFont val="Carlito"/>
              <sz val="11"/>
            </rPr>
            <t xml:space="preserve">
Restriction points 10.75 of 18 (levy limit 4; rate cap 2; truth in taxation 2; rollback 1; supermajority 0.5; school districts covered 1; use restrictions 0.25). Deductions: built-in loopholes -1.5; workarounds in practice -1; state buydowns -1.5; data record +0. Total 6.75 = C (A 11+, B 8.5-10.9, C 5.5-8.4, D 3-5.4, F under 3).
Why: Built-in loopholes -1.5: school excess levies pass by simple majority and can double school rates, the rollback allows 10% growth after a hearing, and special levies and new construction sit outside it. Workarounds -1: school excess levies are in place in 42 of 55 counties, and Kanawha County's supplies about a quarter of its school budget. Buydowns -1.5: the state allocated $140 million for a full year of vehicle property tax repayments, about 6.3% of FY2024 property tax collections of $2.22 billion. Record 0: a low 2.29% share of income and 0.52% effective rate offset real per-person growth well above the U.S. average (FY2002-FY2022 and FY2019-FY2024).</t>
          </r>
        </is>
      </c>
      <c r="C49" s="4">
        <f>((LEFT(D49,3)="Yes")+(LEFT(E49,3)="Yes")+(LEFT(F49,3)="Yes")+(LEFT(G49,3)="Yes"))&amp;" of 4 in force"&amp;IF(((LEFT(D49,7)="Partial")+(LEFT(E49,7)="Partial")+(LEFT(F49,7)="Partial")+(LEFT(G49,7)="Partial"))&gt;0," + "&amp;((LEFT(D49,7)="Partial")+(LEFT(E49,7)="Partial")+(LEFT(F49,7)="Partial")+(LEFT(G49,7)="Partial"))&amp;" partial","")&amp;CHAR(10)&amp;CHAR(10)&amp;IF(LEFT(D49,3)="Yes","✓",IF(LEFT(D49,7)="Partial","◐","✗"))&amp;" Spending limit"&amp;CHAR(10)&amp;IF(LEFT(E49,3)="Yes","✓",IF(LEFT(E49,7)="Partial","◐","✗"))&amp;" Levy limit"&amp;CHAR(10)&amp;IF(LEFT(F49,3)="Yes","✓",IF(LEFT(F49,7)="Partial","◐","✗"))&amp;" Assessment cap"&amp;CHAR(10)&amp;IF(LEFT(G49,3)="Yes","✓",IF(LEFT(G49,7)="Partial","◐","✗"))&amp;" Rate cap"</f>
        <v/>
      </c>
      <c r="D49" s="4" t="inlineStr">
        <is>
          <r>
            <rPr>
              <rFont val="Carlito"/>
              <b val="1"/>
              <sz val="11"/>
            </rPr>
            <t>No.</t>
          </r>
          <r>
            <rPr>
              <rFont val="Carlito"/>
              <sz val="11"/>
            </rPr>
            <t xml:space="preserve">
No limit on growth in local spending.</t>
          </r>
        </is>
      </c>
      <c r="E49" s="4" t="inlineStr">
        <is>
          <r>
            <rPr>
              <rFont val="Carlito"/>
              <b val="1"/>
              <sz val="11"/>
            </rPr>
            <t>Yes.</t>
          </r>
          <r>
            <rPr>
              <rFont val="Carlito"/>
              <sz val="11"/>
            </rPr>
            <t xml:space="preserve">
When an annual, triennial or general appraisal would raise county and municipal property tax revenue by 1% or more at current rates, the county commission and municipalities must lower their regular levy rates so revenue from existing property is no more than 101% of the prior year's (new construction and newly acquired personal property excluded; the 101% figure rises by any levy increase allowed under §11-1C-8(b)). After a public hearing they may set a higher rate, but in no single year may revenue from existing property exceed the prior year's by more than 10%. Special levies and voter-approved bond levies are outside the calculation. SB 167 (2026, chapter 240) revised the reduced-rate calculation procedure and the rules for late levy meetings; the 101% and 10% limits remain in force as of October 2026.
Authority: W. Va. Code §11-8-6e; SB 167 (2026).</t>
          </r>
        </is>
      </c>
      <c r="F49" s="4" t="inlineStr">
        <is>
          <r>
            <rPr>
              <rFont val="Carlito"/>
              <b val="1"/>
              <sz val="11"/>
            </rPr>
            <t>No.</t>
          </r>
          <r>
            <rPr>
              <rFont val="Carlito"/>
              <sz val="11"/>
            </rPr>
            <t xml:space="preserve">
No cap on growth in assessed value; property is assessed at 60% of value, with statewide reappraisal on a three-year cycle.</t>
          </r>
        </is>
      </c>
      <c r="G49" s="4" t="inlineStr">
        <is>
          <r>
            <rPr>
              <rFont val="Carlito"/>
              <b val="1"/>
              <sz val="11"/>
            </rPr>
            <t>Yes.</t>
          </r>
          <r>
            <rPr>
              <rFont val="Carlito"/>
              <sz val="11"/>
            </rPr>
            <t xml:space="preserve">
The Tax Limitation Amendment (1932) caps combined regular levies by class, per $100 of assessed value: Class I (certain personal property) 50 cents, Class II (owner-occupied homes and farms) $1.00, Class III (other property outside municipalities) $1.50 and Class IV (other property inside municipalities) $2.00. Statutes divide these among the state, counties, school boards and municipalities. Excess levies and bond levies need voter approval (see Supermajority).
Authority: W. Va. Const. art. X §1.</t>
          </r>
        </is>
      </c>
      <c r="H49" s="4" t="inlineStr">
        <is>
          <r>
            <rPr>
              <rFont val="Carlito"/>
              <b val="1"/>
              <sz val="11"/>
            </rPr>
            <t>Yes.</t>
          </r>
          <r>
            <rPr>
              <rFont val="Carlito"/>
              <sz val="11"/>
            </rPr>
            <t xml:space="preserve">
County boards of education levy the regular school rates set each year by the Legislature as part of the state aid formula, within the constitutional class limits. When an appraisal raises revenue, the regular school levy rate is reduced unless the Legislature, after a public hearing, raises it by act. Excess school levies need only a simple majority of votes cast, may run up to five years and may raise school rates by up to 100% of the maximum rates; school bonds also need a simple majority.
Authority: W. Va. Code §11-8-6f; W. Va. Const. art. X §10.</t>
          </r>
        </is>
      </c>
      <c r="I49" s="4" t="inlineStr">
        <is>
          <r>
            <rPr>
              <rFont val="Carlito"/>
              <b val="1"/>
              <sz val="11"/>
            </rPr>
            <t>Yes.</t>
          </r>
          <r>
            <rPr>
              <rFont val="Carlito"/>
              <sz val="11"/>
            </rPr>
            <t xml:space="preserve">
The state levies a small regular rate within the constitutional limits, an additional tax (Census FY2022: about $8 million). The Legislature also sets the regular school levy rates that every county board must impose for the school aid formula.</t>
          </r>
        </is>
      </c>
      <c r="J49" s="4" t="inlineStr">
        <is>
          <r>
            <rPr>
              <rFont val="Carlito"/>
              <b val="1"/>
              <sz val="11"/>
            </rPr>
            <t>Yes.</t>
          </r>
          <r>
            <rPr>
              <rFont val="Carlito"/>
              <sz val="11"/>
            </rPr>
            <t xml:space="preserve">
Homestead exemption: the first $20,000 of assessed value of a home owned and occupied by a person 65 or older or permanently and totally disabled is exempt.
Authority: W. Va. Const. art. X §1b; W. Va. Code ch. 11, art. 6B.</t>
          </r>
        </is>
      </c>
      <c r="K49" s="4" t="inlineStr">
        <is>
          <r>
            <rPr>
              <rFont val="Carlito"/>
              <b val="1"/>
              <sz val="11"/>
            </rPr>
            <t>Yes.</t>
          </r>
          <r>
            <rPr>
              <rFont val="Carlito"/>
              <sz val="11"/>
            </rPr>
            <t xml:space="preserve">
Refundable state income tax credits repay property taxes:
- Motor Vehicle Property Tax Adjustment Credit (enacted 2023): the property tax timely paid on eligible vehicles, for individuals and businesses (dealers and rental car companies excluded).
- Small Business Property Tax Adjustment Credit: 50% of personal property taxes timely paid by businesses with $1 million or less of personal property.
- Disabled Veteran Real Property Tax Credit: 100% of real property tax on the homestead of a 90-100% permanently and totally disabled veteran.
- Senior Citizen Tax Credit for low-income seniors who qualify for the homestead exemption, and the Homestead Excess Property Tax Credit.
Authority: West Virginia Tax Division, Income Tax Credits for Property Taxes Paid (2026).</t>
          </r>
        </is>
      </c>
      <c r="L49" s="4" t="inlineStr">
        <is>
          <r>
            <rPr>
              <rFont val="Carlito"/>
              <b val="1"/>
              <sz val="11"/>
            </rPr>
            <t>Yes.</t>
          </r>
          <r>
            <rPr>
              <rFont val="Carlito"/>
              <sz val="11"/>
            </rPr>
            <t xml:space="preserve">
The motor vehicle property tax adjustment credit repays through the income tax the full county property tax timely paid on motor vehicles owned by individuals and businesses, with dealer inventory excluded; any amount above the owner's income tax is paid as a refund. The local tax and its revenue stay in place, and the cost moves to the state. The State Tax Department puts total vehicle property taxes at about $172 million a year (2024 tax year) and notes that the credit costs less because only timely paid tax qualifies. Smaller refundable credits cover 50% of the personal property tax paid by small businesses with $1 million or less of personal property, and the real property tax of qualifying disabled veterans. The state school aid formula, which counts the state-set regular levy as local share, is general school aid and does not count.
Authority: W. Va. Code §§ 11-13MM-3 to 11-13MM-5 (2023 H.B. 2526); State Tax Department fiscal note, H.B. 2601.</t>
          </r>
        </is>
      </c>
      <c r="M49" s="4" t="inlineStr">
        <is>
          <r>
            <rPr>
              <rFont val="Carlito"/>
              <b val="1"/>
              <sz val="11"/>
            </rPr>
            <t>Yes.</t>
          </r>
          <r>
            <rPr>
              <rFont val="Carlito"/>
              <sz val="11"/>
            </rPr>
            <t xml:space="preserve">
The 101% rollback after appraisal can be exceeded only after a public hearing (it may be held with the budget hearing), and revenue still may not rise more than 10% in a year. West Virginia has had this rule since 1990; increases under 1% need no disclosure.
Authority: W. Va. Code §11-8-6e(c).</t>
          </r>
        </is>
      </c>
      <c r="N49" s="4" t="inlineStr">
        <is>
          <r>
            <rPr>
              <rFont val="Carlito"/>
              <b val="1"/>
              <sz val="11"/>
            </rPr>
            <t>Yes.</t>
          </r>
          <r>
            <rPr>
              <rFont val="Carlito"/>
              <sz val="11"/>
            </rPr>
            <t xml:space="preserve">
County and municipal rates roll back automatically to the 101% level after appraisal unless a hearing is held, and are capped at 10% revenue growth even then. Regular school levy rates also roll back after appraisal unless the Legislature raises them by act.
Authority: W. Va. Code §§11-8-6e, 11-8-6f; SB 167 (2026).</t>
          </r>
        </is>
      </c>
      <c r="O49" s="4" t="inlineStr">
        <is>
          <r>
            <rPr>
              <rFont val="Carlito"/>
              <b val="1"/>
              <sz val="11"/>
            </rPr>
            <t>Partial.</t>
          </r>
          <r>
            <rPr>
              <rFont val="Carlito"/>
              <sz val="11"/>
            </rPr>
            <t xml:space="preserve">
County and municipal excess levies need approval by at least 60% of voters, may run up to five years and may not exceed the constitutional maximum rates by more than 50%; county and municipal general obligation bonds also need 60%. School excess levies (up to five years and up to 100% of the maximum school rates) and school bonds need only a simple majority of votes cast.
Authority: W. Va. Const. art. X §§1, 8, 10, 11.</t>
          </r>
        </is>
      </c>
      <c r="P49" s="4" t="inlineStr">
        <is>
          <r>
            <rPr>
              <rFont val="Carlito"/>
              <b val="1"/>
              <sz val="11"/>
            </rPr>
            <t>No.</t>
          </r>
          <r>
            <rPr>
              <rFont val="Carlito"/>
              <sz val="11"/>
            </rPr>
            <t xml:space="preserve">
Excess levy and bond elections may be held at primary, general or special elections.</t>
          </r>
        </is>
      </c>
      <c r="Q49" s="4" t="inlineStr">
        <is>
          <r>
            <rPr>
              <rFont val="Carlito"/>
              <b val="1"/>
              <sz val="11"/>
            </rPr>
            <t>Partial.</t>
          </r>
          <r>
            <rPr>
              <rFont val="Carlito"/>
              <sz val="11"/>
            </rPr>
            <t xml:space="preserve">
Excess levies must state their purposes and fund only those purposes; regular levies are divided among the state, counties, school boards and municipalities by statute. Regular county and municipal levies are otherwise unrestricted.</t>
          </r>
        </is>
      </c>
      <c r="R49" s="4" t="inlineStr">
        <is>
          <t>55 counties; 231 municipalities; 55 county school districts; 298 special districts in the Census count, led by 75 water districts, 47 solid waste authorities, 45 water and sewer districts and 43 sewer districts. Census of Governments 2022: 639 local governments.</t>
        </is>
      </c>
      <c r="S49" s="4" t="inlineStr">
        <is>
          <t>Verdict: Failed. Property tax per person rose 44.0% after inflation from FY2002 to FY2024, against 25.9% for the U.S. A refundable state credit that repays vehicle property taxes ($140 million for a full year) also counts against West Virginia.
Why it leaks: After a hearing, counties and cities may exceed the 101% rollback (W. Va. Code §11-8-6e) by up to 10% a year, and new construction adds revenue on top. Special levies and bond levies sit outside it. School excess levies need only a simple majority and can double school rates for up to five years.
How localities get around it: 42 of 55 counties had a school excess levy in May 2026, and ten put school excess or bond levies on the May 12, 2026 primary ballot. Kanawha County's school excess levy has been in place since 1937.
Full record:
Constitutional class rate caps and the 101% reappraisal rollback hold down regular levies, but simple-majority school excess levies can double school rates, and the state now repays vehicle property taxes from its own budget.
The record (Census, BEA, ACS): state and local property tax was $1,258 per person in FY2024 (U.S. $2,132), 2.29% of personal income (37th-highest of 50; U.S. 2.89%). After inflation, collections per person (all state and local property tax divided by residents) rose 44.0% from FY2002 to FY2024 (U.S. +25.9%) and rose 6.9% from FY2019 to FY2024 (U.S. -1.1%). The median homeowner paid $881 in 2024 (U.S. $3,211); the median bill rose 11.8% after inflation from 2010 to 2024 (U.S. +9.3%). The Tax Foundation's 2026 ranking puts its effective property tax rate on owner-occupied homes at 0.51%, 9th-lowest of 50. By the same measure it was 0.47% in 2010 (U.S. 1.00% in 2010, 0.94% in 2024).
- School excess levies: 42 of 55 counties had a school excess levy in place in May 2026 (West Virginia Public Broadcasting, citing the West Virginia Center on Budget and Policy). They need only a simple majority, can raise school rates by up to 100% of the maximum and run up to five years at a time; ten counties had school excess or bond levies on the May 12, 2026 primary ballot.
- Big counties: Kanawha County (Charleston) voters renewed the school excess levy in November 2022 with 65% in favor; officials said losing it would cost about $64 million, a quarter of the school budget, and it has been in place since 1937. Monongalia County (Morgantown) put its school excess levy renewal on the May 12, 2026 ballot.
- Big cities: Morgantown and Westover levy the maximum allowable municipal rates for fiscal 2026, 25 cents per $100 on Class II and 50 cents per $100 on Class IV property (Dominion Post, April 2025).
- Rollback ceiling: after a hearing, counties and cities may take up to 10% more revenue a year from existing property, new construction adds revenue on top, and special levies sit outside the calculation.
- State money: the refundable vehicle credit leaves local vehicle taxes in place and pays them back from the state budget; the state allocated $140 million for a full year (MetroNews, July 25, 2023), about 6.3% of FY2024 state and local property tax collections. The state also repays 50% of small businesses' personal property tax and all real property tax for 90-100% disabled veterans. The 2022 amendment (Amendment 2) that would have let the Legislature exempt vehicles and business personal property won only 35% of the vote (Cardinal Institute).
Property tax is 80% of local tax revenue (Census FY2022); fees and charges are 40% of local own-source revenue.</t>
        </is>
      </c>
      <c r="T49" s="4" t="inlineStr">
        <is>
          <t>- Cardinal Institute for West Virginia Policy, "How K-12 Funding Works in West Virginia" (February 17, 2026). A one-pager on the Hope Scholarship finds that property taxes and county levies average $5,000 to $6,000 per student and stay with the district when a student leaves, while only the state formula share of $7,000 to $9,000 follows the student. Its message for local taxpayers: "Hope Scholarships do not reduce local or federal resources." https://cardinalinstitute.com/research/how-k-12-funding-works-in-west-virginia/
- Tax Foundation, Abir Mandal, "Good Policy Leads to More Tax Cuts for West Virginia" (July 26, 2024). Notes that many lawmakers are frustrated with Gov. Jim Justice's opposition to structural reforms, "including tackling the state's tangible personal property tax," and says the state, 22nd on the State Business Tax Climate Index, could improve its system by "tackling the inventory tax, and reducing or eliminating the taxation of all tangible personal property (machinery and equipment)." https://taxfoundation.org/blog/west-virginia-tax-cuts/
- Tax Foundation, Jared Walczak, "West Virginia Lawmakers Reach Deal on Tax Relief" (March 1, 2023). On HB 2526: because legislators "lack the constitutional authority to repeal local taxes on tangible personal property," the deal offers "a fully refundable income tax credit for car tax liability, and a 50 percent credit against businesses' property taxes on machinery, equipment, and inventory," plus a full property tax credit for disabled veterans, alongside an income tax rate cut of about 21.2 percent. Walczak: "This approach isn't perfect, but it does reduce the tax burden on in-state capital investment." https://taxfoundation.org/blog/west-virginia-tax-relief/
- Cardinal Institute for West Virginia Policy, "Keep the Receipt for Tax Rebates" (February 17, 2023). Garrett Ballengee notes that Amendment Two, which would have let the Legislature exempt business personal property, won only 35% of the vote in 2022, seven points below the next closest amendment, and argues against the tax rebates then before the Legislature: "Tax rebates are immensely burdensome and grossly inefficient, necessitate growth in the department of revenue, and will create a time lag between filing and issuance of the rebate." https://cardinalinstitute.com/tax-debates-and-tax-rebates/
- Americans for Prosperity-West Virginia, "WTAS: Historic Tax Reform for West Virginians" (February 15, 2023). AFP-WV's view of the Senate plan (SB 424): "Tax rebates are not sound policy," and property tax rebate schemes tried in other states "have largely failed to positively move the needle economically." It urged lawmakers to put the full amount the Senate would commit to tax reform into a personal income tax cut. https://americansforprosperity.org/press-release/wtas-historic-tax-reform-for-west-virginians/
- West Virginia Senate (Republican majority), "Senate Releases Comprehensive Plan to Provide Tax Relief to West Virginians" (February 8, 2023). Senate President Craig Blair (R-Berkeley) presented about $600 million in relief that paired a 15 percent income tax cut with property tax rebates for vehicle owners and small businesses (50 percent of equipment and inventory taxes), and said the plan "does not interfere in any way with the revenues collected by the levying bodies." Majority Leader Tom Takubo: "About 98 percent of businesses in West Virginia are small, family-owned businesses, and this 50 percent rebate will directly benefit those families." https://home.wvlegislature.gov/senate-releases-comprehensive-plan-to-provide-tax-relief-to-west-virginians/
- Tax Foundation, Jared Walczak, "West Virginia Voters Will Determine the Scope of Potential State Tax Reform" (October 12, 2022). On Amendment 2, which would let the Legislature scale back or repeal tangible personal property taxes: West Virginia is "one of only nine states to fully tax business inventory," repeal was recommended by the 1999 Governor's Commission on Fair Taxation and the 2006 Tax Modernization Project, and "the state's unusually burdensome taxes on investment and business property are not helping." An update notes voters rejected the amendment on November 8, 2022. https://taxfoundation.org/blog/west-virginia-amendment-2/
- Cardinal Institute for West Virginia Policy, "Amendment 2: What You Need To Know" (September 29, 2022). Explains that Amendment 2 (HJR 3, introduced by Del. Phillip Mallow in 2021 and passed by the Senate 29-5 on April 10, 2021) would let the Legislature exempt business machinery, equipment and inventory and personal motor vehicles from property tax, and sets out the arguments for and against, noting that Gov. Jim Justice and the state Democratic Party opposed it. https://cardinalinstitute.com/amendment-2-what-you-need-to-know/
- Americans for Prosperity-West Virginia, "Americans for Prosperity West Virginia Steps Up Ballot Measure and Candidate Engagement" (September 21, 2022). Announced a door-to-door campaign to reach tens of thousands of voters for yes votes on Amendments 2 and 4; State Director Jason Huffman: "Passage of Amendment 2 will give lawmakers the ability to cut property taxes that have held the Mountain State back for too long." https://americansforprosperity.org/press-release/americans-for-prosperity-west-virginia-steps-up-ballot-measure-and-candidate-engagement/
Linked list: 9 items on the Analyses sheet (filter State = West Virginia); every source URL is linked on the Sources sheet.</t>
        </is>
      </c>
      <c r="U49" s="4" t="inlineStr">
        <is>
          <t>1932: Tax Limitation Amendment (class rate caps). 1990: reappraisal rollback and hearing rule. 2022: voters rejected Amendment 2 (authority to exempt vehicles and business personal property), with 35% in favor. 2023: refundable income tax credit for vehicle property taxes.
2025: SB 724 (taxation, including the levy rollback section) died in House Finance (March 31, 2025).
2026: SB 144, a phased-in increase in the homestead exemption, passed the Senate and died in House Finance (last action March 5, 2026). SB 167 (chapter 240, approved March 17, 2026, effective June 9, 2026) revised levy meeting rules and the reduced-rate calculation under §11-8-6e. Proposed amendments to raise the homestead exemption from $20,000 to $40,000 or $50,000 did not reach the ballot. Ten counties voted on school excess or bond levies at the May 12, 2026 primary.
Nov. 3, 2026: no property tax measure is on the statewide ballot; the only statewide measure is the Citizenship Voting Requirement Amendment.</t>
        </is>
      </c>
      <c r="V49" s="4" t="inlineStr">
        <is>
          <t>9th (0.51% effective rate; 0.47% in 2010)</t>
        </is>
      </c>
      <c r="W49" s="4" t="inlineStr">
        <is>
          <t>West Virginia caps combined rates by property class in its constitution, rolls county and municipal rates back after appraisal to hold revenue growth to 1% (10% after a hearing), exempts $20,000 for seniors and disabled owners, and requires 60% voter approval for county and municipal excess levies and bonds. School excess levies and school bonds pass by simple majority, and school excess levies are in place in 42 of 55 counties. The state repays vehicle property taxes through the income tax, budgeted at about $140 million for a full year.</t>
        </is>
      </c>
      <c r="X49" s="4" t="inlineStr">
        <is>
          <t>https://code.wvlegislature.gov/11-8-6E/
https://apps.lincolninst.edu/uploads/summary-tables/rate-limits-summary-tables/rate-limits-2022-4.xlsx
https://www.lincolninst.edu/app/uploads/2024/12/levy_limits_2022.xlsx
https://www.lincolninst.edu/app/uploads/2024/10/truth_in_taxation_2024.xlsx
https://news.ballotpedia.org/2026/08/27/voters-in-seven-states-to-decide-13-property-tax-measures-in-2026/
https://www2.census.gov/programs-surveys/gov-finances/tables/2022/22slsstab1.xlsx
https://code.wvlegislature.gov/11-8-6F/
https://code.wvlegislature.gov/11-8-6G/
https://www.wvlegislature.gov/WVCODE/WV_CON.cfm
https://bills.wvlegislature.gov/bill/history/2026/RS/SB167
https://www.wvlegislature.gov/Bill_Status/Bills_history.cfm?input=144&amp;year=2026&amp;sessiontype=RS&amp;btype=bill
https://www.wvlegislature.gov/Bill_Status/Bills_history.cfm?input=724&amp;year=2025&amp;sessiontype=RS&amp;btype=bill
https://tax.wv.gov/Individuals/Pages/IncomeTaxCreditsForPropertyTaxesPaid.aspx
https://wvmetronews.com/2023/07/25/vehicle-tax-credit-confusion/
https://wvpolicy.org/live-blog-wvpb-follows-the-2026-primary-election/
https://wvpolicy.org/voters-in-10-counties-have-the-opportunity-to-support-their-public-schools-may-12/
https://wchstv.com/news/local/school-excess-public-library-levies-approved-in-kanawha-county
https://www.yahoo.com/news/county-municipalities-boe-lay-levy-023400449.html
https://ballotpedia.org/West_Virginia_2026_ballot_measures
https://cardinalinstitute.com/tax-debates-and-tax-rebates/
https://cardinalinstitute.com/amendment-2-what-you-need-to-know/</t>
        </is>
      </c>
    </row>
    <row r="50" ht="409" customHeight="1">
      <c r="A50" s="13" t="inlineStr">
        <is>
          <t>Wisconsin</t>
        </is>
      </c>
      <c r="B50" s="4" t="inlineStr">
        <is>
          <r>
            <rPr>
              <rFont val="Carlito"/>
              <b val="1"/>
              <sz val="14"/>
            </rPr>
            <t>C.</t>
          </r>
          <r>
            <rPr>
              <rFont val="Carlito"/>
              <sz val="11"/>
            </rPr>
            <t xml:space="preserve">
Restriction points 9.25 of 18 (spending limit 2; levy limit 4; rate cap 1; rollback 0.5; supermajority 0.5; school districts covered 1; use restrictions 0.25). Deductions: built-in loopholes -1.5; workarounds in practice -1; state buydowns -1.5; data record +1. Total 6.25 = C (A 11+, B 8.5-10.9, C 5.5-8.4, D 3-5.4, F under 3).
Why: Built-in loopholes -1.5: levy and revenue limits yield to simple-majority referenda, and the 2023 partial veto adds $325 per pupil a year to school revenue limits through 2425; general obligation debt service also sits outside levy limits. Workarounds -1: school referenda are routine (169 passed in 2024 for a record $4.4 billion; 46 of 75 passed in April 2026), led by Milwaukee Public Schools' $252 million a year in 2024. Buydowns -1.5: the $1.275 billion school levy credit alone equals about 11.2% of FY2024 property tax collections of $11.35 billion. Record +1: real per-person collections fell 5.4% from FY2002 to FY2022 (third-lowest growth) and real homeowner bills fell 18.2% from 2010 to 2024 (lowest growth in the nation), with a 2.79% share of income, though the 1.25% effective rate is high.</t>
          </r>
        </is>
      </c>
      <c r="C50" s="4">
        <f>((LEFT(D50,3)="Yes")+(LEFT(E50,3)="Yes")+(LEFT(F50,3)="Yes")+(LEFT(G50,3)="Yes"))&amp;" of 4 in force"&amp;IF(((LEFT(D50,7)="Partial")+(LEFT(E50,7)="Partial")+(LEFT(F50,7)="Partial")+(LEFT(G50,7)="Partial"))&gt;0," + "&amp;((LEFT(D50,7)="Partial")+(LEFT(E50,7)="Partial")+(LEFT(F50,7)="Partial")+(LEFT(G50,7)="Partial"))&amp;" partial","")&amp;CHAR(10)&amp;CHAR(10)&amp;IF(LEFT(D50,3)="Yes","✓",IF(LEFT(D50,7)="Partial","◐","✗"))&amp;" Spending limit"&amp;CHAR(10)&amp;IF(LEFT(E50,3)="Yes","✓",IF(LEFT(E50,7)="Partial","◐","✗"))&amp;" Levy limit"&amp;CHAR(10)&amp;IF(LEFT(F50,3)="Yes","✓",IF(LEFT(F50,7)="Partial","◐","✗"))&amp;" Assessment cap"&amp;CHAR(10)&amp;IF(LEFT(G50,3)="Yes","✓",IF(LEFT(G50,7)="Partial","◐","✗"))&amp;" Rate cap"</f>
        <v/>
      </c>
      <c r="D50" s="4" t="inlineStr">
        <is>
          <r>
            <rPr>
              <rFont val="Carlito"/>
              <b val="1"/>
              <sz val="11"/>
            </rPr>
            <t>Partial.</t>
          </r>
          <r>
            <rPr>
              <rFont val="Carlito"/>
              <sz val="11"/>
            </rPr>
            <t xml:space="preserve">
School districts are under revenue limits: the combined state general aid and property tax revenue a district may raise per pupil grows only by the per-pupil adjustment set in state law, unless voters approve more by referendum. The 2023 budget, through Gov. Evers' partial veto, raises that adjustment by $325 per pupil a year through 2425; the Wisconsin Supreme Court upheld the veto 4-3 on April 18, 2025 (LeMieux v. Evers, 2025 WI 12). Cities, villages, towns and counties have levy limits (see Levy) but no spending limit.
Authority: Wis. Stat. §121.91.</t>
          </r>
        </is>
      </c>
      <c r="E50" s="4" t="inlineStr">
        <is>
          <r>
            <rPr>
              <rFont val="Carlito"/>
              <b val="1"/>
              <sz val="11"/>
            </rPr>
            <t>Yes.</t>
          </r>
          <r>
            <rPr>
              <rFont val="Carlito"/>
              <sz val="11"/>
            </rPr>
            <t xml:space="preserve">
Cities, villages, towns and counties may raise their levy only by the "valuation factor," the percentage growth in equalized value from net new construction (0% if none), plus listed exceptions such as debt service on general obligation debt, tax incremental district closures and certain shared services. Unused levy capacity may be carried forward: using it requires a majority vote of the governing body for an increase of 0.5% or less and a three-quarters vote (two-thirds on bodies with fewer than five members) above that, up to a maximum increase of 1.5% (towns use a town meeting vote, with two-thirds of the town board above 0.5%). Larger increases need a referendum (majority vote). If a government starts charging fees for services the levy paid for before (such as garbage or snow removal), it must cut its levy by the fee revenue unless voters agree otherwise.
Authority: Wis. Stat. §66.0602.</t>
          </r>
        </is>
      </c>
      <c r="F50" s="4" t="inlineStr">
        <is>
          <r>
            <rPr>
              <rFont val="Carlito"/>
              <b val="1"/>
              <sz val="11"/>
            </rPr>
            <t>No.</t>
          </r>
          <r>
            <rPr>
              <rFont val="Carlito"/>
              <sz val="11"/>
            </rPr>
            <t xml:space="preserve">
No cap on growth in assessed value. The constitution's uniformity clause requires one rate on all taxable property (agricultural land is valued on use value), which rules out homestead classifications and assessment caps.</t>
          </r>
        </is>
      </c>
      <c r="G50" s="4" t="inlineStr">
        <is>
          <r>
            <rPr>
              <rFont val="Carlito"/>
              <b val="1"/>
              <sz val="11"/>
            </rPr>
            <t>Partial.</t>
          </r>
          <r>
            <rPr>
              <rFont val="Carlito"/>
              <sz val="11"/>
            </rPr>
            <t xml:space="preserve">
Counties' operating levy rates are frozen at their 1992 levels (with exceptions), and technical college districts may levy no more than 1.5 mills for operations. Cities, villages, towns and school districts have no rate limit.
Authority: Wis. Stat. §59.605.</t>
          </r>
        </is>
      </c>
      <c r="H50" s="4" t="inlineStr">
        <is>
          <r>
            <rPr>
              <rFont val="Carlito"/>
              <b val="1"/>
              <sz val="11"/>
            </rPr>
            <t>Yes.</t>
          </r>
          <r>
            <rPr>
              <rFont val="Carlito"/>
              <sz val="11"/>
            </rPr>
            <t xml:space="preserve">
School districts are under revenue limits (see Spending), which cap combined state aid and property taxes per pupil. Voters may approve operating referenda to exceed the limit and debt referenda for buildings, both by simple majority. Referendum-approved debt is outside the limit.</t>
          </r>
        </is>
      </c>
      <c r="I50" s="4" t="inlineStr">
        <is>
          <r>
            <rPr>
              <rFont val="Carlito"/>
              <b val="1"/>
              <sz val="11"/>
            </rPr>
            <t>No.</t>
          </r>
          <r>
            <rPr>
              <rFont val="Carlito"/>
              <sz val="11"/>
            </rPr>
            <t xml:space="preserve">
Wisconsin repealed its state forestry property tax in 2017; all property taxes are now local.</t>
          </r>
        </is>
      </c>
      <c r="J50" s="4" t="inlineStr">
        <is>
          <r>
            <rPr>
              <rFont val="Carlito"/>
              <b val="1"/>
              <sz val="11"/>
            </rPr>
            <t>No.</t>
          </r>
          <r>
            <rPr>
              <rFont val="Carlito"/>
              <sz val="11"/>
            </rPr>
            <t xml:space="preserve">
The uniformity clause bars a homestead exemption. Homeowners receive the lottery and gaming credit on their principal dwelling and, if income-eligible, the homestead credit (see Credits).</t>
          </r>
        </is>
      </c>
      <c r="K50" s="4" t="inlineStr">
        <is>
          <r>
            <rPr>
              <rFont val="Carlito"/>
              <b val="1"/>
              <sz val="11"/>
            </rPr>
            <t>Yes.</t>
          </r>
          <r>
            <rPr>
              <rFont val="Carlito"/>
              <sz val="11"/>
            </rPr>
            <t xml:space="preserve">
All state-funded:
- School levy tax credit: $1.275 billion a year since 2024-25 (about 22% of average school levies for 2025-26 bills), shown on every property tax bill and allocated by each municipality's share of school levies.
- First dollar credit (every improved parcel) and lottery and gaming credit (principal dwellings), both on the tax bill.
- Homestead credit: a refundable income tax credit for low-income homeowners and renters.
- Veterans and surviving spouses property tax credit for veterans with a 100% service-connected disability.
Authority: Wis. Stat. §79.10; Wisconsin Department of Revenue, School Levy Tax Credit (2025).</t>
          </r>
        </is>
      </c>
      <c r="L50" s="4" t="inlineStr">
        <is>
          <r>
            <rPr>
              <rFont val="Carlito"/>
              <b val="1"/>
              <sz val="11"/>
            </rPr>
            <t>Yes.</t>
          </r>
          <r>
            <rPr>
              <rFont val="Carlito"/>
              <sz val="11"/>
            </rPr>
            <t xml:space="preserve">
The school levy tax credit, $1.275 billion a year, is paid from state general revenue to municipalities, which subtract it from each property tax bill in proportion to assessed value. The first dollar credit, paid from the same appropriation, reduces the school tax on each improved parcel, and the lottery and gaming credit reduces the tax on owner-occupied primary residences. The state also pays every taxing jurisdiction aid equal to the tax lost to the personal property exemptions, including $173.8 million budgeted for 2026 under 2023 Act 12 and separate payments for exempt machinery and computers. Shared revenue and general school aid inside the revenue limits are unrestricted or formula aid and do not count.
Authority: Wis. Stat. §§ 20.835(3)(b), 79.095, 79.096, 79.0965, 79.10; Wisconsin Department of Revenue, State School Levies Credit (Nov. 20, 2025).</t>
          </r>
        </is>
      </c>
      <c r="M50" s="4" t="inlineStr">
        <is>
          <r>
            <rPr>
              <rFont val="Carlito"/>
              <b val="1"/>
              <sz val="11"/>
            </rPr>
            <t>No.</t>
          </r>
          <r>
            <rPr>
              <rFont val="Carlito"/>
              <sz val="11"/>
            </rPr>
            <t/>
          </r>
        </is>
      </c>
      <c r="N50" s="14" t="inlineStr">
        <is>
          <r>
            <rPr>
              <rFont val="Carlito"/>
              <b val="1"/>
              <sz val="11"/>
            </rPr>
            <t>Partial.</t>
          </r>
          <r>
            <rPr>
              <rFont val="Carlito"/>
              <sz val="11"/>
            </rPr>
            <t xml:space="preserve">
No rollback rate. Levy limits cap municipal and county levy dollars and revenue limits cap school revenue, so rates fall as values rise.</t>
          </r>
        </is>
      </c>
      <c r="O50" s="4" t="inlineStr">
        <is>
          <r>
            <rPr>
              <rFont val="Carlito"/>
              <b val="1"/>
              <sz val="11"/>
            </rPr>
            <t>Partial.</t>
          </r>
          <r>
            <rPr>
              <rFont val="Carlito"/>
              <sz val="11"/>
            </rPr>
            <t xml:space="preserve">
Using carried-forward levy capacity above 0.5% requires three-quarters of the governing body (two-thirds on bodies with fewer than five members). Referenda to exceed levy or revenue limits pass by simple majority.
Authority: Wis. Stat. §66.0602.</t>
          </r>
        </is>
      </c>
      <c r="P50" s="4" t="inlineStr">
        <is>
          <r>
            <rPr>
              <rFont val="Carlito"/>
              <b val="1"/>
              <sz val="11"/>
            </rPr>
            <t>No.</t>
          </r>
          <r>
            <rPr>
              <rFont val="Carlito"/>
              <sz val="11"/>
            </rPr>
            <t xml:space="preserve">
Levy limit and school revenue limit referenda may be held at spring (April), partisan primary or November elections.</t>
          </r>
        </is>
      </c>
      <c r="Q50" s="4" t="inlineStr">
        <is>
          <r>
            <rPr>
              <rFont val="Carlito"/>
              <b val="1"/>
              <sz val="11"/>
            </rPr>
            <t>Partial.</t>
          </r>
          <r>
            <rPr>
              <rFont val="Carlito"/>
              <sz val="11"/>
            </rPr>
            <t xml:space="preserve">
The fee-shift rule ties levies to services previously funded by the tax, and debt levies may pay only debt. General levies are otherwise unrestricted.</t>
          </r>
        </is>
      </c>
      <c r="R50" s="4" t="inlineStr">
        <is>
          <t>72 counties; 605 cities and villages; 1,245 towns; 437 school districts in the Census count (the Department of Public Instruction counts 421); 16 technical college districts; 703 special districts in the Census count, led by 226 lake and other natural resource districts and 208 sanitary and sewer districts. Census of Governments 2022: 3,062 local governments.</t>
        </is>
      </c>
      <c r="S50" s="4" t="inlineStr">
        <is>
          <t>Verdict: Worked. Property tax per person fell 8.0% after inflation from FY2002 to FY2024 while the U.S. figure rose 25.9%. State credits applied to tax bills, more than $1.275 billion a year for the school levy credit alone, count against Wisconsin.
Why it leaks: Municipal and county levy limits (Wis. Stat. §66.0602) exclude debt service, and governing bodies may use carried-forward capacity of up to 1.5% by their own vote. Simple-majority referenda lift school revenue limits, and the 2023 partial veto adds $325 per pupil a year through 2425.
How localities get around it: Milwaukee Public Schools won an April 2, 2024 spring referendum with 51% of the vote to raise its revenue limit by $252 million a year. Tax incremental districts raise municipal levy limits while their added value stays off the tax base.
Full record:
Has it worked? Largely yes for cities, villages, towns and counties, whose levies may grow only with net new construction. School districts are the leak: simple-majority referenda routinely lift revenue limits, and the 2023 partial veto raises those limits by $325 per pupil every year until 2425.
The record (Census, BEA, ACS): state and local property tax was $1,905 per person in FY2024 (U.S. $2,132), 2.79% of personal income (22nd-highest of 50; U.S. 2.89%). After inflation, collections per person (all state and local property tax divided by residents) fell 8.0% from FY2002 to FY2024 (U.S. +25.9%) and fell 7.9% from FY2019 to FY2024 (U.S. -1.1%). The median homeowner paid $3,680 in 2024 (U.S. $3,211); the median bill fell 18.2% after inflation from 2010 to 2024 (U.S. +9.3%). The Tax Foundation's 2026 ranking puts its effective property tax rate on owner-occupied homes at 1.32%, 41st-lowest of 50. By the same measure it was 1.60% in 2010 (U.S. 1.00% in 2010, 0.94% in 2024).
Overrides: in 2024 a record 241 school referenda went to voters; 169 passed and authorized a record $4.4 billion, $3.3 billion of it debt (Wisconsin Policy Forum). In April 2026, 46 of 75 passed (61.3%, down from 70.1% in 2024), approving $333.2 million for operations and $208.7 million for buildings; 14 of 21 requests of $10 million or more passed, including Appleton and Howard-Suamico (Wisconsin Policy Forum).
Big cities: Milwaukee Public Schools won a referendum on April 2, 2024 to raise its revenue limit by $252 million a year, with 51% of the vote and a margin of 1,720 votes. The Badger Institute estimated the cost at $864 a year on a house assessed at $400,000 and noted that Milwaukee had the sixth-highest property tax rate among the 50 largest U.S. cities (2023).
Escalator: the 400-year veto, upheld 4-3 on April 18, 2025 (LeMieux v. Evers), adds $325 per pupil a year to every district's revenue limit, room that property taxes can fill without a vote.
TIF: growth inside tax incremental districts raises municipal levy limits while the added value stays off the tax base until the district's costs are paid, so mill rates on other owners can rise (Badger Institute, August 20, 2026).
Exclusions: debt service on general obligation debt sits outside municipal and county levy limits, and governing bodies can use carried-forward capacity of up to 1.5% by their own vote.
Revenue shift: 2023 Wis. Act 12 let the City and County of Milwaukee add local sales taxes.
Property tax is 91% of local tax revenue (Census FY2022); fees and charges are 31% of local own-source revenue.</t>
        </is>
      </c>
      <c r="T50" s="4" t="inlineStr">
        <is>
          <t>- Wisconsin Institute for Law &amp; Liberty, Will Flanders, "Analysis: Property Taxes in Wisconsin are Heating Up!" (September 2, 2026). Finds that the taxing authority created by Gov. Tony Evers' 400-year veto has grown 300% since 2023 while inflation rose about 9%, and that only 77 school districts under-levied by more than $1 in 2025-26, by an average of $21,673. Urges a yes vote on the fall constitutional amendment that would bar governors from using the line-item veto to increase taxes. https://will-law.org/analysis-property-taxes-in-wisconsin-are-heating-up/
- Americans for Prosperity-Wisconsin, "AFP-WI: Crowley's 'Affordability' Ad Omits the $12 Million Property Tax Increase in His Own Budget" (August 21, 2026). Says Milwaukee County Executive David Crowley, now running for governor, raised the county property tax levy three years in a row, with a 2.5% increase in the adopted 2025 budget and about $12 million more in his latest proposal. State Director Megan Novak: "Seventy-two percent of Wisconsin homeowners will tell you they are not getting their money's worth from their property tax bill, and Milwaukee County is the reason why they are right." https://americansforprosperity.org/press-release/afp-wi-crowleys-affordability-ad-omits-the-12-million-property-tax-increase-in-his-own-budget/
- Badger Institute, "How a development tool can increase property taxes" (August 20, 2026). Patrick McIlheran reports that tax incremental financing interacts with the municipal levy limit: growth spurred inside a TIF district raises the limit while the added value stays out of the city's tax base until the district's costs are paid, which can raise other owners' bills. Former state Sen. Duey Stroebel says a city can avoid that effect by levying less than the limit allows. https://www.badgerinstitute.org/how-a-development-tool-can-increase-property-taxes/
- Badger Institute, Wyatt Eichholz, "School levy tax credits reward big spenders at the expense of frugal districts" (February 19, 2026). The $1.275 billion school levy tax credit is divided by each municipality's share of three-year average school levies, so districts that pass referendums and raise levies fastest gain credit at the expense of restrained ones; of 895 municipalities whose credit fell, 532 still saw their average school levy rise. Notes Evers proposed a one-time $550 million increase in the credit and Republican lawmakers countered with $500 million. https://www.badgerinstitute.org/school-levy-tax-credits-reward-big-spenders-at-the-expense-of-frugal-districts/
- Institute for Reforming Government, "Decoupling vote has IRG talking about property taxes, again" (January 27, 2026). IRG argues that "the state deducts state funding from your local district for choice students" and "your district makes up the difference by raising property taxes," and The Center Square reports that IRG accused the Wisconsin Association of School Boards of "refusing to lower property taxes" in its vote on the latest decoupling plan. https://reforminggovernment.org/decoupling-vote-has-irg-talking-about-property-taxes-again/
- Badger Institute, Jared Walczak, "Governor Evers' property tax relief plan fails to constrain property tax growth" (January 21, 2026). Argues that Evers' plan to spend $1.3 billion of surplus buying down property tax bills shifts costs to state taxes for two years and leaves in place the main driver, the 400-year veto, which adds $325 per pupil to school revenue limits every year until 2425, so the fiscal 2026 limit is $975 per pupil higher than it would be without it. Warns that local governments taking levy-freeze aid would "face a substantial budget hole in year three." https://www.badgerinstitute.org/governor-evers-property-tax-relief-plan-fails-to-constrain-property-tax-growth/
- Wisconsin Senate President Mary Felzkowski (R-Tomahawk), "Felzkowski Responds to Court Upholding Evers' 400 Year Property Tax Increase" (April 18, 2025). After the Wisconsin Supreme Court upheld the 400-year veto, Felzkowski said the ruling means "a $246 increase every two years" for the median homeowner and that the idea of the state backfilling the money for 400 years "is wildly unrealistic and would be fiscally unsustainable." https://legis.wisconsin.gov/senate/12/Felzkowski/media/i3hjvqyr/20250418-400-year-veto-upheld.pdf
- Institute for Reforming Government, "Court Watch: Property Taxes Could Skyrocket if Supreme Court Overturns Act 10" (February 5, 2025). IRG's primer says Act 10 has saved taxpayers $16.8 billion, or $5,600 per taxpayer, and that because levy limits constrain local property tax increases, a court repeal would strain local budgets; the release says repeal "would wipe out hundreds of dollars in annual property tax savings for homeowners." https://reforminggovernment.org/court-watch-property-taxes-could-skyrocket-if-supreme-court-overturns-act-10/
- MacIver Institute, William Osmulski, "On the Ballot: City and Village Referendums" (January 29, 2025). Argues municipalities are following school districts in asking voters for permanent levy increases: the Village of Oregon's $1.95 million operating referendum would add $429 to the typical bill, and Brookfield's projected gap disappears once more than $4 million a year in debt service, which falls outside levy limits, is taken out. Osmulski: "Facts don't matter when the government is trying to get more of your money." https://www.maciverinstitute.com/research/on-the-ballot-city-and-village-referendums
- Wisconsin Institute for Law &amp; Liberty, "Wisconsin's Referendum Process Results in Misleading Tax Increases, Leaves Voters in the Dark" (April 9, 2024). Releases the report "Piercing the Fog: Shedding Light on School District Referenda in Wisconsin," which finds districts stress mill rates while property values rise and use "ballooning" debt payments that obscure the full cost, and offers model legislation requiring each referendum to state its net tax impact per $100,000 of value and how far tax rates would drop if it fails. More than 90 districts went to referendum in spring 2024, and 58.8% passed. https://will-law.org/wisconsins-referendum-process-results-in-misleading-tax-increases-leave-voters-in-the-dark/
- Badger Institute, "Badger Institute urges 'no' vote on MPS referendum" (March 14, 2024). Opposed Milwaukee Public Schools' request for $252 million more a year, estimating an added $864 a year on a house assessed at $400,000, and noted that Milwaukee ranked sixth-highest in property tax rate among the 50 largest U.S. cities in a 2023 study. https://www.badgerinstitute.org/badger-institute-urges-no-vote-on-mps-referendum/
- Lucy Burns Institute (State Policy Network associate): no property tax report since 2021 was found.
Linked list: 12 items on the Analyses sheet (filter State = Wisconsin); every source URL is linked on the Sources sheet.</t>
        </is>
      </c>
      <c r="U50" s="4" t="inlineStr">
        <is>
          <t>1993: school revenue limits. 2005: municipal and county levy limits (tightened to net new construction in 2011). 2017: state forestry tax repealed.
2023: partial veto adding $325 per pupil a year for 400 years; 2023 Wis. Act 12 (shared revenue increase and Milwaukee sales taxes).
2024: record school referenda ($4.4 billion approved). Milwaukee Public Schools' referendum for $252 million more a year passed April 2, 2024 with 51% of the vote.
2025: the Wisconsin Supreme Court upheld the 400-year veto 4-3 on April 18, 2025 (LeMieux v. Evers, 2025 WI 12).
2026: in April, 46 of 75 school referenda passed. In May, a $1.8 billion tax-and-spending deal between Gov. Evers and the Legislature (about $870 million in one-time rebates of up to $300 for single filers and $600 for joint filers, plus about $315 million more in special education aid) passed the Assembly and failed 18-15 in the Senate (Badger Institute).
Nov. 3, 2026 ballot: Question 1, a constitutional amendment referred by the Legislature on February 19, 2026, would bar the governor from using the partial veto to create or increase any tax or fee (Ballotpedia, as of October 11, 2026). No measure on property tax limits is on the ballot.</t>
        </is>
      </c>
      <c r="V50" s="4" t="inlineStr">
        <is>
          <t>41st (1.32% effective rate; 1.60% in 2010)</t>
        </is>
      </c>
      <c r="W50" s="4" t="inlineStr">
        <is>
          <t>Wisconsin limits municipal and county levy growth to net new construction and school revenue per pupil to a state-set amount, with simple-majority referenda to exceed them, and pays a $1.275 billion school levy credit on every bill. Referenda reached records in 2024, and a 2023 partial veto raises school revenue limits by $325 per pupil each year for 400 years.</t>
        </is>
      </c>
      <c r="X50" s="4" t="inlineStr">
        <is>
          <t>https://docs.legis.wisconsin.gov/statutes/statutes/66/vi/0602
https://www.revenue.wi.gov/DORReports/School_Levy_Paper_2025.pdf
https://www.wxpr.org/election/2024-11-14/study-finds-wisconsin-voters-approved-a-record-number-of-school-referenda
https://www.lincolninst.edu/app/uploads/2024/12/levy_limits_2022.xlsx
https://www.lincolninst.edu/app/uploads/2024/12/revenue_and_expenditure_limits_2022.xlsx
https://news.ballotpedia.org/2026/08/27/voters-in-seven-states-to-decide-13-property-tax-measures-in-2026/
https://www2.census.gov/programs-surveys/gov-finances/tables/2022/22slsstab1.xlsx
https://www.staffordlaw.com/blog/litigation/wisconsin-supreme-court-upholds-governors-400-year-veto-and-affirms-expansive-partial-veto-power/
https://biztimes.com/report-school-funding-gaps-widen-as-referendum-approval-rates-slip/
https://spectrumnews1.com/wi/milwaukee/news/2026/05/18/support-for-school-referenda-weakens
https://www.tmj4.com/america-votes/voters-approve-252-million-referendum-for-milwaukee-public-schools
https://www.badgerinstitute.org/badger-institute-urges-no-vote-on-mps-referendum/
https://www.badgerinstitute.org/how-a-development-tool-can-increase-property-taxes/
https://www.badgerinstitute.org/failure-of-tax-and-schools-deal-offers-chance-to-do-better/
https://reforminggovernment.org/decoupling-vote-has-irg-talking-about-property-taxes-again/
https://ballotpedia.org/Wisconsin_2026_ballot_measures</t>
        </is>
      </c>
    </row>
    <row r="51" ht="409" customHeight="1">
      <c r="A51" s="13" t="inlineStr">
        <is>
          <t>Wyoming</t>
        </is>
      </c>
      <c r="B51" s="4" t="inlineStr">
        <is>
          <r>
            <rPr>
              <rFont val="Carlito"/>
              <b val="1"/>
              <sz val="14"/>
            </rPr>
            <t>D.</t>
          </r>
          <r>
            <rPr>
              <rFont val="Carlito"/>
              <sz val="11"/>
            </rPr>
            <t xml:space="preserve">
Restriction points 5.25 of 18 (assessment cap 2; rate cap 2; school districts covered 1; use restrictions 0.25). Deductions: built-in loopholes -1; workarounds in practice -0.5; state buydowns +0; data record -0.5. Total 3.25 = D (A 11+, B 8.5-10.9, C 5.5-8.4, D 3-5.4, F under 3).
Why: Built-in loopholes -1: the 4% cap covers only single family homes and resets to full value after a sale, and voter-approved mills and bonds pass by simple majority with no levy or spending limit behind the mill caps. Workarounds -0.5: fees are 64.5% of local own-source revenue, the highest share in the nation, and 643 special districts add governments beyond county and city mill limits. Buydowns 0: the refund program ($20 million in 2024 plus $10.5 million in 2025) is about 2% of FY2024 collections of $1.55 billion. Record -0.5: real per-person collections rose 3.9% from FY2019 to FY2024 (U.S. -1.1%) and real homeowner bills rose 20.9% from 2010 to 2024 (U.S. 9.3%), partly offset by a low 0.57% effective rate.</t>
          </r>
        </is>
      </c>
      <c r="C51" s="4">
        <f>((LEFT(D51,3)="Yes")+(LEFT(E51,3)="Yes")+(LEFT(F51,3)="Yes")+(LEFT(G51,3)="Yes"))&amp;" of 4 in force"&amp;IF(((LEFT(D51,7)="Partial")+(LEFT(E51,7)="Partial")+(LEFT(F51,7)="Partial")+(LEFT(G51,7)="Partial"))&gt;0," + "&amp;((LEFT(D51,7)="Partial")+(LEFT(E51,7)="Partial")+(LEFT(F51,7)="Partial")+(LEFT(G51,7)="Partial"))&amp;" partial","")&amp;CHAR(10)&amp;CHAR(10)&amp;IF(LEFT(D51,3)="Yes","✓",IF(LEFT(D51,7)="Partial","◐","✗"))&amp;" Spending limit"&amp;CHAR(10)&amp;IF(LEFT(E51,3)="Yes","✓",IF(LEFT(E51,7)="Partial","◐","✗"))&amp;" Levy limit"&amp;CHAR(10)&amp;IF(LEFT(F51,3)="Yes","✓",IF(LEFT(F51,7)="Partial","◐","✗"))&amp;" Assessment cap"&amp;CHAR(10)&amp;IF(LEFT(G51,3)="Yes","✓",IF(LEFT(G51,7)="Partial","◐","✗"))&amp;" Rate cap"</f>
        <v/>
      </c>
      <c r="D51" s="4" t="inlineStr">
        <is>
          <r>
            <rPr>
              <rFont val="Carlito"/>
              <b val="1"/>
              <sz val="11"/>
            </rPr>
            <t>No.</t>
          </r>
          <r>
            <rPr>
              <rFont val="Carlito"/>
              <sz val="11"/>
            </rPr>
            <t xml:space="preserve">
No limit on growth in local spending. Local budgets must balance, which does not limit their size.</t>
          </r>
        </is>
      </c>
      <c r="E51" s="4" t="inlineStr">
        <is>
          <r>
            <rPr>
              <rFont val="Carlito"/>
              <b val="1"/>
              <sz val="11"/>
            </rPr>
            <t>No.</t>
          </r>
          <r>
            <rPr>
              <rFont val="Carlito"/>
              <sz val="11"/>
            </rPr>
            <t xml:space="preserve">
No cap on growth in levies; local governments levy fixed mills within constitutional and statutory rate limits, so revenue rises with value except where the assessment cap applies.</t>
          </r>
        </is>
      </c>
      <c r="F51" s="4" t="inlineStr">
        <is>
          <r>
            <rPr>
              <rFont val="Carlito"/>
              <b val="1"/>
              <sz val="11"/>
            </rPr>
            <t>Yes.</t>
          </r>
          <r>
            <rPr>
              <rFont val="Carlito"/>
              <sz val="11"/>
            </rPr>
            <t xml:space="preserve">
Residential property: HB 45 (2024, Enrolled Act 54) exempts any increase in a single family residence's assessed value above the prior year's assessed value plus 4%, a cap structured as an exemption. It first applied to residential structures in tax year 2024 and to the associated land in tax year 2025; property acquired during the prior calendar year is valued at full value. SF 69 (2025, Enrolled Act 60) exempts 25% of the fair market value of a single family residence and its improved land, on the first $1 million of value. Assessment ratios: 9.5% of value for residential, commercial and agricultural property, 11.5% for industrial property and 100% of value for mineral production. Voters approved Constitutional Amendment A in 2024, allowing a separate residential class.
Pending: in June 2026 the State Board of Equalization reported that the 4% cap conflicts with the constitution's "equal and uniform" rule and said it could not certify residential values; on June 19, 2026 Laramie County District Judge Nathaniel Hibben ordered the board to apply the cap for now, at the request of Gov. Gordon, who had sued the board.
Authority: W.S. 39-11-105(a)(xliii) and (xliv); HB 45 (2024); SF 69 (2025).</t>
          </r>
        </is>
      </c>
      <c r="G51" s="4" t="inlineStr">
        <is>
          <r>
            <rPr>
              <rFont val="Carlito"/>
              <b val="1"/>
              <sz val="11"/>
            </rPr>
            <t>Yes.</t>
          </r>
          <r>
            <rPr>
              <rFont val="Carlito"/>
              <sz val="11"/>
            </rPr>
            <t xml:space="preserve">
Constitutional and statutory mill limits: counties 12 mills for general purposes, plus levies for special purposes and 6 mills for schools; cities and towns 8 mills; school districts within their own limits; the state up to 4 mills for general purposes and 12 mills for schools. Debt service and some voted levies sit outside.
Authority: Wyo. Const. art. 15.</t>
          </r>
        </is>
      </c>
      <c r="H51" s="4" t="inlineStr">
        <is>
          <r>
            <rPr>
              <rFont val="Carlito"/>
              <b val="1"/>
              <sz val="11"/>
            </rPr>
            <t>Yes.</t>
          </r>
          <r>
            <rPr>
              <rFont val="Carlito"/>
              <sz val="11"/>
            </rPr>
            <t xml:space="preserve">
School districts levy within mill limits, the state levies 12 mills and counties 6 mills for schools, and the school foundation program recaptures district revenue above the state-guaranteed amount. School taxes fall under the residential assessment cap and the SF 69 exemption.</t>
          </r>
        </is>
      </c>
      <c r="I51" s="4" t="inlineStr">
        <is>
          <r>
            <rPr>
              <rFont val="Carlito"/>
              <b val="1"/>
              <sz val="11"/>
            </rPr>
            <t>Yes.</t>
          </r>
          <r>
            <rPr>
              <rFont val="Carlito"/>
              <sz val="11"/>
            </rPr>
            <t xml:space="preserve">
State levy of 12 mills for school foundation funding (plus authority for up to 4 mills for general state purposes), an additional tax collected by counties. Census FY2022 state property tax revenue: about $268 million.</t>
          </r>
        </is>
      </c>
      <c r="J51" s="4" t="inlineStr">
        <is>
          <r>
            <rPr>
              <rFont val="Carlito"/>
              <b val="1"/>
              <sz val="11"/>
            </rPr>
            <t>Yes.</t>
          </r>
          <r>
            <rPr>
              <rFont val="Carlito"/>
              <sz val="11"/>
            </rPr>
            <t xml:space="preserve">
- SF 69 (2025): 25% exemption on the first $1 million of a residence's value.
- Long-term homeowner exemption: for owners 65 or older who have paid Wyoming residential property tax for at least 25 years, 50% of the fair market value of a primary residence is exempt, on the first $3 million of value (HB 45, 2026, which repealed the original sunset after tax year 2026); recipients cannot also take the SF 69 exemption, and an owner cannot claim it together with an Initiative 1 exemption if that becomes law.
- Veterans' exemption on a fixed amount of assessed value.
Pending: Initiative 1 (Nov. 3, 2026) would exempt 50% of the assessed value of the dwelling on a primary residence; the ballot language says the exemption applies to the residential structure (see Reforms).</t>
          </r>
        </is>
      </c>
      <c r="K51" s="4" t="inlineStr">
        <is>
          <r>
            <rPr>
              <rFont val="Carlito"/>
              <b val="1"/>
              <sz val="11"/>
            </rPr>
            <t>Yes.</t>
          </r>
          <r>
            <rPr>
              <rFont val="Carlito"/>
              <sz val="11"/>
            </rPr>
            <t xml:space="preserve">
Property tax refund program: the state refunds part of property taxes paid by eligible lower-income homeowners. It received $20 million in 2024, and the 2025 session added $10.5 million through HB 279. Counties also offer deferrals for older and disabled owners.</t>
          </r>
        </is>
      </c>
      <c r="L51" s="4" t="inlineStr">
        <is>
          <r>
            <rPr>
              <rFont val="Carlito"/>
              <b val="1"/>
              <sz val="11"/>
            </rPr>
            <t>Partial.</t>
          </r>
          <r>
            <rPr>
              <rFont val="Carlito"/>
              <sz val="11"/>
            </rPr>
            <t xml:space="preserve">
The state reimburses county treasurers for the property tax lost to the veterans' exemption, which covers up to $6,000 of assessed value for qualifying veterans; the State Treasurer pays from a program appropriation in its budget, and 2024 SF 89 appropriated $8.2 million from the general fund for it. The 2025 25% homeowner exemption and the long-term homeowner exemption, made permanent by 2026 HEA 23, carry no reimbursement to local governments, and the School Foundation Program absorbs the school share as general school aid. The property tax refund program pays owners by check and sits in the credits and rebates row. The People's Initiative on the November 2026 ballot, a 50% exemption for primary residences, contains no backfill.
Authority: W.S. 39-13-102(k), 39-13-105; 2024 SEA 61 (SF 89); 2026 HEA 23 (HB 45); LSO fiscal notes, 2026 Budget Session.</t>
          </r>
        </is>
      </c>
      <c r="M51" s="4" t="inlineStr">
        <is>
          <r>
            <rPr>
              <rFont val="Carlito"/>
              <b val="1"/>
              <sz val="11"/>
            </rPr>
            <t>No.</t>
          </r>
          <r>
            <rPr>
              <rFont val="Carlito"/>
              <sz val="11"/>
            </rPr>
            <t/>
          </r>
        </is>
      </c>
      <c r="N51" s="4" t="inlineStr">
        <is>
          <r>
            <rPr>
              <rFont val="Carlito"/>
              <b val="1"/>
              <sz val="11"/>
            </rPr>
            <t>No.</t>
          </r>
          <r>
            <rPr>
              <rFont val="Carlito"/>
              <sz val="11"/>
            </rPr>
            <t xml:space="preserve">
No rollback rate; fixed mill levies apply to capped residential values and uncapped other property.</t>
          </r>
        </is>
      </c>
      <c r="O51" s="4" t="inlineStr">
        <is>
          <r>
            <rPr>
              <rFont val="Carlito"/>
              <b val="1"/>
              <sz val="11"/>
            </rPr>
            <t>No.</t>
          </r>
          <r>
            <rPr>
              <rFont val="Carlito"/>
              <sz val="11"/>
            </rPr>
            <t xml:space="preserve">
Optional voter-approved mill levies and bonds pass by simple majority.</t>
          </r>
        </is>
      </c>
      <c r="P51" s="4" t="inlineStr">
        <is>
          <r>
            <rPr>
              <rFont val="Carlito"/>
              <b val="1"/>
              <sz val="11"/>
            </rPr>
            <t>No.</t>
          </r>
          <r>
            <rPr>
              <rFont val="Carlito"/>
              <sz val="11"/>
            </rPr>
            <t xml:space="preserve">
No statewide rule limits local tax questions to November.</t>
          </r>
        </is>
      </c>
      <c r="Q51" s="4" t="inlineStr">
        <is>
          <r>
            <rPr>
              <rFont val="Carlito"/>
              <b val="1"/>
              <sz val="11"/>
            </rPr>
            <t>Partial.</t>
          </r>
          <r>
            <rPr>
              <rFont val="Carlito"/>
              <sz val="11"/>
            </rPr>
            <t xml:space="preserve">
Counties' special-purpose and school mills are earmarked, and the state school levy funds the foundation program. General county and municipal levies are unrestricted.</t>
          </r>
        </is>
      </c>
      <c r="R51" s="4" t="inlineStr">
        <is>
          <t>23 counties; 99 cities and towns; 48 school districts (Census counts 55 independent school governments, including community college districts); 643 special districts in the Census count, including 82 water districts, 71 fire protection districts, 41 cemetery districts, 33 conservation districts, 30 road and improvement districts and 17 hospital districts. Census of Governments 2022: 820 local governments.</t>
        </is>
      </c>
      <c r="S51" s="4" t="inlineStr">
        <is>
          <t>Verdict: Partly. Property tax per person rose 9.1% after inflation from FY2002 to FY2024, below the U.S. rise of 25.9%, and rose 3.9% from FY2019 to FY2024 while the U.S. fell 1.1%.
Why it leaks: Wyoming has no levy cap or spending limit, so fixed mill rates keep all revenue growth without a vote outside the 4% residential cap (HB 45, 2024). That cap resets at sale, and the State Board of Equalization says it conflicts with the constitution. Debt service and some voted levies sit outside the mill limits, and optional mill levies and bonds pass by simple majority.
How localities get around it: 643 special districts, among them 82 water and 71 fire protection districts, add governments beyond the county and city mill limits. Fees and charges supply 64.5% of local own-source revenue, the highest share nationally.
Full record:
Mill caps hold rates down and the 2024-2025 residential relief cut homeowner bills, but Wyoming has no levy or spending limit, and the 4% cap is under constitutional challenge.
The record (Census, BEA, ACS): state and local property tax was $2,635 per person in FY2024 (U.S. $2,132), 2.99% of personal income (17th-highest of 50; U.S. 2.89%). After inflation, collections per person (all state and local property tax divided by residents) rose 9.1% from FY2002 to FY2024 (U.S. +25.9%) and rose 3.9% from FY2019 to FY2024 (U.S. -1.1%). The median homeowner paid $1,947 in 2024 (U.S. $3,211); the median bill rose 20.9% after inflation from 2010 to 2024 (U.S. +9.3%). The Tax Foundation's 2026 ranking puts its effective property tax rate on owner-occupied homes at 0.53%, 11th-lowest of 50. By the same measure it was 0.53% in 2010 (U.S. 1.00% in 2010, 0.94% in 2024).
Legal risk: the State Board of Equalization's June 2026 report says the caps created thousands of differences in taxable value between similar homes and that "the reasons for the disparate tax burdens are arbitrary"; it warned that withholding certification could keep local governments from collecting 2026 property taxes. A Laramie County judge ordered the board on June 19, 2026 to apply the cap for now.
Reset at sale: the 4% cap does not apply to property acquired during the prior calendar year, which is valued at full value.
Voted levies: optional voter-approved mill levies and bonds pass by simple majority.
Special districts: 643 special districts in the Census count (82 water, 71 fire protection, 17 hospital) add governments beyond the county and city mill limits.
Fees: fees and charges are 64.5% of local own-source revenue (Census FY2022), the highest share in the nation, and property tax is 82% of local tax revenue. Mineral production is assessed at 100% of value, and the state school levy and recapture spread that wealth.</t>
        </is>
      </c>
      <c r="T51" s="4" t="inlineStr">
        <is>
          <t>- Mountain States Policy Center, "Ballot Guide 2026: Wyoming's Initiative 1 (Property taxes)" (October 6, 2026). Releases Marta Mossburg's study of Initiative 1, which would exempt 50% of a primary residence's assessed dwelling value (land excluded): the certified ballot language puts the state revenue loss at $92.6 million in fiscal 2028, and a Department of Revenue analysis puts the state and local loss at up to $124.7 million that year. The study warns that replacing the money with a higher sales tax would add revenue volatility and shift control of local tax dollars to Cheyenne; noting that property taxes supply 84% of local government revenue in Wyoming (72% nationally), it asks lawmakers to consider "levy limits, Truth in Taxation and circuit breakers." https://www.mountainstatespolicy.org/post/ballot-guide-2026-wyoming-s-initiative-1
- Wyoming Taxpayers Association, Jennifer Ford, "REFORM, DON’T BREAK: Wyoming Taxpayers Association Opposes Prop 1" (September 30, 2026). The state taxpayer association opposes Initiative 1 and launches its "Reform Don’t Break" campaign; it says the 2024 and 2025 laws provided "nearly $216 million of property tax exemptions and refunds" in 2025, an average savings of $1,282.65 for homeowners using both the homeowner exemption and the refund program. It adds that no evidence has been presented that new economic activity would make up the lost local revenue. https://wyotax.org/reform-dont-break-wyoming-taxpayers-association-opposes-prop-1/
- Republican Party of Wyoming (state party), statement as covered by the Wyoming Tribune Eagle in "Wyoming Republican Party backs property tax cut ballot initiative" (September 22, 2026). At a Sept. 19 meeting in Thayne the party pledged "financial and marketing support" for Initiative 1, and Chairman Bryan Miller said "Wyoming homeowners deserve meaningful, durable property-tax relief." https://www.wyomingnews.com/news/elections/wyoming-republican-party-backs-property-tax-cut-ballot-initiative/article_a8dff312-4616-467c-a20b-7c7dd3c1ea22.html
- Common Sense Institute, "Iowa Leads the Nation in Property Tax Relief: Ranking State Reforms of the Past Decade" (August 6, 2026). Ranks state property tax relief laws of the past decade by estimated household savings, excluding state backfills; Wyoming's SF 69 (2025) makes the national top 10, listed sixth after bills from Iowa, Indiana, Colorado and Nebraska (Iowa's top bill saves an estimated $1,463 per household). https://archive.commonsenseinstituteus.org/iowa/research/taxes-and-fees/iowa-leads-the-nation-in-property-tax-relief-ranking-state-reforms-of-the-past-decade
- Wyoming Liberty Group, "WY 2026 SF 39 - Long-Term Homeowner Tax Exemption - Sunset Repeal" (February 11, 2026). Gives a "Caution" verdict on SF 39, which would have made permanent the 50% exemption for homeowners 65 and older who have paid Wyoming property tax for 25 years: WLG says it "strengthens private property rights," but it narrows the tax base and would cut school and local revenue by "$47 million in FY 2028" "without a corresponding reduction in mandated spending." SF 39 failed on third reading in the House on March 5, 2026; HB 45 (2026) later repealed the exemption's sunset. https://wyliberty.org/blog/political-perspectives/wy-2026-sf-39-long-term-homeowner-tax-exemption-sunset-repeal
- Wyoming Liberty Group, "WY 2026 HJ 4 - Residential Property Tax Value – Constitutional Amendment" (February 11, 2026). Scores HJ 4, which would have let the Legislature set the valuation used for residential property, against its policy compass (verdict "Risk to Liberty &amp; Markets," with 3 passes and 3 cautions): it gives lawmakers "constitutional flexibility to treat residential property differently from other property classes," and WLG cautions that its effect "depends entirely on follow-up legislation" and that it relies on "the prolonged adherence to free-market principles by current and future legislators." https://wyliberty.org/blog/political-perspectives/wy-2026-hj-4-residential-property-tax-value-constitutional-amendment
- Wyoming Freedom Caucus (Republican legislative caucus), statement as covered by the Wyoming Tribune Eagle in "Wyoming Freedom Caucus calls for more tax cuts" (November 3, 2025). At a news conference after the state's October 2025 revenue forecast, caucus members called for holding state spending growth to inflation plus population growth and returning to "pre-COVID" spending levels; Rep. Scott Smith said the average residential property tax increase (11.9%) far outpaced the rise in median household income (3.9%). Among the boldest proposals is a plan to eliminate the part of residential property taxes that funds local K-12 schools, with surpluses from restrained spending sent to counties to pay homeowners' taxes. https://newslj.com/wyoming-freedom-caucus-calls-more-tax-cuts
- Mountain States Policy Center, Marta Mossburg, "Wyoming property tax relief law won’t stop bills from rising" (April 3, 2025). Argues the 2025 25% homeowner exemption (Enrolled Act 60) treats renters and second-home owners worse and, citing the Tax Foundation's Manish Bhatt, may raise equal protection questions; it cites a legislative report that property tax levies rose 80% from $1.2 billion in 2017 to $2.2 billion in 2023 ($977 million a year more). MSPC says lawmakers should have passed a levy limit holding collections to the prior year plus inflation and new population growth, paired with Truth in Taxation. https://www.mountainstatespolicy.org/post/wyoming-property-tax-relief-law-won-t-stop-bills-from-rising
- Tax Foundation, Milly Higgs, "Wyoming Voters to Consider Property Tax Changes, but Sound Property Tax Relief Is Not on the Ballot" (September 12, 2024). Argues Constitutional Amendment A, which created a residential class and allowed an owner-occupied subclass (approved in November 2024), would deepen Wyoming's split roll and shift the burden to other property classes, with renters bearing much of it. It urges "strong levy (or revenue) limits, which Wyoming currently lacks." https://taxfoundation.org/blog/wyoming-property-tax-ballot-measure/
- Americans for Prosperity-Wyoming: no property tax report or Initiative 1 position since 2021 was found in AFP's site search.
Linked list: 9 items on the Analyses sheet (filter State = Wyoming); every source URL is linked on the Sources sheet.</t>
        </is>
      </c>
      <c r="U51" s="4" t="inlineStr">
        <is>
          <t>2024: HB 45 (Enrolled Act 54), the 4% residential cap structured as an exemption (structures from tax year 2024, land from 2025); voters approved Constitutional Amendment A allowing a separate residential property class; $20 million for the property tax refund program.
2025: SF 69 (Enrolled Act 60), the 25% exemption on the first $1 million of a single family residence's value; the long-term homeowner exemption, first set for tax years 2025-2026; HB 279 ($10.5 million for refunds). The Common Sense Institute's national ranking of property tax relief laws (August 6, 2026) places SF 69 in its top 10.
2026: HB 45 (Enrolled Act 23, signed March 7, 2026) repealed the sunset on the long-term homeowner exemption and set it at 50% of fair market value on the first $3 million. In the budget session, where non-budget bills need a two-thirds vote to be introduced, 7 of 16 property tax bills had failed introduction by mid-February, including SJ 3 (a constitutional amendment to eliminate residential property taxes) and SF 78 (an 8.3% taxable value for residential property). HJ 4, which would have let the Legislature set residential valuation, did not reach the ballot. The State Board of Equalization said it could not certify residential values under the 4% cap; Gov. Gordon sued the board, and a Laramie County judge ordered it on June 19, 2026 to apply the cap for now.
Nov. 3, 2026 ballot: Initiative 1, the first citizen initiative on Wyoming's ballot in 30 years, would exempt 50% of the assessed value of the dwelling on a primary residence, and the ballot language says the exemption applies to the residential structure (Secretary of State ballot propositions; Ballotpedia, as of October 12, 2026). The state's fiscal note puts the loss to the state at $92.6 million in FY2028 and does not estimate local losses; about 173,000 properties would qualify, with no reimbursement of local revenue losses. It qualified with 30,251 valid signatures (certified January 3, 2025). No legislative constitutional amendment on property tax is on the ballot.</t>
        </is>
      </c>
      <c r="V51" s="4" t="inlineStr">
        <is>
          <t>11th (0.53% effective rate; 0.53% in 2010)</t>
        </is>
      </c>
      <c r="W51" s="4" t="inlineStr">
        <is>
          <t>Wyoming relies on mill limits and, since 2024, a 4% residential assessment cap, a 25% residential exemption on the first $1 million of value and a 50% exemption for long-time senior owners, made permanent in 2026. The state levies 12 mills for schools. Initiative 1 on the Nov. 3, 2026 ballot would exempt half the assessed value of the dwelling on every primary residence without backfilling local governments.</t>
        </is>
      </c>
      <c r="X51" s="4" t="inlineStr">
        <is>
          <t>https://www.aarp.org/states/wyoming/property-tax-relief-from-the-2025-legislative-session/
https://news.ballotpedia.org/2025/01/08/wyoming-voters-to-decide-on-ballot-initiative-to-exempt-50-of-home-property-value-from-taxes-the-first-initiative-to-appear-on-the-states-ballot-in-30-years/
https://news.ballotpedia.org/2026/08/27/voters-in-seven-states-to-decide-13-property-tax-measures-in-2026/
https://apps.lincolninst.edu/uploads/summary-tables/rate-limits-summary-tables/rate-limits-2022-4.xlsx
https://www.lincolninst.edu/app/uploads/2024/10/truth_in_taxation_2024.xlsx
https://www2.census.gov/programs-surveys/gov-finances/tables/2022/22slsstab1.xlsx
https://ballotpedia.org/Wyoming_2026_ballot_measures
https://wyoleg.gov/2024/Enroll/HB0045.pdf
https://wyoleg.gov/2025/Enroll/SF0069.pdf
https://wtop.com/news/2026/06/wyoming-local-governments-ability-to-collect-property-taxes-in-limbo-due-to-uncertainty-over-4-cap/
https://cowboystatedaily.com/2026/06/19/judge-orders-wyoming-board-of-equalization-to-enforce-4-property-tax-cap-for-now/
https://www.wyomingnews.com/rawlinstimes/seven-property-tax-bills-killed-on-introduction-so-far/article_3d1fbbd2-f501-47d8-b755-29808c24a59e.html
https://wyliberty.org/blog/political-perspectives/wy-2026-hj-4-residential-property-tax-value-constitutional-amendment
https://archive.commonsenseinstituteus.org/iowa/research/taxes-and-fees/iowa-leads-the-nation-in-property-tax-relief-ranking-state-reforms-of-the-past-decade
https://wyoleg.gov/2026/Enroll/HB0045.pdf
https://wyoleg.gov/2026/Digest/HB0045.pdf
https://sos.wyo.gov/Elections/Docs/2026/2026_Statewide_Ballot_Propositions.pdf</t>
        </is>
      </c>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sheetData>
  <conditionalFormatting sqref="D2:D51">
    <cfRule type="expression" priority="1" dxfId="110" stopIfTrue="1">
      <formula>LEFT(D2,3)="Yes"</formula>
    </cfRule>
    <cfRule type="expression" priority="2" dxfId="111" stopIfTrue="1">
      <formula>LEFT(D2,7)="Partial"</formula>
    </cfRule>
    <cfRule type="expression" priority="3" dxfId="112" stopIfTrue="1">
      <formula>LEFT(D2,2)="No"</formula>
    </cfRule>
  </conditionalFormatting>
  <conditionalFormatting sqref="E2:E51">
    <cfRule type="expression" priority="4" dxfId="110" stopIfTrue="1">
      <formula>LEFT(E2,3)="Yes"</formula>
    </cfRule>
    <cfRule type="expression" priority="5" dxfId="111" stopIfTrue="1">
      <formula>LEFT(E2,7)="Partial"</formula>
    </cfRule>
    <cfRule type="expression" priority="6" dxfId="112" stopIfTrue="1">
      <formula>LEFT(E2,2)="No"</formula>
    </cfRule>
  </conditionalFormatting>
  <conditionalFormatting sqref="F2:F51">
    <cfRule type="expression" priority="7" dxfId="110" stopIfTrue="1">
      <formula>LEFT(F2,3)="Yes"</formula>
    </cfRule>
    <cfRule type="expression" priority="8" dxfId="111" stopIfTrue="1">
      <formula>LEFT(F2,7)="Partial"</formula>
    </cfRule>
    <cfRule type="expression" priority="9" dxfId="112" stopIfTrue="1">
      <formula>LEFT(F2,2)="No"</formula>
    </cfRule>
  </conditionalFormatting>
  <conditionalFormatting sqref="G2:G51">
    <cfRule type="expression" priority="10" dxfId="110" stopIfTrue="1">
      <formula>LEFT(G2,3)="Yes"</formula>
    </cfRule>
    <cfRule type="expression" priority="11" dxfId="111" stopIfTrue="1">
      <formula>LEFT(G2,7)="Partial"</formula>
    </cfRule>
    <cfRule type="expression" priority="12" dxfId="112" stopIfTrue="1">
      <formula>LEFT(G2,2)="No"</formula>
    </cfRule>
  </conditionalFormatting>
  <conditionalFormatting sqref="H2:H51">
    <cfRule type="expression" priority="13" dxfId="110" stopIfTrue="1">
      <formula>LEFT(H2,3)="Yes"</formula>
    </cfRule>
    <cfRule type="expression" priority="14" dxfId="111" stopIfTrue="1">
      <formula>LEFT(H2,7)="Partial"</formula>
    </cfRule>
    <cfRule type="expression" priority="15" dxfId="112" stopIfTrue="1">
      <formula>LEFT(H2,2)="No"</formula>
    </cfRule>
  </conditionalFormatting>
  <conditionalFormatting sqref="I2:I51">
    <cfRule type="expression" priority="16" dxfId="110" stopIfTrue="1">
      <formula>LEFT(I2,3)="Yes"</formula>
    </cfRule>
    <cfRule type="expression" priority="17" dxfId="111" stopIfTrue="1">
      <formula>LEFT(I2,7)="Partial"</formula>
    </cfRule>
    <cfRule type="expression" priority="18" dxfId="112" stopIfTrue="1">
      <formula>LEFT(I2,2)="No"</formula>
    </cfRule>
  </conditionalFormatting>
  <conditionalFormatting sqref="J2:J51">
    <cfRule type="expression" priority="19" dxfId="110" stopIfTrue="1">
      <formula>LEFT(J2,3)="Yes"</formula>
    </cfRule>
    <cfRule type="expression" priority="20" dxfId="111" stopIfTrue="1">
      <formula>LEFT(J2,7)="Partial"</formula>
    </cfRule>
    <cfRule type="expression" priority="21" dxfId="112" stopIfTrue="1">
      <formula>LEFT(J2,2)="No"</formula>
    </cfRule>
  </conditionalFormatting>
  <conditionalFormatting sqref="K2:K51">
    <cfRule type="expression" priority="22" dxfId="110" stopIfTrue="1">
      <formula>LEFT(K2,3)="Yes"</formula>
    </cfRule>
    <cfRule type="expression" priority="23" dxfId="111" stopIfTrue="1">
      <formula>LEFT(K2,7)="Partial"</formula>
    </cfRule>
    <cfRule type="expression" priority="24" dxfId="112" stopIfTrue="1">
      <formula>LEFT(K2,2)="No"</formula>
    </cfRule>
  </conditionalFormatting>
  <conditionalFormatting sqref="L2:L51">
    <cfRule type="expression" priority="25" dxfId="110" stopIfTrue="1">
      <formula>LEFT(L2,3)="Yes"</formula>
    </cfRule>
    <cfRule type="expression" priority="26" dxfId="111" stopIfTrue="1">
      <formula>LEFT(L2,7)="Partial"</formula>
    </cfRule>
    <cfRule type="expression" priority="27" dxfId="112" stopIfTrue="1">
      <formula>LEFT(L2,2)="No"</formula>
    </cfRule>
  </conditionalFormatting>
  <conditionalFormatting sqref="M2:M51">
    <cfRule type="expression" priority="28" dxfId="110" stopIfTrue="1">
      <formula>LEFT(M2,3)="Yes"</formula>
    </cfRule>
    <cfRule type="expression" priority="29" dxfId="111" stopIfTrue="1">
      <formula>LEFT(M2,7)="Partial"</formula>
    </cfRule>
    <cfRule type="expression" priority="30" dxfId="112" stopIfTrue="1">
      <formula>LEFT(M2,2)="No"</formula>
    </cfRule>
  </conditionalFormatting>
  <conditionalFormatting sqref="N2:N51">
    <cfRule type="expression" priority="31" dxfId="110" stopIfTrue="1">
      <formula>LEFT(N2,3)="Yes"</formula>
    </cfRule>
    <cfRule type="expression" priority="32" dxfId="111" stopIfTrue="1">
      <formula>LEFT(N2,7)="Partial"</formula>
    </cfRule>
    <cfRule type="expression" priority="33" dxfId="112" stopIfTrue="1">
      <formula>LEFT(N2,2)="No"</formula>
    </cfRule>
  </conditionalFormatting>
  <conditionalFormatting sqref="O2:O51">
    <cfRule type="expression" priority="34" dxfId="110" stopIfTrue="1">
      <formula>LEFT(O2,3)="Yes"</formula>
    </cfRule>
    <cfRule type="expression" priority="35" dxfId="111" stopIfTrue="1">
      <formula>LEFT(O2,7)="Partial"</formula>
    </cfRule>
    <cfRule type="expression" priority="36" dxfId="112" stopIfTrue="1">
      <formula>LEFT(O2,2)="No"</formula>
    </cfRule>
  </conditionalFormatting>
  <conditionalFormatting sqref="P2:P51">
    <cfRule type="expression" priority="37" dxfId="110" stopIfTrue="1">
      <formula>LEFT(P2,3)="Yes"</formula>
    </cfRule>
    <cfRule type="expression" priority="38" dxfId="111" stopIfTrue="1">
      <formula>LEFT(P2,7)="Partial"</formula>
    </cfRule>
    <cfRule type="expression" priority="39" dxfId="112" stopIfTrue="1">
      <formula>LEFT(P2,2)="No"</formula>
    </cfRule>
  </conditionalFormatting>
  <conditionalFormatting sqref="Q2:Q51">
    <cfRule type="expression" priority="40" dxfId="110" stopIfTrue="1">
      <formula>LEFT(Q2,3)="Yes"</formula>
    </cfRule>
    <cfRule type="expression" priority="41" dxfId="111" stopIfTrue="1">
      <formula>LEFT(Q2,7)="Partial"</formula>
    </cfRule>
    <cfRule type="expression" priority="42" dxfId="112" stopIfTrue="1">
      <formula>LEFT(Q2,2)="No"</formula>
    </cfRule>
  </conditionalFormatting>
  <hyperlinks>
    <hyperlink xmlns:r="http://schemas.openxmlformats.org/officeDocument/2006/relationships" ref="N37" display="https://www.lincolninst.edu/publications/policy-downloads/understanding-state-property-tax-limits/; https://www.lincolninst.edu/publications/working-papers/state-requirements-under-truth-in-taxation-laws-property-taxes/; https://www.lincolninst.edu/data/significant-features-property-tax/access-database/; https://taxfoundation.org/research/all/state/property-tax-limitation-regimes-primer/" r:id="rId1"/>
    <hyperlink xmlns:r="http://schemas.openxmlformats.org/officeDocument/2006/relationships" ref="N50" display="https://www.lincolninst.edu/publications/policy-downloads/understanding-state-property-tax-limits/; https://www.lincolninst.edu/publications/working-papers/state-requirements-under-truth-in-taxation-laws-property-taxes/; https://www.lincolninst.edu/data/significant-features-property-tax/access-database/; https://taxfoundation.org/research/all/state/property-tax-limitation-regimes-primer/ ; https://www.lincolninst.edu/publications/working-papers/state-requirements-under-truth-in-taxation-laws-property-taxes/" r:id="rId2"/>
  </hyperlinks>
  <pageMargins left="0.7" right="0.7" top="0.75" bottom="0.75" header="0.3" footer="0.3"/>
  <tableParts count="1">
    <tablePart xmlns:r="http://schemas.openxmlformats.org/officeDocument/2006/relationships" r:id="rId3"/>
  </tableParts>
</worksheet>
</file>

<file path=xl/worksheets/sheet2.xml><?xml version="1.0" encoding="utf-8"?>
<worksheet xmlns="http://schemas.openxmlformats.org/spreadsheetml/2006/main">
  <sheetPr>
    <outlinePr summaryBelow="1" summaryRight="1"/>
    <pageSetUpPr/>
  </sheetPr>
  <dimension ref="A1:K4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17" customWidth="1" min="2" max="2"/>
    <col width="15" customWidth="1" min="3" max="3"/>
    <col width="30" customWidth="1" min="4" max="4"/>
    <col width="20" customWidth="1" min="5" max="5"/>
    <col width="50" customWidth="1" min="6" max="6"/>
    <col width="14" customWidth="1" min="7" max="7"/>
    <col width="11" customWidth="1" min="8" max="8"/>
    <col width="90" customWidth="1" min="9" max="9"/>
    <col width="24" customWidth="1" min="10" max="10"/>
    <col width="40" customWidth="1" min="11" max="11"/>
  </cols>
  <sheetData>
    <row r="1" ht="34" customHeight="1">
      <c r="A1" s="3" t="inlineStr">
        <is>
          <t>State</t>
        </is>
      </c>
      <c r="B1" s="3" t="inlineStr">
        <is>
          <t>Kind</t>
        </is>
      </c>
      <c r="C1" s="3" t="inlineStr">
        <is>
          <t>Level</t>
        </is>
      </c>
      <c r="D1" s="3" t="inlineStr">
        <is>
          <t>Group</t>
        </is>
      </c>
      <c r="E1" s="3" t="inlineStr">
        <is>
          <t>Author</t>
        </is>
      </c>
      <c r="F1" s="3" t="inlineStr">
        <is>
          <t>Title (click to open)</t>
        </is>
      </c>
      <c r="G1" s="3" t="inlineStr">
        <is>
          <t>Date</t>
        </is>
      </c>
      <c r="H1" s="3" t="inlineStr">
        <is>
          <t>Sort date</t>
        </is>
      </c>
      <c r="I1" s="3" t="inlineStr">
        <is>
          <t>Summary</t>
        </is>
      </c>
      <c r="J1" s="3" t="inlineStr">
        <is>
          <t>Where it appears in the matrix</t>
        </is>
      </c>
      <c r="K1" s="3" t="inlineStr">
        <is>
          <t>URL</t>
        </is>
      </c>
    </row>
    <row r="2" ht="34" customHeight="1">
      <c r="A2" s="13" t="inlineStr">
        <is>
          <t>Alabama</t>
        </is>
      </c>
      <c r="B2" s="4" t="inlineStr">
        <is>
          <t>Analysis</t>
        </is>
      </c>
      <c r="C2" s="4" t="inlineStr">
        <is>
          <t>State group</t>
        </is>
      </c>
      <c r="D2" s="4" t="inlineStr">
        <is>
          <t>1819 News (launched by the Alabama Policy Institute)</t>
        </is>
      </c>
      <c r="E2" s="4" t="n"/>
      <c r="F2" s="15" t="inlineStr">
        <is>
          <t>Alabama's 7% property tax reappraisal cap expires in 2027 — Will lawmakers extend it?</t>
        </is>
      </c>
      <c r="G2" s="4" t="inlineStr">
        <is>
          <t>Aug. 22, 2026</t>
        </is>
      </c>
      <c r="H2" s="4" t="inlineStr">
        <is>
          <t>2026-08-22</t>
        </is>
      </c>
      <c r="I2" s="4" t="inlineStr">
        <is>
          <t>Reports Sen. David Sessions's plan to extend the cap in 2027, lists every exclusion in the law and gives the county commissions' case for letting it lapse.</t>
        </is>
      </c>
      <c r="J2" s="4" t="inlineStr">
        <is>
          <t>Free-market analyses column</t>
        </is>
      </c>
      <c r="K2" s="4" t="inlineStr">
        <is>
          <t>https://1819news.com/news/item/alabamas-7-property-tax-reappraisal-cap-expires-in-2027-will-lawmakers-extend-it</t>
        </is>
      </c>
    </row>
    <row r="3" ht="64" customHeight="1">
      <c r="A3" s="13" t="inlineStr">
        <is>
          <t>Alabama</t>
        </is>
      </c>
      <c r="B3" s="4" t="inlineStr">
        <is>
          <t>Analysis</t>
        </is>
      </c>
      <c r="C3" s="4" t="inlineStr">
        <is>
          <t>State group</t>
        </is>
      </c>
      <c r="D3" s="4" t="inlineStr">
        <is>
          <t>Alabama Policy Institute</t>
        </is>
      </c>
      <c r="E3" s="4" t="n"/>
      <c r="F3" s="15" t="inlineStr">
        <is>
          <t>Alabama Policy Institute Launches Landmark Alabama Tax Relief Report: A Multi-Phase Roadmap for Economic Growth and Fiscal Discipline</t>
        </is>
      </c>
      <c r="G3" s="4" t="inlineStr">
        <is>
          <t>July 15, 2026</t>
        </is>
      </c>
      <c r="H3" s="4" t="inlineStr">
        <is>
          <t>2026-07-15</t>
        </is>
      </c>
      <c r="I3" s="4" t="inlineStr">
        <is>
          <t>A phased tax-cut plan for the 2027 session paid for by spending restraint. On property tax it calls for making the assessment protections permanent by removing the 2027 sunset, and it warns that cutting income taxes without a population-plus-inflation spending cap would push the burden onto sales and property taxes.</t>
        </is>
      </c>
      <c r="J3" s="4" t="inlineStr">
        <is>
          <t>Free-market analyses column</t>
        </is>
      </c>
      <c r="K3" s="4" t="inlineStr">
        <is>
          <t>https://alabamapolicy.org/2026/07/15/alabama-policy-institute-launches-landmark-alabama-tax-relief-report-a-multi-phase-roadmap-for-economic-growth-and-fiscal-discipline/</t>
        </is>
      </c>
    </row>
    <row r="4" ht="64" customHeight="1">
      <c r="A4" s="13" t="inlineStr">
        <is>
          <t>Alabama</t>
        </is>
      </c>
      <c r="B4" s="4" t="inlineStr">
        <is>
          <t>Analysis</t>
        </is>
      </c>
      <c r="C4" s="4" t="inlineStr">
        <is>
          <t>National group</t>
        </is>
      </c>
      <c r="D4" s="4" t="inlineStr">
        <is>
          <t>Tax Foundation</t>
        </is>
      </c>
      <c r="E4" s="4" t="n"/>
      <c r="F4" s="15" t="inlineStr">
        <is>
          <t>Alabama's 2025 Legislative Session Advances Pro-Growth Tax Reforms</t>
        </is>
      </c>
      <c r="G4" s="4" t="inlineStr">
        <is>
          <t>July 9, 2025</t>
        </is>
      </c>
      <c r="H4" s="4" t="inlineStr">
        <is>
          <t>2025-07-09</t>
        </is>
      </c>
      <c r="I4" s="4" t="inlineStr">
        <is>
          <t>Act 2025-344 raises the business tangible personal property tax exemption from $40,000 to $100,000 in market value, effective October 1, 2025, and ends filing for businesses under the threshold; local jurisdictions may opt in. Similar thresholds elsewhere cost "often less than 1 percent of property tax collections."</t>
        </is>
      </c>
      <c r="J4" s="4" t="inlineStr">
        <is>
          <t>Free-market analyses column</t>
        </is>
      </c>
      <c r="K4" s="4" t="inlineStr">
        <is>
          <t>https://taxfoundation.org/blog/alabama-tax-reform-relief-2025/</t>
        </is>
      </c>
    </row>
    <row r="5" ht="34" customHeight="1">
      <c r="A5" s="13" t="inlineStr">
        <is>
          <t>Alabama</t>
        </is>
      </c>
      <c r="B5" s="4" t="inlineStr">
        <is>
          <t>Analysis</t>
        </is>
      </c>
      <c r="C5" s="4" t="inlineStr">
        <is>
          <t>State group</t>
        </is>
      </c>
      <c r="D5" s="4" t="inlineStr">
        <is>
          <t>1819 News (launched by the Alabama Policy Institute)</t>
        </is>
      </c>
      <c r="E5" s="4" t="n"/>
      <c r="F5" s="15" t="inlineStr">
        <is>
          <t>Ainsworth on new property tax cap: ‘We don’t want anybody to get gouged’</t>
        </is>
      </c>
      <c r="G5" s="4" t="inlineStr">
        <is>
          <t>Aug. 14, 2024</t>
        </is>
      </c>
      <c r="H5" s="4" t="inlineStr">
        <is>
          <t>2024-08-14</t>
        </is>
      </c>
      <c r="I5" s="4" t="inlineStr">
        <is>
          <t>Lt. Gov. Will Ainsworth says calls from owners facing reappraisal increases of 20%, 30% and 40% led to the 7% cap in HB 73 (Rep. Phillip Pettus and Sen. David Sessions), effective October 1, 2024.</t>
        </is>
      </c>
      <c r="J5" s="4" t="inlineStr">
        <is>
          <t>Free-market analyses column</t>
        </is>
      </c>
      <c r="K5" s="4" t="inlineStr">
        <is>
          <t>https://1819news.com/news/item/ainsworth-on-new-property-tax-cap-we-dont-want-anybody-to-get-gouged</t>
        </is>
      </c>
    </row>
    <row r="6" ht="64" customHeight="1">
      <c r="A6" s="13" t="inlineStr">
        <is>
          <t>Alabama</t>
        </is>
      </c>
      <c r="B6" s="4" t="inlineStr">
        <is>
          <t>Analysis</t>
        </is>
      </c>
      <c r="C6" s="4" t="inlineStr">
        <is>
          <t>State group</t>
        </is>
      </c>
      <c r="D6" s="4" t="inlineStr">
        <is>
          <t>Alabama Policy Institute</t>
        </is>
      </c>
      <c r="E6" s="4" t="n"/>
      <c r="F6" s="15" t="inlineStr">
        <is>
          <t>API: Top 10 Things the AL Legislature Should Accomplish in 2024</t>
        </is>
      </c>
      <c r="G6" s="4" t="inlineStr">
        <is>
          <t>Feb. 5, 2024</t>
        </is>
      </c>
      <c r="H6" s="4" t="inlineStr">
        <is>
          <t>2024-02-05</t>
        </is>
      </c>
      <c r="I6" s="4" t="inlineStr">
        <is>
          <t>Item 8, "Cap Property Tax," notes that county and municipal rates vary widely, so rising valuations hit some owners far harder than others, and urges an assessment cap "to make property tax increases more predictable and lessen the tax burden of Alabama's homeowners." The Legislature enacted the 7% cap (Act 2024-344) that spring.</t>
        </is>
      </c>
      <c r="J6" s="4" t="inlineStr">
        <is>
          <t>Free-market analyses column</t>
        </is>
      </c>
      <c r="K6" s="4" t="inlineStr">
        <is>
          <t>https://alabamapolicy.org/2024/02/05/api-top-10-things-the-al-legislature-should-accomplish-in-2024/</t>
        </is>
      </c>
    </row>
    <row r="7" ht="30" customHeight="1">
      <c r="A7" s="13" t="inlineStr">
        <is>
          <t>Alabama</t>
        </is>
      </c>
      <c r="B7" s="4" t="inlineStr">
        <is>
          <t>Checked: no report since 2021</t>
        </is>
      </c>
      <c r="C7" s="4" t="inlineStr">
        <is>
          <t>State group</t>
        </is>
      </c>
      <c r="D7" s="4" t="inlineStr">
        <is>
          <t>Free the People</t>
        </is>
      </c>
      <c r="E7" s="4" t="n"/>
      <c r="F7" s="4" t="inlineStr">
        <is>
          <t>(no report found)</t>
        </is>
      </c>
      <c r="G7" s="4" t="n"/>
      <c r="H7" s="4" t="n"/>
      <c r="I7" s="4" t="inlineStr">
        <is>
          <t>Free the People (State Policy Network associate): no Alabama property tax work since 2021 was found.</t>
        </is>
      </c>
      <c r="J7" s="4" t="inlineStr">
        <is>
          <t>Free-market analyses column</t>
        </is>
      </c>
      <c r="K7" s="4" t="n"/>
    </row>
    <row r="8" ht="34" customHeight="1">
      <c r="A8" s="13" t="inlineStr">
        <is>
          <t>Alabama</t>
        </is>
      </c>
      <c r="B8" s="4" t="inlineStr">
        <is>
          <t>Checked: no report since 2021</t>
        </is>
      </c>
      <c r="C8" s="4" t="inlineStr">
        <is>
          <t>State group</t>
        </is>
      </c>
      <c r="D8" s="4" t="inlineStr">
        <is>
          <t>National School Choice Awareness Foundation</t>
        </is>
      </c>
      <c r="E8" s="4" t="n"/>
      <c r="F8" s="4" t="inlineStr">
        <is>
          <t>(no report found)</t>
        </is>
      </c>
      <c r="G8" s="4" t="n"/>
      <c r="H8" s="4" t="n"/>
      <c r="I8" s="4" t="inlineStr">
        <is>
          <t>National School Choice Awareness Foundation (State Policy Network associate): no property tax work since 2021 was found.</t>
        </is>
      </c>
      <c r="J8" s="4" t="inlineStr">
        <is>
          <t>Free-market analyses column</t>
        </is>
      </c>
      <c r="K8" s="4" t="n"/>
    </row>
    <row r="9" ht="30" customHeight="1">
      <c r="A9" s="13" t="inlineStr">
        <is>
          <t>Alabama</t>
        </is>
      </c>
      <c r="B9" s="4" t="inlineStr">
        <is>
          <t>Checked: no report since 2021</t>
        </is>
      </c>
      <c r="C9" s="4" t="inlineStr">
        <is>
          <t>State group</t>
        </is>
      </c>
      <c r="D9" s="4" t="inlineStr">
        <is>
          <t>Americans for Prosperity-Alabama</t>
        </is>
      </c>
      <c r="E9" s="4" t="n"/>
      <c r="F9" s="4" t="inlineStr">
        <is>
          <t>(no report found)</t>
        </is>
      </c>
      <c r="G9" s="4" t="n"/>
      <c r="H9" s="4" t="n"/>
      <c r="I9" s="4" t="inlineStr">
        <is>
          <t>Americans for Prosperity-Alabama: no property tax item since 2021 was found.</t>
        </is>
      </c>
      <c r="J9" s="4" t="inlineStr">
        <is>
          <t>Free-market analyses column</t>
        </is>
      </c>
      <c r="K9" s="4" t="n"/>
    </row>
    <row r="10" ht="49" customHeight="1">
      <c r="A10" s="13" t="inlineStr">
        <is>
          <t>Alaska</t>
        </is>
      </c>
      <c r="B10" s="4" t="inlineStr">
        <is>
          <t>Analysis</t>
        </is>
      </c>
      <c r="C10" s="4" t="inlineStr">
        <is>
          <t>State group</t>
        </is>
      </c>
      <c r="D10" s="4" t="inlineStr">
        <is>
          <t>Alaska Policy Forum</t>
        </is>
      </c>
      <c r="E10" s="4" t="n"/>
      <c r="F10" s="15" t="inlineStr">
        <is>
          <t>Testimony: Oppose New Property Taxes</t>
        </is>
      </c>
      <c r="G10" s="4" t="inlineStr">
        <is>
          <t>June 8, 2023; testimony dated April 18, 2023</t>
        </is>
      </c>
      <c r="H10" s="4" t="inlineStr">
        <is>
          <t>2023-06-08</t>
        </is>
      </c>
      <c r="I10" s="4" t="inlineStr">
        <is>
          <t>CEO Bethany Marcum opposed SB 77, which would let boroughs and cities tax "blighted" property, because the bill set no guardrails on what counts as blight and protected only an owner's primary residence; she cited a New Orleans blight-tax effort that collected only 3% of the fines levied.</t>
        </is>
      </c>
      <c r="J10" s="4" t="inlineStr">
        <is>
          <t>Free-market analyses column</t>
        </is>
      </c>
      <c r="K10" s="4" t="inlineStr">
        <is>
          <t>https://alaskapolicyforum.org/2023/06/testimony-tax-blighted-property/</t>
        </is>
      </c>
    </row>
    <row r="11" ht="64" customHeight="1">
      <c r="A11" s="13" t="inlineStr">
        <is>
          <t>Alaska</t>
        </is>
      </c>
      <c r="B11" s="4" t="inlineStr">
        <is>
          <t>Analysis</t>
        </is>
      </c>
      <c r="C11" s="4" t="inlineStr">
        <is>
          <t>State group</t>
        </is>
      </c>
      <c r="D11" s="4" t="inlineStr">
        <is>
          <t>Alaska Policy Forum and Tax Foundation</t>
        </is>
      </c>
      <c r="E11" s="4" t="inlineStr">
        <is>
          <t>Jared Walczak</t>
        </is>
      </c>
      <c r="F11" s="15" t="inlineStr">
        <is>
          <t>Economic Implications of an Alaska Income Tax or Its Alternatives</t>
        </is>
      </c>
      <c r="G11" s="4" t="inlineStr">
        <is>
          <t>Oct. 4, 2022</t>
        </is>
      </c>
      <c r="H11" s="4" t="inlineStr">
        <is>
          <t>2022-10-04</t>
        </is>
      </c>
      <c r="I11" s="4" t="inlineStr">
        <is>
          <t>A full report opposing a state income tax; it finds Alaska would need income tax burdens three times California's to match the average state's reliance on the tax, and it points to New Jersey, where an income tax adopted to cut school reliance on local property taxes "did not translate into lower property tax burdens" (effective rate 2.21% on owner-occupied housing against a 1.08% national average).</t>
        </is>
      </c>
      <c r="J11" s="4" t="inlineStr">
        <is>
          <t>Free-market analyses column</t>
        </is>
      </c>
      <c r="K11" s="4" t="inlineStr">
        <is>
          <t>https://alaskapolicyforum.org/2022/10/economic-implications-of-an-alaska-income-tax-or-its-alternatives/</t>
        </is>
      </c>
    </row>
    <row r="12" ht="64" customHeight="1">
      <c r="A12" s="13" t="inlineStr">
        <is>
          <t>Alaska</t>
        </is>
      </c>
      <c r="B12" s="4" t="inlineStr">
        <is>
          <t>Analysis</t>
        </is>
      </c>
      <c r="C12" s="4" t="inlineStr">
        <is>
          <t>State group</t>
        </is>
      </c>
      <c r="D12" s="4" t="inlineStr">
        <is>
          <t>Alaska Policy Forum</t>
        </is>
      </c>
      <c r="E12" s="4" t="n"/>
      <c r="F12" s="15" t="inlineStr">
        <is>
          <t>Alaska Property Taxes, Ranked</t>
        </is>
      </c>
      <c r="G12" s="4" t="inlineStr">
        <is>
          <t>Aug. 3, 2022</t>
        </is>
      </c>
      <c r="H12" s="4" t="inlineStr">
        <is>
          <t>2022-08-03</t>
        </is>
      </c>
      <c r="I12" s="4" t="inlineStr">
        <is>
          <t>Summarizes the Tax Foundation's ranking (Alaska 24th on property tax burden) and argues that heavy reliance on property tax beats a state income or sales tax: property tax is more transparent, funds local services residents can see, and is already restrained by Alaska's rate and levy limits; urges residents to scrutinize school bonds and levies.</t>
        </is>
      </c>
      <c r="J12" s="4" t="inlineStr">
        <is>
          <t>Free-market analyses column</t>
        </is>
      </c>
      <c r="K12" s="4" t="inlineStr">
        <is>
          <t>https://alaskapolicyforum.org/2022/08/alaska-property-taxes-ranked/</t>
        </is>
      </c>
    </row>
    <row r="13" ht="30" customHeight="1">
      <c r="A13" s="13" t="inlineStr">
        <is>
          <t>Alaska</t>
        </is>
      </c>
      <c r="B13" s="4" t="inlineStr">
        <is>
          <t>Checked: no report since 2021</t>
        </is>
      </c>
      <c r="C13" s="4" t="inlineStr">
        <is>
          <t>State group</t>
        </is>
      </c>
      <c r="D13" s="4" t="inlineStr">
        <is>
          <t>Americans for Prosperity-Alaska</t>
        </is>
      </c>
      <c r="E13" s="4" t="n"/>
      <c r="F13" s="4" t="inlineStr">
        <is>
          <t>(no report found)</t>
        </is>
      </c>
      <c r="G13" s="4" t="n"/>
      <c r="H13" s="4" t="n"/>
      <c r="I13" s="4" t="inlineStr">
        <is>
          <t>Americans for Prosperity-Alaska: no Alaska property tax item since 2021 was found.</t>
        </is>
      </c>
      <c r="J13" s="4" t="inlineStr">
        <is>
          <t>Free-market analyses column</t>
        </is>
      </c>
      <c r="K13" s="4" t="n"/>
    </row>
    <row r="14" ht="64" customHeight="1">
      <c r="A14" s="13" t="inlineStr">
        <is>
          <t>Arizona</t>
        </is>
      </c>
      <c r="B14" s="4" t="inlineStr">
        <is>
          <t>Analysis</t>
        </is>
      </c>
      <c r="C14" s="4" t="inlineStr">
        <is>
          <t>State group</t>
        </is>
      </c>
      <c r="D14" s="4" t="inlineStr">
        <is>
          <t>Arizona Tax Research Association</t>
        </is>
      </c>
      <c r="E14" s="4" t="n"/>
      <c r="F14" s="15" t="inlineStr">
        <is>
          <t>City Budgets Maintain Strong Reserves—TNT Noncompliance Remains a Problem</t>
        </is>
      </c>
      <c r="G14" s="4" t="inlineStr">
        <is>
          <t>Sept.-Oct. 2026 newsletter</t>
        </is>
      </c>
      <c r="H14" s="4" t="inlineStr">
        <is>
          <t>2026-09-00</t>
        </is>
      </c>
      <c r="I14" s="4" t="inlineStr">
        <is>
          <t>City and town property taxes reach $991 million in FY2027, up 22.8% in five years and 56.8% in ten; of the 23 cities and towns subject to truth-in-taxation requirements, only Peoria and Phoenix included the required notices in their budgets, while city cash reserves reached $4.6 billion (46.6% of general fund budgets).</t>
        </is>
      </c>
      <c r="J14" s="4" t="inlineStr">
        <is>
          <t>Free-market analyses column</t>
        </is>
      </c>
      <c r="K14" s="4" t="inlineStr">
        <is>
          <t>https://www.arizonatax.org/sites/default/files/publications/newsletters/file/ATRA%20Sept%20Oct%202026%20Newsletter.pdf</t>
        </is>
      </c>
    </row>
    <row r="15" ht="64" customHeight="1">
      <c r="A15" s="13" t="inlineStr">
        <is>
          <t>Arizona</t>
        </is>
      </c>
      <c r="B15" s="4" t="inlineStr">
        <is>
          <t>Analysis</t>
        </is>
      </c>
      <c r="C15" s="4" t="inlineStr">
        <is>
          <t>State group</t>
        </is>
      </c>
      <c r="D15" s="4" t="inlineStr">
        <is>
          <t>Arizona Free Enterprise Club</t>
        </is>
      </c>
      <c r="E15" s="4" t="n"/>
      <c r="F15" s="15" t="inlineStr">
        <is>
          <t>Addressing Affordability in the 2026 Legislative Session</t>
        </is>
      </c>
      <c r="G15" s="4" t="inlineStr">
        <is>
          <t>Jan. 7, 2026</t>
        </is>
      </c>
      <c r="H15" s="4" t="inlineStr">
        <is>
          <t>2026-01-07</t>
        </is>
      </c>
      <c r="I15" s="4" t="inlineStr">
        <is>
          <t>Says cities and towns have been raising sales and use taxes, fees and rates even as the Legislature cut taxes, and urges a moratorium on local tax, rate and fee hikes, voter approval for any local tax increase, "absolute caps on local tax rates," and an end to property tax hikes that support empty and underused schools.</t>
        </is>
      </c>
      <c r="J15" s="4" t="inlineStr">
        <is>
          <t>Free-market analyses column</t>
        </is>
      </c>
      <c r="K15" s="4" t="inlineStr">
        <is>
          <t>https://azfree.org/blog/2026/01/07/addressing-affordability-in-the-2026-legislative-session/</t>
        </is>
      </c>
    </row>
    <row r="16" ht="49" customHeight="1">
      <c r="A16" s="13" t="inlineStr">
        <is>
          <t>Arizona</t>
        </is>
      </c>
      <c r="B16" s="4" t="inlineStr">
        <is>
          <t>Analysis</t>
        </is>
      </c>
      <c r="C16" s="4" t="inlineStr">
        <is>
          <t>State group</t>
        </is>
      </c>
      <c r="D16" s="4" t="inlineStr">
        <is>
          <t>Arizona Free Enterprise Club</t>
        </is>
      </c>
      <c r="E16" s="4" t="n"/>
      <c r="F16" s="15" t="inlineStr">
        <is>
          <t>The Arizona Free Enterprise Club recommends that Maricopa County voters vote NO on Proposition 409</t>
        </is>
      </c>
      <c r="G16" s="4" t="inlineStr">
        <is>
          <t>Oct. 28, 2025</t>
        </is>
      </c>
      <c r="H16" s="4" t="inlineStr">
        <is>
          <t>2025-10-28</t>
        </is>
      </c>
      <c r="I16" s="4" t="inlineStr">
        <is>
          <t>Opposed Valleywise Health's $898 million bond, which would stack 30 more years of debt on Maricopa County homeowners on top of the $935 million bond voters approved in 2014, and objected to placing it on an off-cycle, low-turnout ballot. Voters approved it in November 2025.</t>
        </is>
      </c>
      <c r="J16" s="4" t="inlineStr">
        <is>
          <t>Free-market analyses column</t>
        </is>
      </c>
      <c r="K16" s="4" t="inlineStr">
        <is>
          <t>https://azfree.org/blog/2025/10/28/the-arizona-free-enterprise-club-recommends-that-maricopa-county-voters-vote-no-on-proposition-409/</t>
        </is>
      </c>
    </row>
    <row r="17" ht="49" customHeight="1">
      <c r="A17" s="13" t="inlineStr">
        <is>
          <t>Arizona</t>
        </is>
      </c>
      <c r="B17" s="4" t="inlineStr">
        <is>
          <t>Analysis</t>
        </is>
      </c>
      <c r="C17" s="4" t="inlineStr">
        <is>
          <t>State group</t>
        </is>
      </c>
      <c r="D17" s="4" t="inlineStr">
        <is>
          <t>Goldwater Institute</t>
        </is>
      </c>
      <c r="E17" s="4" t="n"/>
      <c r="F17" s="15" t="inlineStr">
        <is>
          <t>Yuma County Refunding Illegal Property Tax after Goldwater Legal Challenge</t>
        </is>
      </c>
      <c r="G17" s="4" t="inlineStr">
        <is>
          <t>Aug. 22, 2025</t>
        </is>
      </c>
      <c r="H17" s="4" t="inlineStr">
        <is>
          <t>2025-08-22</t>
        </is>
      </c>
      <c r="I17" s="4" t="inlineStr">
        <is>
          <t>The Yuma County Hospital District had the county levy its tax for three years without the election state law requires; after Goldwater sued in 2023, the district put up more than $4 million, every dollar collected, as credits on 2025-26 bills, and the tax ended.</t>
        </is>
      </c>
      <c r="J17" s="4" t="inlineStr">
        <is>
          <t>Free-market analyses column</t>
        </is>
      </c>
      <c r="K17" s="4" t="inlineStr">
        <is>
          <t>https://www.goldwaterinstitute.org/yuma-county-hospital-district-treasurer-refunding-illegal-property-tax-after-goldwater-legal-challenge/</t>
        </is>
      </c>
    </row>
    <row r="18" ht="64" customHeight="1">
      <c r="A18" s="13" t="inlineStr">
        <is>
          <t>Arizona</t>
        </is>
      </c>
      <c r="B18" s="4" t="inlineStr">
        <is>
          <t>Analysis</t>
        </is>
      </c>
      <c r="C18" s="4" t="inlineStr">
        <is>
          <t>State group</t>
        </is>
      </c>
      <c r="D18" s="4" t="inlineStr">
        <is>
          <t>Common Sense Institute Arizona</t>
        </is>
      </c>
      <c r="E18" s="4" t="inlineStr">
        <is>
          <t>Glenn Farley</t>
        </is>
      </c>
      <c r="F18" s="15" t="inlineStr">
        <is>
          <t>Arizona Prop. 312 The Fiscal &amp; Economic Consequences of Unmitigated Public Nuisances</t>
        </is>
      </c>
      <c r="G18" s="4" t="inlineStr">
        <is>
          <t>Sept. 25, 2024</t>
        </is>
      </c>
      <c r="H18" s="4" t="inlineStr">
        <is>
          <t>2024-09-25</t>
        </is>
      </c>
      <c r="I18" s="4" t="inlineStr">
        <is>
          <t>Analysis of the Goldwater-drafted measure letting owners claim property tax refunds for documented costs when a city or county fails to enforce laws on illegal camping and similar nuisances; it finds estimated market rents for commercial property in the affected parts of Phoenix rose only 15.7% from 2019 to 2023, about half the citywide rate.</t>
        </is>
      </c>
      <c r="J18" s="4" t="inlineStr">
        <is>
          <t>Free-market analyses column</t>
        </is>
      </c>
      <c r="K18" s="4" t="inlineStr">
        <is>
          <t>https://commonsenseinstituteus.org/arizona/research/ballot-issues/arizona-prop-312/</t>
        </is>
      </c>
    </row>
    <row r="19" ht="49" customHeight="1">
      <c r="A19" s="13" t="inlineStr">
        <is>
          <t>Arizona</t>
        </is>
      </c>
      <c r="B19" s="4" t="inlineStr">
        <is>
          <t>Analysis</t>
        </is>
      </c>
      <c r="C19" s="4" t="inlineStr">
        <is>
          <t>State group</t>
        </is>
      </c>
      <c r="D19" s="4" t="inlineStr">
        <is>
          <t>Goldwater Institute</t>
        </is>
      </c>
      <c r="E19" s="4" t="n"/>
      <c r="F19" s="15" t="inlineStr">
        <is>
          <t>Goldwater Sues to Stop Phoenix's $7 Million Property Tax Shell Game</t>
        </is>
      </c>
      <c r="G19" s="4" t="inlineStr">
        <is>
          <t>May 6, 2022</t>
        </is>
      </c>
      <c r="H19" s="4" t="inlineStr">
        <is>
          <t>2022-05-06</t>
        </is>
      </c>
      <c r="I19" s="4" t="inlineStr">
        <is>
          <t>Challenges Phoenix's use of a government property lease (GPLET) to let a downtown high-rise developer skip eight years of property tax, shifting the cost to other taxpayers, in violation of the state constitution's gift clause.</t>
        </is>
      </c>
      <c r="J19" s="4" t="inlineStr">
        <is>
          <t>Free-market analyses column</t>
        </is>
      </c>
      <c r="K19" s="4" t="inlineStr">
        <is>
          <t>https://www.goldwaterinstitute.org/?p=36407</t>
        </is>
      </c>
    </row>
    <row r="20" ht="79" customHeight="1">
      <c r="A20" s="13" t="inlineStr">
        <is>
          <t>Arizona</t>
        </is>
      </c>
      <c r="B20" s="4" t="inlineStr">
        <is>
          <t>Analysis</t>
        </is>
      </c>
      <c r="C20" s="4" t="inlineStr">
        <is>
          <t>State group</t>
        </is>
      </c>
      <c r="D20" s="4" t="inlineStr">
        <is>
          <t>Common Sense Institute Arizona</t>
        </is>
      </c>
      <c r="E20" s="4" t="inlineStr">
        <is>
          <t>Glenn Farley</t>
        </is>
      </c>
      <c r="F20" s="15" t="inlineStr">
        <is>
          <t>HB 2822 &amp; The Taxation of Business Personal Property</t>
        </is>
      </c>
      <c r="G20" s="4" t="inlineStr">
        <is>
          <t>April 19, 2022</t>
        </is>
      </c>
      <c r="H20" s="4" t="inlineStr">
        <is>
          <t>2022-04-19</t>
        </is>
      </c>
      <c r="I20" s="4" t="inlineStr">
        <is>
          <t>Business taxpayers hold less than 20% of property value but pay over 35% of property taxes, and a business with $500,000 of real property might pay $11,887 a year against $5,250 for a home of the same value; it adds that the Homeowner's Rebate, in which the state general fund pays 6% of all property tax payments to school districts, "potentially encourages residential property owners to favor higher property tax rates."</t>
        </is>
      </c>
      <c r="J20" s="4" t="inlineStr">
        <is>
          <t>Free-market analyses column</t>
        </is>
      </c>
      <c r="K20" s="4" t="inlineStr">
        <is>
          <t>https://commonsenseinstituteus.org/arizona/research/taxes-and-fees/hb-2822-the-taxation-of-business-personal-property/</t>
        </is>
      </c>
    </row>
    <row r="21" ht="30" customHeight="1">
      <c r="A21" s="13" t="inlineStr">
        <is>
          <t>Arizona</t>
        </is>
      </c>
      <c r="B21" s="4" t="inlineStr">
        <is>
          <t>Cited elsewhere in the matrix</t>
        </is>
      </c>
      <c r="C21" s="4" t="inlineStr">
        <is>
          <t>National group</t>
        </is>
      </c>
      <c r="D21" s="4" t="inlineStr">
        <is>
          <t>Tax Foundation</t>
        </is>
      </c>
      <c r="E21" s="4" t="n"/>
      <c r="F21" s="15" t="inlineStr">
        <is>
          <t>State Tax Ballot Measures to Watch in 2026</t>
        </is>
      </c>
      <c r="G21" s="4" t="inlineStr">
        <is>
          <t>Oct. 7, 2026</t>
        </is>
      </c>
      <c r="H21" s="4" t="inlineStr">
        <is>
          <t>2026-10-07</t>
        </is>
      </c>
      <c r="I21" s="4" t="n"/>
      <c r="J21" s="4" t="inlineStr">
        <is>
          <t>Source URLs</t>
        </is>
      </c>
      <c r="K21" s="4" t="inlineStr">
        <is>
          <t>https://taxfoundation.org/research/state-tax/2026-state-tax-ballot-measures/</t>
        </is>
      </c>
    </row>
    <row r="22" ht="34" customHeight="1">
      <c r="A22" s="13" t="inlineStr">
        <is>
          <t>Arizona</t>
        </is>
      </c>
      <c r="B22" s="4" t="inlineStr">
        <is>
          <t>Cited elsewhere in the matrix</t>
        </is>
      </c>
      <c r="C22" s="4" t="inlineStr">
        <is>
          <t>State group</t>
        </is>
      </c>
      <c r="D22" s="4" t="inlineStr">
        <is>
          <t>Arizona Free Enterprise Club</t>
        </is>
      </c>
      <c r="E22" s="4" t="n"/>
      <c r="F22" s="15" t="inlineStr">
        <is>
          <t>Another Month, Another Onslaught of Municipal Tax and Fee Increases</t>
        </is>
      </c>
      <c r="G22" s="4" t="inlineStr">
        <is>
          <t>July 7, 2026</t>
        </is>
      </c>
      <c r="H22" s="4" t="inlineStr">
        <is>
          <t>2026-07-07</t>
        </is>
      </c>
      <c r="I22" s="4" t="inlineStr">
        <is>
          <t>Gilbert raised its sales tax from 1.5% to 2% and added a 2% use tax in Jan. 2025, and its water bills rose 50% in 2024 and another 25% in April 2025 (Arizona Free Enterprise Club, Dec. 4, 2025).</t>
        </is>
      </c>
      <c r="J22" s="4" t="inlineStr">
        <is>
          <t>Source URLs and Loopholes &amp; has it worked?</t>
        </is>
      </c>
      <c r="K22" s="4" t="inlineStr">
        <is>
          <t>https://azfree.org/blog/2026/07/07/another-month-another-onslaught-of-municipal-tax-and-fee-increases/</t>
        </is>
      </c>
    </row>
    <row r="23" ht="34" customHeight="1">
      <c r="A23" s="13" t="inlineStr">
        <is>
          <t>Arizona</t>
        </is>
      </c>
      <c r="B23" s="4" t="inlineStr">
        <is>
          <t>Cited elsewhere in the matrix</t>
        </is>
      </c>
      <c r="C23" s="4" t="inlineStr">
        <is>
          <t>State group</t>
        </is>
      </c>
      <c r="D23" s="4" t="inlineStr">
        <is>
          <t>Arizona Free Enterprise Club</t>
        </is>
      </c>
      <c r="E23" s="4" t="n"/>
      <c r="F23" s="15" t="inlineStr">
        <is>
          <t>ARIZONA’S LOCAL TAX TRAP: How Cities are Destroying Affordability</t>
        </is>
      </c>
      <c r="G23" s="4" t="inlineStr">
        <is>
          <t>Dec. 4, 2025</t>
        </is>
      </c>
      <c r="H23" s="4" t="inlineStr">
        <is>
          <t>2025-12-04</t>
        </is>
      </c>
      <c r="I23" s="4" t="inlineStr">
        <is>
          <t>Gilbert raised its sales tax from 1.5% to 2% and added a 2% use tax in Jan. 2025, and its water bills rose 50% in 2024 and another 25% in April 2025 (Arizona Free Enterprise Club, Dec. 4, 2025).</t>
        </is>
      </c>
      <c r="J23" s="4" t="inlineStr">
        <is>
          <t>Source URLs and Loopholes &amp; has it worked?</t>
        </is>
      </c>
      <c r="K23" s="4" t="inlineStr">
        <is>
          <t>https://azfree.org/blog/2025/12/04/arizonas-local-tax-trap-how-cities-are-destroying-affordability/</t>
        </is>
      </c>
    </row>
    <row r="24" ht="30" customHeight="1">
      <c r="A24" s="13" t="inlineStr">
        <is>
          <t>Arizona</t>
        </is>
      </c>
      <c r="B24" s="4" t="inlineStr">
        <is>
          <t>Checked: no report since 2021</t>
        </is>
      </c>
      <c r="C24" s="4" t="inlineStr">
        <is>
          <t>State group</t>
        </is>
      </c>
      <c r="D24" s="4" t="inlineStr">
        <is>
          <t>AZ Liberty Network</t>
        </is>
      </c>
      <c r="E24" s="4" t="n"/>
      <c r="F24" s="4" t="inlineStr">
        <is>
          <t>(no report found)</t>
        </is>
      </c>
      <c r="G24" s="4" t="n"/>
      <c r="H24" s="4" t="n"/>
      <c r="I24" s="4" t="inlineStr">
        <is>
          <t>AZ Liberty Network (State Policy Network affiliate): no property tax report since 2021 was found.</t>
        </is>
      </c>
      <c r="J24" s="4" t="inlineStr">
        <is>
          <t>Free-market analyses column</t>
        </is>
      </c>
      <c r="K24" s="4" t="n"/>
    </row>
    <row r="25" ht="30" customHeight="1">
      <c r="A25" s="13" t="inlineStr">
        <is>
          <t>Arizona</t>
        </is>
      </c>
      <c r="B25" s="4" t="inlineStr">
        <is>
          <t>Checked: no report since 2021</t>
        </is>
      </c>
      <c r="C25" s="4" t="inlineStr">
        <is>
          <t>State group</t>
        </is>
      </c>
      <c r="D25" s="4" t="inlineStr">
        <is>
          <t>Americans for Prosperity-Arizona</t>
        </is>
      </c>
      <c r="E25" s="4" t="n"/>
      <c r="F25" s="4" t="inlineStr">
        <is>
          <t>(no report found)</t>
        </is>
      </c>
      <c r="G25" s="4" t="n"/>
      <c r="H25" s="4" t="n"/>
      <c r="I25" s="4" t="inlineStr">
        <is>
          <t>Americans for Prosperity-Arizona: no property tax item since 2021 was found.</t>
        </is>
      </c>
      <c r="J25" s="4" t="inlineStr">
        <is>
          <t>Free-market analyses column</t>
        </is>
      </c>
      <c r="K25" s="4" t="n"/>
    </row>
    <row r="26" ht="79" customHeight="1">
      <c r="A26" s="13" t="inlineStr">
        <is>
          <t>Arkansas</t>
        </is>
      </c>
      <c r="B26" s="4" t="inlineStr">
        <is>
          <t>Analysis</t>
        </is>
      </c>
      <c r="C26" s="4" t="inlineStr">
        <is>
          <t>Legislators &amp; officials</t>
        </is>
      </c>
      <c r="D26" s="4" t="inlineStr">
        <is>
          <t>Arkansas Senate (Republican majority)</t>
        </is>
      </c>
      <c r="E26" s="4" t="n"/>
      <c r="F26" s="15" t="inlineStr">
        <is>
          <t>Lawmakers Discuss Issue 3</t>
        </is>
      </c>
      <c r="G26" s="4" t="inlineStr">
        <is>
          <t>Aug. 21, 2026</t>
        </is>
      </c>
      <c r="H26" s="4" t="inlineStr">
        <is>
          <t>2026-08-21</t>
        </is>
      </c>
      <c r="I26" s="4" t="inlineStr">
        <is>
          <t>Sen. Jonathan Dismang presented SJR 15, Issue 3 on the November ballot, to the Joint City, County and Local Affairs Committee: property inside a new economic development district would be exempt from most taxes except those the district levies, and bonds backed by property taxes for these projects would still need local voter approval. Local officials described it as a local-control tool to compete with neighboring states' incentives; it would take effect January 1, 2027.</t>
        </is>
      </c>
      <c r="J26" s="4" t="inlineStr">
        <is>
          <t>Free-market analyses column</t>
        </is>
      </c>
      <c r="K26" s="4" t="inlineStr">
        <is>
          <t>https://senate.arkansas.gov/senate-news/posts/2026/08/lawmakers-discuss-issue-3/</t>
        </is>
      </c>
    </row>
    <row r="27" ht="49" customHeight="1">
      <c r="A27" s="13" t="inlineStr">
        <is>
          <t>Arkansas</t>
        </is>
      </c>
      <c r="B27" s="4" t="inlineStr">
        <is>
          <t>Analysis</t>
        </is>
      </c>
      <c r="C27" s="4" t="inlineStr">
        <is>
          <t>Legislators &amp; officials</t>
        </is>
      </c>
      <c r="D27" s="4" t="inlineStr">
        <is>
          <t>Arkansas House of Representatives (Republican majority)</t>
        </is>
      </c>
      <c r="E27" s="4" t="n"/>
      <c r="F27" s="15" t="inlineStr">
        <is>
          <t>2026 Fiscal Session Week 3</t>
        </is>
      </c>
      <c r="G27" s="4" t="inlineStr">
        <is>
          <t>April 24, 2026</t>
        </is>
      </c>
      <c r="H27" s="4" t="inlineStr">
        <is>
          <t>2026-04-24</t>
        </is>
      </c>
      <c r="I27" s="4" t="inlineStr">
        <is>
          <t>Reports that the House Revenue and Tax Committee advanced HB 1103 to raise the Homestead Property Tax Credit from $600 to $675 for assessment years beginning Jan. 1, 2026, alongside a $6.7 billion budget up $211 million and a projected $310.2 million surplus at the end of FY2027.</t>
        </is>
      </c>
      <c r="J27" s="4" t="inlineStr">
        <is>
          <t>Free-market analyses column</t>
        </is>
      </c>
      <c r="K27" s="4" t="inlineStr">
        <is>
          <t>https://www.arkansashouse.org/?p=33676</t>
        </is>
      </c>
    </row>
    <row r="28" ht="64" customHeight="1">
      <c r="A28" s="13" t="inlineStr">
        <is>
          <t>Arkansas</t>
        </is>
      </c>
      <c r="B28" s="4" t="inlineStr">
        <is>
          <t>Analysis</t>
        </is>
      </c>
      <c r="C28" s="4" t="inlineStr">
        <is>
          <t>National group</t>
        </is>
      </c>
      <c r="D28" s="4" t="inlineStr">
        <is>
          <t>Tax Foundation (national)</t>
        </is>
      </c>
      <c r="E28" s="4" t="inlineStr">
        <is>
          <t>Jared Walczak</t>
        </is>
      </c>
      <c r="F28" s="15" t="inlineStr">
        <is>
          <t>Property Tax Limitation Regimes: A Primer</t>
        </is>
      </c>
      <c r="G28" s="4" t="inlineStr">
        <is>
          <t>April 2, 2025</t>
        </is>
      </c>
      <c r="H28" s="4" t="inlineStr">
        <is>
          <t>2025-04-02</t>
        </is>
      </c>
      <c r="I28" s="4" t="inlineStr">
        <is>
          <t>Explains the three limit types: assessment limits shield individual owners but create unequal burdens among similar properties, rate limits do not stop increases from rising values, and levy limits restrain total revenue growth. Its table credits Arkansas with all three, and it warns that any limit can shift taxes to other local sources or to the state.</t>
        </is>
      </c>
      <c r="J28" s="4" t="inlineStr">
        <is>
          <t>Free-market analyses column</t>
        </is>
      </c>
      <c r="K28" s="4" t="inlineStr">
        <is>
          <t>https://taxfoundation.org/research/all/state/property-tax-limitation-regimes-primer/</t>
        </is>
      </c>
    </row>
    <row r="29" ht="34" customHeight="1">
      <c r="A29" s="13" t="inlineStr">
        <is>
          <t>Arkansas</t>
        </is>
      </c>
      <c r="B29" s="4" t="inlineStr">
        <is>
          <t>Analysis</t>
        </is>
      </c>
      <c r="C29" s="4" t="inlineStr">
        <is>
          <t>Legislators &amp; officials</t>
        </is>
      </c>
      <c r="D29" s="4" t="inlineStr">
        <is>
          <t>Arkansas Senate (Republican majority)</t>
        </is>
      </c>
      <c r="E29" s="4" t="n"/>
      <c r="F29" s="15" t="inlineStr">
        <is>
          <t>Senate Passes Additional $100 a Year Property Tax Credit</t>
        </is>
      </c>
      <c r="G29" s="4" t="inlineStr">
        <is>
          <t>March 12, 2025</t>
        </is>
      </c>
      <c r="H29" s="4" t="inlineStr">
        <is>
          <t>2025-03-12</t>
        </is>
      </c>
      <c r="I29" s="4" t="inlineStr">
        <is>
          <t>SB 263 raises the homestead property tax credit from $500 to $600 a year starting in 2026, which the Senate says saves about 708,000 homeowners $56 million a year.</t>
        </is>
      </c>
      <c r="J29" s="4" t="inlineStr">
        <is>
          <t>Free-market analyses column</t>
        </is>
      </c>
      <c r="K29" s="4" t="inlineStr">
        <is>
          <t>https://senate.arkansas.gov/senate-news/posts/2025/03/9926-2/</t>
        </is>
      </c>
    </row>
    <row r="30" ht="64" customHeight="1">
      <c r="A30" s="13" t="inlineStr">
        <is>
          <t>Arkansas</t>
        </is>
      </c>
      <c r="B30" s="4" t="inlineStr">
        <is>
          <t>Analysis</t>
        </is>
      </c>
      <c r="C30" s="4" t="inlineStr">
        <is>
          <t>State group</t>
        </is>
      </c>
      <c r="D30" s="4" t="inlineStr">
        <is>
          <t>Arkansas Policy Foundation</t>
        </is>
      </c>
      <c r="E30" s="4" t="n"/>
      <c r="F30" s="15" t="inlineStr">
        <is>
          <t>ARKANSAS INCOME TAX RATE CUT TO 3.9%</t>
        </is>
      </c>
      <c r="G30" s="4" t="inlineStr">
        <is>
          <t>June 10, 2024</t>
        </is>
      </c>
      <c r="H30" s="4" t="inlineStr">
        <is>
          <t>2024-06-10</t>
        </is>
      </c>
      <c r="I30" s="4" t="inlineStr">
        <is>
          <t>The only property tax item found on its site since 2021; it reports that Gov. Sarah Huckabee Sanders signed measures on June 19, 2024 that cut the top income tax rate to 3.9% and used surplus revenue to raise the homestead property tax credit from $425 to $500 for assessment years beginning Jan. 1, 2024. Its other recent tax work covers income tax cuts.</t>
        </is>
      </c>
      <c r="J30" s="4" t="inlineStr">
        <is>
          <t>Free-market analyses column</t>
        </is>
      </c>
      <c r="K30" s="4" t="inlineStr">
        <is>
          <t>https://arkansaspolicyfoundation.org/arkansas-income-tax-rate-cut-to-3-9/</t>
        </is>
      </c>
    </row>
    <row r="31" ht="34" customHeight="1">
      <c r="A31" s="13" t="inlineStr">
        <is>
          <t>Arkansas</t>
        </is>
      </c>
      <c r="B31" s="4" t="inlineStr">
        <is>
          <t>Checked: no report since 2021</t>
        </is>
      </c>
      <c r="C31" s="4" t="inlineStr">
        <is>
          <t>State group</t>
        </is>
      </c>
      <c r="D31" s="4" t="inlineStr">
        <is>
          <t>Opportunity Arkansas Foundation</t>
        </is>
      </c>
      <c r="E31" s="4" t="n"/>
      <c r="F31" s="4" t="inlineStr">
        <is>
          <t>(no report found)</t>
        </is>
      </c>
      <c r="G31" s="4" t="n"/>
      <c r="H31" s="4" t="n"/>
      <c r="I31" s="4" t="inlineStr">
        <is>
          <t>Opportunity Arkansas Foundation (State Policy Network affiliate): no property tax report since 2021 was found; its site blocks automated searches.</t>
        </is>
      </c>
      <c r="J31" s="4" t="inlineStr">
        <is>
          <t>Free-market analyses column</t>
        </is>
      </c>
      <c r="K31" s="4" t="n"/>
    </row>
    <row r="32" ht="30" customHeight="1">
      <c r="A32" s="13" t="inlineStr">
        <is>
          <t>Arkansas</t>
        </is>
      </c>
      <c r="B32" s="4" t="inlineStr">
        <is>
          <t>Checked: no report since 2021</t>
        </is>
      </c>
      <c r="C32" s="4" t="inlineStr">
        <is>
          <t>State group</t>
        </is>
      </c>
      <c r="D32" s="4" t="inlineStr">
        <is>
          <t>Advance Arkansas Institute</t>
        </is>
      </c>
      <c r="E32" s="4" t="n"/>
      <c r="F32" s="4" t="inlineStr">
        <is>
          <t>(no report found)</t>
        </is>
      </c>
      <c r="G32" s="4" t="n"/>
      <c r="H32" s="4" t="n"/>
      <c r="I32" s="4" t="inlineStr">
        <is>
          <t>Advance Arkansas Institute: no property tax report since 2021 was found.</t>
        </is>
      </c>
      <c r="J32" s="4" t="inlineStr">
        <is>
          <t>Free-market analyses column</t>
        </is>
      </c>
      <c r="K32" s="4" t="n"/>
    </row>
    <row r="33" ht="30" customHeight="1">
      <c r="A33" s="13" t="inlineStr">
        <is>
          <t>Arkansas</t>
        </is>
      </c>
      <c r="B33" s="4" t="inlineStr">
        <is>
          <t>Checked: no report since 2021</t>
        </is>
      </c>
      <c r="C33" s="4" t="inlineStr">
        <is>
          <t>State group</t>
        </is>
      </c>
      <c r="D33" s="4" t="inlineStr">
        <is>
          <t>Americans for Prosperity-Arkansas</t>
        </is>
      </c>
      <c r="E33" s="4" t="n"/>
      <c r="F33" s="4" t="inlineStr">
        <is>
          <t>(no report found)</t>
        </is>
      </c>
      <c r="G33" s="4" t="n"/>
      <c r="H33" s="4" t="n"/>
      <c r="I33" s="4" t="inlineStr">
        <is>
          <t>Americans for Prosperity-Arkansas: no property tax item since 2021 was found.</t>
        </is>
      </c>
      <c r="J33" s="4" t="inlineStr">
        <is>
          <t>Free-market analyses column</t>
        </is>
      </c>
      <c r="K33" s="4" t="n"/>
    </row>
    <row r="34" ht="64" customHeight="1">
      <c r="A34" s="13" t="inlineStr">
        <is>
          <t>California</t>
        </is>
      </c>
      <c r="B34" s="4" t="inlineStr">
        <is>
          <t>Analysis</t>
        </is>
      </c>
      <c r="C34" s="4" t="inlineStr">
        <is>
          <t>State group</t>
        </is>
      </c>
      <c r="D34" s="4" t="inlineStr">
        <is>
          <t>California Policy Center</t>
        </is>
      </c>
      <c r="E34" s="4" t="n"/>
      <c r="F34" s="15" t="inlineStr">
        <is>
          <t>CPC’s 2026 Voter Information Guide</t>
        </is>
      </c>
      <c r="G34" s="4" t="inlineStr">
        <is>
          <t>Sept. 25, 2026</t>
        </is>
      </c>
      <c r="H34" s="4" t="inlineStr">
        <is>
          <t>2026-09-25</t>
        </is>
      </c>
      <c r="I34" s="4" t="inlineStr">
        <is>
          <t>CPC's take is YES on Prop 43, which it says "closes a loophole that allows local government unions to raise taxes without complying with Proposition 13" and also bars new ad valorem property taxes above Prop 13's 1% base rate. CPC is also YES on Props 41 and 42 and NO on Prop 2, which would double the rainy day fund cap to 20% of General Fund tax revenue and exclude deposits from the Gann spending limit.</t>
        </is>
      </c>
      <c r="J34" s="4" t="inlineStr">
        <is>
          <t>Free-market analyses column</t>
        </is>
      </c>
      <c r="K34" s="4" t="inlineStr">
        <is>
          <t>https://californiapolicycenter.org/cpcs-2026-voter-information-guide/</t>
        </is>
      </c>
    </row>
    <row r="35" ht="94" customHeight="1">
      <c r="A35" s="13" t="inlineStr">
        <is>
          <t>California</t>
        </is>
      </c>
      <c r="B35" s="4" t="inlineStr">
        <is>
          <t>Analysis</t>
        </is>
      </c>
      <c r="C35" s="4" t="inlineStr">
        <is>
          <t>State group</t>
        </is>
      </c>
      <c r="D35" s="4" t="inlineStr">
        <is>
          <t>Howard Jarvis Taxpayers Association</t>
        </is>
      </c>
      <c r="E35" s="4" t="inlineStr">
        <is>
          <t>Scott Kaufman</t>
        </is>
      </c>
      <c r="F35" s="15" t="inlineStr">
        <is>
          <t>UNDER THE DOME: THE INSIDE STORY ON THE DEAL TO SAVE PROP. 13</t>
        </is>
      </c>
      <c r="G35" s="4" t="inlineStr">
        <is>
          <t>Sept. 21, 2026</t>
        </is>
      </c>
      <c r="H35" s="4" t="inlineStr">
        <is>
          <t>2026-09-21</t>
        </is>
      </c>
      <c r="I35" s="4" t="inlineStr">
        <is>
          <t>HJTA refused to withdraw its Save Proposition 13 initiative in exchange for a statutory transfer tax cap (AB 736) and won a deal: on June 25 the Legislature passed ACA 22, now Prop 43, which requires two-thirds voter approval for all new local special taxes and closes the Upland loophole, plus ACA 21 to pull the ACA 13 "poison pill" off the November ballot. In return HJTA deferred the transfer tax fight and gave up a provision that would have repealed some existing transfer and parcel taxes passed through court-created loopholes.</t>
        </is>
      </c>
      <c r="J35" s="4" t="inlineStr">
        <is>
          <t>Free-market analyses column</t>
        </is>
      </c>
      <c r="K35" s="4" t="inlineStr">
        <is>
          <t>https://www.hjta.org/news-events/taxing-times/taxing-times-online-fall-2026-vol-52-issue-3/under-the-dome-the-inside-story-on-the-deal-to-save-prop-13/</t>
        </is>
      </c>
    </row>
    <row r="36" ht="64" customHeight="1">
      <c r="A36" s="13" t="inlineStr">
        <is>
          <t>California</t>
        </is>
      </c>
      <c r="B36" s="4" t="inlineStr">
        <is>
          <t>Analysis</t>
        </is>
      </c>
      <c r="C36" s="4" t="inlineStr">
        <is>
          <t>State group</t>
        </is>
      </c>
      <c r="D36" s="4" t="inlineStr">
        <is>
          <t>California Taxpayers Association (CalTax)</t>
        </is>
      </c>
      <c r="E36" s="4" t="n"/>
      <c r="F36" s="15" t="inlineStr">
        <is>
          <t>California Voters Will See 273 Tax Increases on Local Ballots in November</t>
        </is>
      </c>
      <c r="G36" s="4" t="inlineStr">
        <is>
          <t>Sept. 3, 2026</t>
        </is>
      </c>
      <c r="H36" s="4" t="inlineStr">
        <is>
          <t>2026-09-03</t>
        </is>
      </c>
      <c r="I36" s="4" t="inlineStr">
        <is>
          <t>November local ballots carry 273 tax measures: $3 billion in direct taxes plus $19.5 billion in bonds repaid through property taxes above Prop 13's 1% limit. Seventy are parcel taxes and 82 are school bonds; nine use the Upland loophole, and CalTax says the bonds would cost property owners more than $1.15 billion a year (projections for 76 measures).</t>
        </is>
      </c>
      <c r="J36" s="4" t="inlineStr">
        <is>
          <t>Free-market analyses column</t>
        </is>
      </c>
      <c r="K36" s="4" t="inlineStr">
        <is>
          <t>https://caltax.org/news-release/california-voters-will-see-273-tax-increases-on-local-ballots-in-november/</t>
        </is>
      </c>
    </row>
    <row r="37" ht="79" customHeight="1">
      <c r="A37" s="13" t="inlineStr">
        <is>
          <t>California</t>
        </is>
      </c>
      <c r="B37" s="4" t="inlineStr">
        <is>
          <t>Analysis</t>
        </is>
      </c>
      <c r="C37" s="4" t="inlineStr">
        <is>
          <t>State group</t>
        </is>
      </c>
      <c r="D37" s="4" t="inlineStr">
        <is>
          <t>Pacific Research Institute</t>
        </is>
      </c>
      <c r="E37" s="4" t="inlineStr">
        <is>
          <t>Kerry Jackson</t>
        </is>
      </c>
      <c r="F37" s="15" t="inlineStr">
        <is>
          <t>Another Tax That Backfired</t>
        </is>
      </c>
      <c r="G37" s="4" t="inlineStr">
        <is>
          <t>March 10, 2026</t>
        </is>
      </c>
      <c r="H37" s="4" t="inlineStr">
        <is>
          <t>2026-03-10</t>
        </is>
      </c>
      <c r="I37" s="4" t="inlineStr">
        <is>
          <t>Los Angeles' Measure ULA "mansion tax" (4% on sales above $5.3 million, 5.5% above $10.6 million) raised $1.09 billion in three years from fewer than 1,500 sales, less than the $1.1 billion backers promised for a single year. Cites a university paper estimating ULA cut eligible transactions 38% and that "at least 63 percent, and potentially over 100 percent" of its revenue is offset by lower future property tax collections.</t>
        </is>
      </c>
      <c r="J37" s="4" t="inlineStr">
        <is>
          <t>Free-market analyses column</t>
        </is>
      </c>
      <c r="K37" s="4" t="inlineStr">
        <is>
          <t>https://www.pacificresearch.org/another-tax-that-backfired/</t>
        </is>
      </c>
    </row>
    <row r="38" ht="64" customHeight="1">
      <c r="A38" s="13" t="inlineStr">
        <is>
          <t>California</t>
        </is>
      </c>
      <c r="B38" s="4" t="inlineStr">
        <is>
          <t>Analysis</t>
        </is>
      </c>
      <c r="C38" s="4" t="inlineStr">
        <is>
          <t>State group</t>
        </is>
      </c>
      <c r="D38" s="4" t="inlineStr">
        <is>
          <t>Pacific Research Institute</t>
        </is>
      </c>
      <c r="E38" s="4" t="inlineStr">
        <is>
          <t>Wayne Winegarden</t>
        </is>
      </c>
      <c r="F38" s="15" t="inlineStr">
        <is>
          <t>Spending Watch: Californians Will Pay a High Price for Tom Steyer’s “Split-Role” Proposal</t>
        </is>
      </c>
      <c r="G38" s="4" t="inlineStr">
        <is>
          <t>March 2, 2026</t>
        </is>
      </c>
      <c r="H38" s="4" t="inlineStr">
        <is>
          <t>2026-03-02</t>
        </is>
      </c>
      <c r="I38" s="4" t="inlineStr">
        <is>
          <t>Opposes gubernatorial candidate Tom Steyer's plan to remove Prop 13 limits on commercial property, calling Prop 13 "one of the few protections that taxpayers have against ever-rising taxes in the state." Using the LAO's 2020 estimate of $8.0 billion to $12.5 billion in new revenue, PRI's model projects a 3.4% to 4.8% smaller state economy within five years and up to 322,000 fewer jobs.</t>
        </is>
      </c>
      <c r="J38" s="4" t="inlineStr">
        <is>
          <t>Free-market analyses column</t>
        </is>
      </c>
      <c r="K38" s="4" t="inlineStr">
        <is>
          <t>https://www.pacificresearch.org/spending-watch-californians-will-pay-a-high-price-for-tom-steyers-split-role-proposal/</t>
        </is>
      </c>
    </row>
    <row r="39" ht="49" customHeight="1">
      <c r="A39" s="13" t="inlineStr">
        <is>
          <t>California</t>
        </is>
      </c>
      <c r="B39" s="4" t="inlineStr">
        <is>
          <t>Analysis</t>
        </is>
      </c>
      <c r="C39" s="4" t="inlineStr">
        <is>
          <t>National group</t>
        </is>
      </c>
      <c r="D39" s="4" t="inlineStr">
        <is>
          <t>Pacific Legal Foundation</t>
        </is>
      </c>
      <c r="E39" s="4" t="n"/>
      <c r="F39" s="15" t="inlineStr">
        <is>
          <t>Pacific Legal Foundation applauds California’s move to end home equity theft loophole</t>
        </is>
      </c>
      <c r="G39" s="4" t="inlineStr">
        <is>
          <t>Oct. 3, 2025</t>
        </is>
      </c>
      <c r="H39" s="4" t="inlineStr">
        <is>
          <t>2025-10-03</t>
        </is>
      </c>
      <c r="I39" s="4" t="inlineStr">
        <is>
          <t>Praises AB 418, signed Oct. 1, 2025, which closes a loophole that let California localities take homes from owners behind on property taxes and transfer them to the government or nonprofits without refunding surplus equity. PLF ties the law to its 2023 U.S. Supreme Court win in Tyler v. Hennepin County.</t>
        </is>
      </c>
      <c r="J39" s="4" t="inlineStr">
        <is>
          <t>Free-market analyses column</t>
        </is>
      </c>
      <c r="K39" s="4" t="inlineStr">
        <is>
          <t>https://pacificlegal.org/press-release/pacific-legal-foundation-applauds-californias-move-to-end-home-equity-theft-loophole/</t>
        </is>
      </c>
    </row>
    <row r="40" ht="79" customHeight="1">
      <c r="A40" s="13" t="inlineStr">
        <is>
          <t>California</t>
        </is>
      </c>
      <c r="B40" s="4" t="inlineStr">
        <is>
          <t>Analysis</t>
        </is>
      </c>
      <c r="C40" s="4" t="inlineStr">
        <is>
          <t>State group</t>
        </is>
      </c>
      <c r="D40" s="4" t="inlineStr">
        <is>
          <t>California Policy Center</t>
        </is>
      </c>
      <c r="E40" s="4" t="inlineStr">
        <is>
          <t>Edward Ring</t>
        </is>
      </c>
      <c r="F40" s="15" t="inlineStr">
        <is>
          <t>California’s Unstoppable Taxation Machine</t>
        </is>
      </c>
      <c r="G40" s="4" t="inlineStr">
        <is>
          <t>Oct. 24, 2024</t>
        </is>
      </c>
      <c r="H40" s="4" t="inlineStr">
        <is>
          <t>2024-10-24</t>
        </is>
      </c>
      <c r="I40" s="4" t="inlineStr">
        <is>
          <t>Argues Prop 13's two-thirds vote rules have been "slowly undermined" over the years and faults the state Supreme Court for removing the Taxpayer Protection and Government Accountability Act from the 2024 ballot. It also attacks two legislative counter-measures: Prop 5, cutting the vote for local housing and infrastructure bonds to 55%, and ACA 13, which would make initiatives that raise vote thresholds pass by the same supermajority (ACA 13 was later pulled from the 2026 ballot under the HJTA deal above).</t>
        </is>
      </c>
      <c r="J40" s="4" t="inlineStr">
        <is>
          <t>Free-market analyses column</t>
        </is>
      </c>
      <c r="K40" s="4" t="inlineStr">
        <is>
          <t>https://californiapolicycenter.org/californias-unstoppable-taxation-machine/</t>
        </is>
      </c>
    </row>
    <row r="41" ht="79" customHeight="1">
      <c r="A41" s="13" t="inlineStr">
        <is>
          <t>California</t>
        </is>
      </c>
      <c r="B41" s="4" t="inlineStr">
        <is>
          <t>Analysis</t>
        </is>
      </c>
      <c r="C41" s="4" t="inlineStr">
        <is>
          <t>National group</t>
        </is>
      </c>
      <c r="D41" s="4" t="inlineStr">
        <is>
          <t>Reason Foundation</t>
        </is>
      </c>
      <c r="E41" s="4" t="inlineStr">
        <is>
          <t>Adrian Moore</t>
        </is>
      </c>
      <c r="F41" s="15" t="inlineStr">
        <is>
          <t>California Proposition 5 would lower supermajority requirement to 55% for local bond measures to fund housing and public infrastructure amendment</t>
        </is>
      </c>
      <c r="G41" s="4" t="inlineStr">
        <is>
          <t>Sept. 24, 2024</t>
        </is>
      </c>
      <c r="H41" s="4" t="inlineStr">
        <is>
          <t>2024-09-24</t>
        </is>
      </c>
      <c r="I41" s="4" t="inlineStr">
        <is>
          <t>Explains that Prop 5 would carve an exception to the Prop 13 and Prop 218 two-thirds rule for local housing and infrastructure debt. Notes counties carried about $140 billion in liabilities ($3,860 per resident) and cities $193 billion ($6,337) as of 2023, with $29.8 billion more borrowed in early 2024, and concludes "it seems governments are not having trouble getting voter approval for new debt or finding lenders."</t>
        </is>
      </c>
      <c r="J41" s="4" t="inlineStr">
        <is>
          <t>Free-market analyses column</t>
        </is>
      </c>
      <c r="K41" s="4" t="inlineStr">
        <is>
          <t>https://reason.org/voters-guide/california-proposition-5-lower-supermajority-requirement-to-55-for-local-bond-measures-to-fund-housing-and-public-infrastructure-amendment/</t>
        </is>
      </c>
    </row>
    <row r="42" ht="34" customHeight="1">
      <c r="A42" s="13" t="inlineStr">
        <is>
          <t>California</t>
        </is>
      </c>
      <c r="B42" s="4" t="inlineStr">
        <is>
          <t>Analysis</t>
        </is>
      </c>
      <c r="C42" s="4" t="inlineStr">
        <is>
          <t>State group</t>
        </is>
      </c>
      <c r="D42" s="4" t="inlineStr">
        <is>
          <t>California Taxpayers Association (CalTax)</t>
        </is>
      </c>
      <c r="E42" s="4" t="n"/>
      <c r="F42" s="15" t="inlineStr">
        <is>
          <t>Proposition 13 Protects Property Owners From 7 Percent Tax Hike in 2023</t>
        </is>
      </c>
      <c r="G42" s="4" t="inlineStr">
        <is>
          <t>Jan. 6, 2023</t>
        </is>
      </c>
      <c r="H42" s="4" t="inlineStr">
        <is>
          <t>2023-01-06</t>
        </is>
      </c>
      <c r="I42" s="4" t="inlineStr">
        <is>
          <t>With California CPI up 7.27%, Prop 13 held the annual inflation factor on assessed values to 2%, keeping bills "stable and predictable."</t>
        </is>
      </c>
      <c r="J42" s="4" t="inlineStr">
        <is>
          <t>Free-market analyses column</t>
        </is>
      </c>
      <c r="K42" s="4" t="inlineStr">
        <is>
          <t>https://caltax.org/2023/01/06/proposition-13-protects-property-owners-from-7-percent-tax-hike-in-2023/</t>
        </is>
      </c>
    </row>
    <row r="43" ht="30" customHeight="1">
      <c r="A43" s="13" t="inlineStr">
        <is>
          <t>California</t>
        </is>
      </c>
      <c r="B43" s="4" t="inlineStr">
        <is>
          <t>Cited elsewhere in the matrix</t>
        </is>
      </c>
      <c r="C43" s="4" t="inlineStr">
        <is>
          <t>National group</t>
        </is>
      </c>
      <c r="D43" s="4" t="inlineStr">
        <is>
          <t>Tax Foundation</t>
        </is>
      </c>
      <c r="E43" s="4" t="n"/>
      <c r="F43" s="15" t="inlineStr">
        <is>
          <t>State Tax Ballot Measures to Watch in 2026</t>
        </is>
      </c>
      <c r="G43" s="4" t="inlineStr">
        <is>
          <t>Oct. 7, 2026</t>
        </is>
      </c>
      <c r="H43" s="4" t="inlineStr">
        <is>
          <t>2026-10-07</t>
        </is>
      </c>
      <c r="I43" s="4" t="n"/>
      <c r="J43" s="4" t="inlineStr">
        <is>
          <t>Source URLs</t>
        </is>
      </c>
      <c r="K43" s="4" t="inlineStr">
        <is>
          <t>https://taxfoundation.org/research/state-tax/2026-state-tax-ballot-measures/</t>
        </is>
      </c>
    </row>
    <row r="44" ht="49" customHeight="1">
      <c r="A44" s="13" t="inlineStr">
        <is>
          <t>California</t>
        </is>
      </c>
      <c r="B44" s="4" t="inlineStr">
        <is>
          <t>Cited elsewhere in the matrix</t>
        </is>
      </c>
      <c r="C44" s="4" t="inlineStr">
        <is>
          <t>State group</t>
        </is>
      </c>
      <c r="D44" s="4" t="inlineStr">
        <is>
          <t>Pacific Research Institute</t>
        </is>
      </c>
      <c r="E44" s="4" t="n"/>
      <c r="F44" s="15" t="inlineStr">
        <is>
          <t>California cities turn to tax hikes to deal with overspending</t>
        </is>
      </c>
      <c r="G44" s="4" t="inlineStr">
        <is>
          <t>July 21, 2026</t>
        </is>
      </c>
      <c r="H44" s="4" t="inlineStr">
        <is>
          <t>2026-07-21</t>
        </is>
      </c>
      <c r="I44" s="4" t="inlineStr">
        <is>
          <t>Los Angeles voters will also decide in November whether to raise the city's sales tax from 9.75% to 10.25% (Pacific Research Institute). Local tax measures: 125 local tax measures went on ballots in 2024 and 90 passed (Howard Jarvis Taxpayers Association, cited by the Pacific Research Institute).</t>
        </is>
      </c>
      <c r="J44" s="4" t="inlineStr">
        <is>
          <t>Source URLs and Loopholes &amp; has it worked?</t>
        </is>
      </c>
      <c r="K44" s="4" t="inlineStr">
        <is>
          <t>https://www.pacificresearch.org/california-cities-turn-to-tax-hikes-to-deal-with-overspending/</t>
        </is>
      </c>
    </row>
    <row r="45" ht="30" customHeight="1">
      <c r="A45" s="13" t="inlineStr">
        <is>
          <t>California</t>
        </is>
      </c>
      <c r="B45" s="4" t="inlineStr">
        <is>
          <t>Cited elsewhere in the matrix</t>
        </is>
      </c>
      <c r="C45" s="4" t="inlineStr">
        <is>
          <t>State group</t>
        </is>
      </c>
      <c r="D45" s="4" t="inlineStr">
        <is>
          <t>California Taxpayers Association (CalTax)</t>
        </is>
      </c>
      <c r="E45" s="4" t="n"/>
      <c r="F45" s="15" t="inlineStr">
        <is>
          <t>California Property Tax Revenue Increased $8.9 Billion in 2024, BOE Reports</t>
        </is>
      </c>
      <c r="G45" s="4" t="inlineStr">
        <is>
          <t>April 25, 2025</t>
        </is>
      </c>
      <c r="H45" s="4" t="inlineStr">
        <is>
          <t>2025-04-25</t>
        </is>
      </c>
      <c r="I45" s="4" t="n"/>
      <c r="J45" s="4" t="inlineStr">
        <is>
          <t>Source URLs</t>
        </is>
      </c>
      <c r="K45" s="4" t="inlineStr">
        <is>
          <t>https://caltax.org/2025/04/25/california-property-tax-revenue-increased-8-9-billion-in-2024-boe-reports/</t>
        </is>
      </c>
    </row>
    <row r="46" ht="30" customHeight="1">
      <c r="A46" s="13" t="inlineStr">
        <is>
          <t>California</t>
        </is>
      </c>
      <c r="B46" s="4" t="inlineStr">
        <is>
          <t>Cited elsewhere in the matrix</t>
        </is>
      </c>
      <c r="C46" s="4" t="inlineStr">
        <is>
          <t>National group</t>
        </is>
      </c>
      <c r="D46" s="4" t="inlineStr">
        <is>
          <t>Tax Foundation</t>
        </is>
      </c>
      <c r="E46" s="4" t="n"/>
      <c r="F46" s="15" t="inlineStr">
        <is>
          <t>Property Tax Limitation Regimes: A Primer</t>
        </is>
      </c>
      <c r="G46" s="4" t="inlineStr">
        <is>
          <t>April 23, 2018</t>
        </is>
      </c>
      <c r="H46" s="4" t="inlineStr">
        <is>
          <t>2018-04-23</t>
        </is>
      </c>
      <c r="I46" s="4" t="n"/>
      <c r="J46" s="4" t="inlineStr">
        <is>
          <t>Source URLs</t>
        </is>
      </c>
      <c r="K46" s="4" t="inlineStr">
        <is>
          <t>https://taxfoundation.org/research/all/state/property-tax-limitation-regimes-primer/</t>
        </is>
      </c>
    </row>
    <row r="47" ht="49" customHeight="1">
      <c r="A47" s="13" t="inlineStr">
        <is>
          <t>California</t>
        </is>
      </c>
      <c r="B47" s="4" t="inlineStr">
        <is>
          <t>Cited elsewhere in the matrix</t>
        </is>
      </c>
      <c r="C47" s="4" t="inlineStr">
        <is>
          <t>State group</t>
        </is>
      </c>
      <c r="D47" s="4" t="inlineStr">
        <is>
          <t>Howard Jarvis Taxpayers Association</t>
        </is>
      </c>
      <c r="E47" s="4" t="n"/>
      <c r="F47" s="15" t="inlineStr">
        <is>
          <t>New initiative to Save Proposition 13</t>
        </is>
      </c>
      <c r="G47" s="4" t="n"/>
      <c r="H47" s="4" t="n"/>
      <c r="I47" s="4" t="inlineStr">
        <is>
          <t>Local tax measures: 125 local tax measures went on ballots in 2024 and 90 passed (Howard Jarvis Taxpayers Association, cited by the Pacific Research Institute). May 2025: the Howard Jarvis Taxpayers Association filed the "Save Proposition 13 Act of 2026" to reverse the Upland ruling.</t>
        </is>
      </c>
      <c r="J47" s="4" t="inlineStr">
        <is>
          <t>Source URLs and Loopholes &amp; has it worked?, Recent reforms</t>
        </is>
      </c>
      <c r="K47" s="4" t="inlineStr">
        <is>
          <t>https://www.hjta.org/press-releases/new-initiative-to-save-proposition-13/</t>
        </is>
      </c>
    </row>
    <row r="48" ht="34" customHeight="1">
      <c r="A48" s="13" t="inlineStr">
        <is>
          <t>California</t>
        </is>
      </c>
      <c r="B48" s="4" t="inlineStr">
        <is>
          <t>Checked: no report since 2021</t>
        </is>
      </c>
      <c r="C48" s="4" t="inlineStr">
        <is>
          <t>State group</t>
        </is>
      </c>
      <c r="D48" s="4" t="inlineStr">
        <is>
          <t>Independent Institute</t>
        </is>
      </c>
      <c r="E48" s="4" t="n"/>
      <c r="F48" s="4" t="inlineStr">
        <is>
          <t>(no report found)</t>
        </is>
      </c>
      <c r="G48" s="4" t="n"/>
      <c r="H48" s="4" t="n"/>
      <c r="I48" s="4" t="inlineStr">
        <is>
          <t>Independent Institute (State Policy Network associate): no California property tax report since 2021 was found.</t>
        </is>
      </c>
      <c r="J48" s="4" t="inlineStr">
        <is>
          <t>Free-market analyses column</t>
        </is>
      </c>
      <c r="K48" s="4" t="n"/>
    </row>
    <row r="49" ht="64" customHeight="1">
      <c r="A49" s="13" t="inlineStr">
        <is>
          <t>Colorado</t>
        </is>
      </c>
      <c r="B49" s="4" t="inlineStr">
        <is>
          <t>Analysis</t>
        </is>
      </c>
      <c r="C49" s="4" t="inlineStr">
        <is>
          <t>State group</t>
        </is>
      </c>
      <c r="D49" s="4" t="inlineStr">
        <is>
          <t>Common Sense Institute Iowa</t>
        </is>
      </c>
      <c r="E49" s="4" t="n"/>
      <c r="F49" s="15" t="inlineStr">
        <is>
          <t>Iowa Leads the Nation in Property Tax Relief: Ranking State Reforms of the Past Decade</t>
        </is>
      </c>
      <c r="G49" s="4" t="inlineStr">
        <is>
          <t>Aug. 6, 2026</t>
        </is>
      </c>
      <c r="H49" s="4" t="inlineStr">
        <is>
          <t>2026-08-06</t>
        </is>
      </c>
      <c r="I49" s="4" t="inlineStr">
        <is>
          <t>Ranks SB24-233 third nationally by taxpayer savings (about 0.11% of personal income, $1,401 per household over its first six years) and places HB24B-1001 in the top ten. It adds that both 2024 bills only reduced the amount by which property taxes rose after the 2020 Gallagher repeal (Amendment B), which "removed the constitutional protections that limited the growth in property taxes for homeowners."</t>
        </is>
      </c>
      <c r="J49" s="4" t="inlineStr">
        <is>
          <t>Free-market analyses column</t>
        </is>
      </c>
      <c r="K49" s="4" t="inlineStr">
        <is>
          <t>https://archive.commonsenseinstituteus.org/iowa/research/taxes-and-fees/iowa-leads-the-nation-in-property-tax-relief-ranking-state-reforms-of-the-past-decade</t>
        </is>
      </c>
    </row>
    <row r="50" ht="34" customHeight="1">
      <c r="A50" s="13" t="inlineStr">
        <is>
          <t>Colorado</t>
        </is>
      </c>
      <c r="B50" s="4" t="inlineStr">
        <is>
          <t>Analysis</t>
        </is>
      </c>
      <c r="C50" s="4" t="inlineStr">
        <is>
          <t>State group</t>
        </is>
      </c>
      <c r="D50" s="4" t="inlineStr">
        <is>
          <t>Independence Institute</t>
        </is>
      </c>
      <c r="E50" s="4" t="inlineStr">
        <is>
          <t>Nash Herman</t>
        </is>
      </c>
      <c r="F50" s="15" t="inlineStr">
        <is>
          <t>Leviathan by Loophole: the Growth of Colorado's State Government After TABOR</t>
        </is>
      </c>
      <c r="G50" s="4" t="inlineStr">
        <is>
          <t>Jan. 20, 2026</t>
        </is>
      </c>
      <c r="H50" s="4" t="inlineStr">
        <is>
          <t>2026-01-20</t>
        </is>
      </c>
      <c r="I50" s="4" t="inlineStr">
        <is>
          <t>Finds that inflation- and population-adjusted state spending has outgrown TABOR's intent through TABOR-exempt funds such as fee-funded enterprises.</t>
        </is>
      </c>
      <c r="J50" s="4" t="inlineStr">
        <is>
          <t>Free-market analyses column</t>
        </is>
      </c>
      <c r="K50" s="4" t="inlineStr">
        <is>
          <t>https://i2i.org/leviathan-by-loophole-the-growth-of-colorados-state-government-after-tabor/</t>
        </is>
      </c>
    </row>
    <row r="51" ht="94" customHeight="1">
      <c r="A51" s="13" t="inlineStr">
        <is>
          <t>Colorado</t>
        </is>
      </c>
      <c r="B51" s="4" t="inlineStr">
        <is>
          <t>Analysis</t>
        </is>
      </c>
      <c r="C51" s="4" t="inlineStr">
        <is>
          <t>State group</t>
        </is>
      </c>
      <c r="D51" s="4" t="inlineStr">
        <is>
          <t>Independence Institute</t>
        </is>
      </c>
      <c r="E51" s="4" t="inlineStr">
        <is>
          <t>Joshua Sharf</t>
        </is>
      </c>
      <c r="F51" s="15" t="inlineStr">
        <is>
          <t>Review of Colorado's Property Taxes and Model Policy</t>
        </is>
      </c>
      <c r="G51" s="4" t="inlineStr">
        <is>
          <t>Sept. 4, 2024</t>
        </is>
      </c>
      <c r="H51" s="4" t="inlineStr">
        <is>
          <t>2024-09-04</t>
        </is>
      </c>
      <c r="I51" s="4" t="inlineStr">
        <is>
          <t>Issue Paper 3-2024 traces Gallagher, TABOR and the 2020-2024 fights and calls the statewide assessment rate "a blunt instrument for limiting property taxes" that distorts how properties are taxed. Its model caps county and city property tax revenue at last year's revenue plus inflation (that year's new construction excluded) and school district revenue at inflation plus enrollment change; voters could waive the cap, but each local board would have to pass a separate measure every year to keep the extra revenue, on the Utah Truth in Taxation model, which offers transparency and accountability.</t>
        </is>
      </c>
      <c r="J51" s="4" t="inlineStr">
        <is>
          <t>Free-market analyses column</t>
        </is>
      </c>
      <c r="K51" s="4" t="inlineStr">
        <is>
          <t>https://i2i.org/wp-content/uploads/IP_3_2024_b.pdf</t>
        </is>
      </c>
    </row>
    <row r="52" ht="64" customHeight="1">
      <c r="A52" s="13" t="inlineStr">
        <is>
          <t>Colorado</t>
        </is>
      </c>
      <c r="B52" s="4" t="inlineStr">
        <is>
          <t>Analysis</t>
        </is>
      </c>
      <c r="C52" s="4" t="inlineStr">
        <is>
          <t>State group</t>
        </is>
      </c>
      <c r="D52" s="4" t="inlineStr">
        <is>
          <t>Advance Colorado (taxpayer group, with Colorado Concern)</t>
        </is>
      </c>
      <c r="E52" s="4" t="n"/>
      <c r="F52" s="15" t="inlineStr">
        <is>
          <t>Initiatives 50 and 108 and their withdrawal</t>
        </is>
      </c>
      <c r="G52" s="4" t="inlineStr">
        <is>
          <t>Sept. 4, 2024</t>
        </is>
      </c>
      <c r="H52" s="4" t="inlineStr">
        <is>
          <t>2024-09-04</t>
        </is>
      </c>
      <c r="I52" s="4" t="inlineStr">
        <is>
          <t>Initiative 50 would have written a 4% annual cap on property tax revenue growth into the constitution; Initiative 108 would have cut residential assessment rates to 5.7% and nonresidential rates to 24%, with a state backfill estimated at $3 billion. The group withdrew both after the special session passed HB24B-1001; Michael Fields said, "Today, Colorado taxpayers are the winners."</t>
        </is>
      </c>
      <c r="J52" s="4" t="inlineStr">
        <is>
          <t>Free-market analyses column</t>
        </is>
      </c>
      <c r="K52" s="4" t="inlineStr">
        <is>
          <t>https://www.denvergazette.com/2024/09/04/colorado-property-tax-ballot-initiatives-withdrawn-as-part-of-deal-with-governor-lawmakers/</t>
        </is>
      </c>
    </row>
    <row r="53" ht="64" customHeight="1">
      <c r="A53" s="13" t="inlineStr">
        <is>
          <t>Colorado</t>
        </is>
      </c>
      <c r="B53" s="4" t="inlineStr">
        <is>
          <t>Analysis</t>
        </is>
      </c>
      <c r="C53" s="4" t="inlineStr">
        <is>
          <t>State group</t>
        </is>
      </c>
      <c r="D53" s="4" t="inlineStr">
        <is>
          <t>Common Sense Institute</t>
        </is>
      </c>
      <c r="E53" s="4" t="n"/>
      <c r="F53" s="15" t="inlineStr">
        <is>
          <t>Reining in Property Taxes: The Voters’ Choice at the 2024 November Ballot</t>
        </is>
      </c>
      <c r="G53" s="4" t="inlineStr">
        <is>
          <t>Aug. 13, 2024</t>
        </is>
      </c>
      <c r="H53" s="4" t="inlineStr">
        <is>
          <t>2024-08-13</t>
        </is>
      </c>
      <c r="I53" s="4" t="inlineStr">
        <is>
          <t>Full report finding that property taxes "have grown at twice the rate of population plus inflation over the past three decades" and that the statewide property tax burden rose $2.4 billion (19%) in 2023, four times faster than population plus inflation. It models Initiative 108 (average homeowner savings over $510 from 2024 to 2026) and Initiative 50 (4% statewide revenue cap) against SB24-233.</t>
        </is>
      </c>
      <c r="J53" s="4" t="inlineStr">
        <is>
          <t>Free-market analyses column</t>
        </is>
      </c>
      <c r="K53" s="4" t="inlineStr">
        <is>
          <t>https://commonsenseinstituteus.org/colorado/research/taxes-and-fees/reining-in-property-taxes-the-voters-choice-at-the-2024-november-ballot/</t>
        </is>
      </c>
    </row>
    <row r="54" ht="49" customHeight="1">
      <c r="A54" s="13" t="inlineStr">
        <is>
          <t>Colorado</t>
        </is>
      </c>
      <c r="B54" s="4" t="inlineStr">
        <is>
          <t>Analysis</t>
        </is>
      </c>
      <c r="C54" s="4" t="inlineStr">
        <is>
          <t>State group</t>
        </is>
      </c>
      <c r="D54" s="4" t="inlineStr">
        <is>
          <t>Common Sense Institute</t>
        </is>
      </c>
      <c r="E54" s="4" t="n"/>
      <c r="F54" s="15" t="inlineStr">
        <is>
          <t>Does SB24-233 Provide Taxpayer Relief and Predictability?</t>
        </is>
      </c>
      <c r="G54" s="4" t="inlineStr">
        <is>
          <t>May 8, 2024</t>
        </is>
      </c>
      <c r="H54" s="4" t="inlineStr">
        <is>
          <t>2024-05-08</t>
        </is>
      </c>
      <c r="I54" s="4" t="inlineStr">
        <is>
          <t>Finds no relief: the 2024 law locks in the 27% jump in residential values from 2023, and a $400,000 home's bill rises 11% ($318) by 2026 even if its value is flat; the 5.5% cap would not prevent a repeat if values spike again, and it carves out school districts, over 50% of the tax base.</t>
        </is>
      </c>
      <c r="J54" s="4" t="inlineStr">
        <is>
          <t>Free-market analyses column</t>
        </is>
      </c>
      <c r="K54" s="4" t="inlineStr">
        <is>
          <t>https://commonsenseinstituteus.org/colorado/research/taxes-and-fees/does-sb24-233-provide-taxpayer-relief-and-predictability/</t>
        </is>
      </c>
    </row>
    <row r="55" ht="30" customHeight="1">
      <c r="A55" s="13" t="inlineStr">
        <is>
          <t>Colorado</t>
        </is>
      </c>
      <c r="B55" s="4" t="inlineStr">
        <is>
          <t>Cited elsewhere in the matrix</t>
        </is>
      </c>
      <c r="C55" s="4" t="inlineStr">
        <is>
          <t>National group</t>
        </is>
      </c>
      <c r="D55" s="4" t="inlineStr">
        <is>
          <t>Tax Foundation</t>
        </is>
      </c>
      <c r="E55" s="4" t="n"/>
      <c r="F55" s="15" t="inlineStr">
        <is>
          <t>State Tax Ballot Measures to Watch in 2026</t>
        </is>
      </c>
      <c r="G55" s="4" t="inlineStr">
        <is>
          <t>Oct. 7, 2026</t>
        </is>
      </c>
      <c r="H55" s="4" t="inlineStr">
        <is>
          <t>2026-10-07</t>
        </is>
      </c>
      <c r="I55" s="4" t="n"/>
      <c r="J55" s="4" t="inlineStr">
        <is>
          <t>Source URLs</t>
        </is>
      </c>
      <c r="K55" s="4" t="inlineStr">
        <is>
          <t>https://taxfoundation.org/research/state-tax/2026-state-tax-ballot-measures/</t>
        </is>
      </c>
    </row>
    <row r="56" ht="30" customHeight="1">
      <c r="A56" s="13" t="inlineStr">
        <is>
          <t>Colorado</t>
        </is>
      </c>
      <c r="B56" s="4" t="inlineStr">
        <is>
          <t>Checked: no report since 2021</t>
        </is>
      </c>
      <c r="C56" s="4" t="inlineStr">
        <is>
          <t>State group</t>
        </is>
      </c>
      <c r="D56" s="4" t="inlineStr">
        <is>
          <t>Centennial Institute</t>
        </is>
      </c>
      <c r="E56" s="4" t="n"/>
      <c r="F56" s="4" t="inlineStr">
        <is>
          <t>(no report found)</t>
        </is>
      </c>
      <c r="G56" s="4" t="n"/>
      <c r="H56" s="4" t="n"/>
      <c r="I56" s="4" t="inlineStr">
        <is>
          <t>Centennial Institute (State Policy Network associate): no property tax report since 2021 was found.</t>
        </is>
      </c>
      <c r="J56" s="4" t="inlineStr">
        <is>
          <t>Free-market analyses column</t>
        </is>
      </c>
      <c r="K56" s="4" t="n"/>
    </row>
    <row r="57" ht="34" customHeight="1">
      <c r="A57" s="13" t="inlineStr">
        <is>
          <t>Colorado</t>
        </is>
      </c>
      <c r="B57" s="4" t="inlineStr">
        <is>
          <t>Checked: no report since 2021</t>
        </is>
      </c>
      <c r="C57" s="4" t="inlineStr">
        <is>
          <t>State group</t>
        </is>
      </c>
      <c r="D57" s="4" t="inlineStr">
        <is>
          <t>Steamboat Institute</t>
        </is>
      </c>
      <c r="E57" s="4" t="n"/>
      <c r="F57" s="15" t="inlineStr">
        <is>
          <t>(no report found)</t>
        </is>
      </c>
      <c r="G57" s="4" t="n"/>
      <c r="H57" s="4" t="n"/>
      <c r="I57" s="4" t="inlineStr">
        <is>
          <t>Steamboat Institute (State Policy Network associate): no property tax report since 2021 was found; it has joined a coalition to protect TABOR.</t>
        </is>
      </c>
      <c r="J57" s="4" t="inlineStr">
        <is>
          <t>Free-market analyses column</t>
        </is>
      </c>
      <c r="K57" s="4" t="inlineStr">
        <is>
          <t>https://steamboatinstitute.org/update/steamboat-institute-joins-coalition-to-protect-colorados-tabor</t>
        </is>
      </c>
    </row>
    <row r="58" ht="94" customHeight="1">
      <c r="A58" s="13" t="inlineStr">
        <is>
          <t>Connecticut</t>
        </is>
      </c>
      <c r="B58" s="4" t="inlineStr">
        <is>
          <t>Analysis</t>
        </is>
      </c>
      <c r="C58" s="4" t="inlineStr">
        <is>
          <t>State group</t>
        </is>
      </c>
      <c r="D58" s="4" t="inlineStr">
        <is>
          <t>Yankee Institute</t>
        </is>
      </c>
      <c r="E58" s="4" t="inlineStr">
        <is>
          <t>Meghan Portfolio</t>
        </is>
      </c>
      <c r="F58" s="15" t="inlineStr">
        <is>
          <t>When Connecticut Mandates, Towns Pay</t>
        </is>
      </c>
      <c r="G58" s="4" t="inlineStr">
        <is>
          <t>Aug. 21, 2026</t>
        </is>
      </c>
      <c r="H58" s="4" t="inlineStr">
        <is>
          <t>2026-08-21</t>
        </is>
      </c>
      <c r="I58" s="4" t="inlineStr">
        <is>
          <t>A review of the state's 2020-2025 mandate reports found at least 104 public and special act entries that leave towns or school districts with some of the cost of compliance; 58 had no dollar cost assigned by the Office of Fiscal Analysis, and 28 involved schools. Backs Rep. Mitch Bolinsky's bill, filed in 2023 and 2025 without a hearing, to require a two-thirds vote in both chambers to create or expand an unfunded mandate, and notes that Maine requires the state to cover 90 percent of the added local cost of a mandate.</t>
        </is>
      </c>
      <c r="J58" s="4" t="inlineStr">
        <is>
          <t>Free-market analyses column</t>
        </is>
      </c>
      <c r="K58" s="4" t="inlineStr">
        <is>
          <t>https://www.yankeeinstitute.org/2026/08/21/when-connecticut-mandates-towns-pay/</t>
        </is>
      </c>
    </row>
    <row r="59" ht="64" customHeight="1">
      <c r="A59" s="13" t="inlineStr">
        <is>
          <t>Connecticut</t>
        </is>
      </c>
      <c r="B59" s="4" t="inlineStr">
        <is>
          <t>Analysis</t>
        </is>
      </c>
      <c r="C59" s="4" t="inlineStr">
        <is>
          <t>State group</t>
        </is>
      </c>
      <c r="D59" s="4" t="inlineStr">
        <is>
          <t>Yankee Institute</t>
        </is>
      </c>
      <c r="E59" s="4" t="inlineStr">
        <is>
          <t>Meghan Portfolio</t>
        </is>
      </c>
      <c r="F59" s="15" t="inlineStr">
        <is>
          <t>A Task Force, Numerous Bills and a Car Tax That Refuses to Die</t>
        </is>
      </c>
      <c r="G59" s="4" t="inlineStr">
        <is>
          <t>July 24, 2026</t>
        </is>
      </c>
      <c r="H59" s="4" t="inlineStr">
        <is>
          <t>2026-07-24</t>
        </is>
      </c>
      <c r="I59" s="4" t="inlineStr">
        <is>
          <t>Towns collect about $1 billion a year in motor vehicle property tax, and repeated bills to phase it out with state reimbursement have gone nowhere. The task force co-chaired by Sen. MD Rahman (D-Manchester) recommended letting towns drop the tax and tax a larger share of the value of homes and businesses, which Yankee calls "a tax shift."</t>
        </is>
      </c>
      <c r="J59" s="4" t="inlineStr">
        <is>
          <t>Free-market analyses column</t>
        </is>
      </c>
      <c r="K59" s="4" t="inlineStr">
        <is>
          <t>https://www.yankeeinstitute.org/2026/07/24/a-task-force-numerous-bills-and-a-car-tax-that-refuses-to-die/</t>
        </is>
      </c>
    </row>
    <row r="60" ht="79" customHeight="1">
      <c r="A60" s="13" t="inlineStr">
        <is>
          <t>Connecticut</t>
        </is>
      </c>
      <c r="B60" s="4" t="inlineStr">
        <is>
          <t>Analysis</t>
        </is>
      </c>
      <c r="C60" s="4" t="inlineStr">
        <is>
          <t>State group</t>
        </is>
      </c>
      <c r="D60" s="4" t="inlineStr">
        <is>
          <t>Yankee Institute</t>
        </is>
      </c>
      <c r="E60" s="4" t="inlineStr">
        <is>
          <t>Meghan Portfolio</t>
        </is>
      </c>
      <c r="F60" s="15" t="inlineStr">
        <is>
          <t>Connecticut’s “Relief” for Towns Needs Safeguards — Or It Risks Becoming the Next Tax Increase</t>
        </is>
      </c>
      <c r="G60" s="4" t="inlineStr">
        <is>
          <t>April 29, 2026</t>
        </is>
      </c>
      <c r="H60" s="4" t="inlineStr">
        <is>
          <t>2026-04-29</t>
        </is>
      </c>
      <c r="I60" s="4" t="inlineStr">
        <is>
          <t>The proposed $270 million in new municipal aid carries no requirement to cut or stabilize taxes, and one-time money tends to become permanent spending. It asks that the funds be limited to closing deficits and preventing mill rate increases, with towns disclosing what their tax rate would have been without the aid. Towns that do not need the money should pass it to taxpayers through lower tax rates or other local relief.</t>
        </is>
      </c>
      <c r="J60" s="4" t="inlineStr">
        <is>
          <t>Free-market analyses column</t>
        </is>
      </c>
      <c r="K60" s="4" t="inlineStr">
        <is>
          <t>https://www.yankeeinstitute.org/2026/04/29/connecticuts-relief-for-towns-needs-safeguards-or-it-risks-becoming-the-next-tax-increase/</t>
        </is>
      </c>
    </row>
    <row r="61" ht="49" customHeight="1">
      <c r="A61" s="13" t="inlineStr">
        <is>
          <t>Connecticut</t>
        </is>
      </c>
      <c r="B61" s="4" t="inlineStr">
        <is>
          <t>Analysis</t>
        </is>
      </c>
      <c r="C61" s="4" t="inlineStr">
        <is>
          <t>State group</t>
        </is>
      </c>
      <c r="D61" s="4" t="inlineStr">
        <is>
          <t>Yankee Institute</t>
        </is>
      </c>
      <c r="E61" s="4" t="inlineStr">
        <is>
          <t>Meghan Portfolio</t>
        </is>
      </c>
      <c r="F61" s="15" t="inlineStr">
        <is>
          <t>Connecticut Does it Again: Still Top Three in Property Taxes</t>
        </is>
      </c>
      <c r="G61" s="4" t="inlineStr">
        <is>
          <t>March 19, 2026</t>
        </is>
      </c>
      <c r="H61" s="4" t="inlineStr">
        <is>
          <t>2026-03-19</t>
        </is>
      </c>
      <c r="I61" s="4" t="inlineStr">
        <is>
          <t>Uses the Tax Foundation's Census-based ranking: Connecticut has the third-highest effective property tax rate (about 1.54 percent, against New York's 1.30 percent) for the third year running, after ranking fifth a few years earlier, trailing only New Jersey and Illinois.</t>
        </is>
      </c>
      <c r="J61" s="4" t="inlineStr">
        <is>
          <t>Free-market analyses column</t>
        </is>
      </c>
      <c r="K61" s="4" t="inlineStr">
        <is>
          <t>https://www.yankeeinstitute.org/2026/03/19/connecticut-does-it-again-still-top-three-in-property-taxes/</t>
        </is>
      </c>
    </row>
    <row r="62" ht="34" customHeight="1">
      <c r="A62" s="13" t="inlineStr">
        <is>
          <t>Connecticut</t>
        </is>
      </c>
      <c r="B62" s="4" t="inlineStr">
        <is>
          <t>Analysis</t>
        </is>
      </c>
      <c r="C62" s="4" t="inlineStr">
        <is>
          <t>State group</t>
        </is>
      </c>
      <c r="D62" s="4" t="inlineStr">
        <is>
          <t>Yankee Institute</t>
        </is>
      </c>
      <c r="E62" s="4" t="inlineStr">
        <is>
          <t>Meghan Portfolio</t>
        </is>
      </c>
      <c r="F62" s="15" t="inlineStr">
        <is>
          <t>Progressives Push Trio of ‘Tax-the-Rich’ Bills — Including New State Property Tax</t>
        </is>
      </c>
      <c r="G62" s="4" t="inlineStr">
        <is>
          <t>Feb. 26, 2026</t>
        </is>
      </c>
      <c r="H62" s="4" t="inlineStr">
        <is>
          <t>2026-02-26</t>
        </is>
      </c>
      <c r="I62" s="4" t="inlineStr">
        <is>
          <t>Criticizes Senate Bill 101, the first state-level property tax Connecticut would impose, at 2 to 4 mills on homes assessed above $3 million, heard alongside income tax and capital gains surcharges.</t>
        </is>
      </c>
      <c r="J62" s="4" t="inlineStr">
        <is>
          <t>Free-market analyses column</t>
        </is>
      </c>
      <c r="K62" s="4" t="inlineStr">
        <is>
          <t>https://www.yankeeinstitute.org/2026/02/26/progressives-push-trio-of-tax-the-richm-bills-including-new-state-property-tax/</t>
        </is>
      </c>
    </row>
    <row r="63" ht="49" customHeight="1">
      <c r="A63" s="13" t="inlineStr">
        <is>
          <t>Connecticut</t>
        </is>
      </c>
      <c r="B63" s="4" t="inlineStr">
        <is>
          <t>Analysis</t>
        </is>
      </c>
      <c r="C63" s="4" t="inlineStr">
        <is>
          <t>Legislators &amp; officials</t>
        </is>
      </c>
      <c r="D63" s="4" t="inlineStr">
        <is>
          <t>Connecticut Senate Republicans (reported by the Connecticut Business and Industry Association)</t>
        </is>
      </c>
      <c r="E63" s="4" t="n"/>
      <c r="F63" s="15" t="inlineStr">
        <is>
          <t>Senate GOP Releases $1.5B Tax, Energy Relief Plan</t>
        </is>
      </c>
      <c r="G63" s="4" t="inlineStr">
        <is>
          <t>Feb. 12, 2026</t>
        </is>
      </c>
      <c r="H63" s="4" t="inlineStr">
        <is>
          <t>2026-02-12</t>
        </is>
      </c>
      <c r="I63" s="4" t="inlineStr">
        <is>
          <t>Would cut income tax rates and give individuals earning under $100,000 and couples under $200,000 a fully refundable state income tax credit for motor vehicle taxes paid to towns (estimated under $600 million a year), keeping the $300 property tax credit.</t>
        </is>
      </c>
      <c r="J63" s="4" t="inlineStr">
        <is>
          <t>Free-market analyses column</t>
        </is>
      </c>
      <c r="K63" s="4" t="inlineStr">
        <is>
          <t>https://www.cbia.com/?p=174685</t>
        </is>
      </c>
    </row>
    <row r="64" ht="79" customHeight="1">
      <c r="A64" s="13" t="inlineStr">
        <is>
          <t>Connecticut</t>
        </is>
      </c>
      <c r="B64" s="4" t="inlineStr">
        <is>
          <t>Analysis</t>
        </is>
      </c>
      <c r="C64" s="4" t="inlineStr">
        <is>
          <t>National group</t>
        </is>
      </c>
      <c r="D64" s="4" t="inlineStr">
        <is>
          <t>Reason Foundation</t>
        </is>
      </c>
      <c r="E64" s="4" t="inlineStr">
        <is>
          <t>Mariana Trujillo and Bryce Chinault</t>
        </is>
      </c>
      <c r="F64" s="15" t="inlineStr">
        <is>
          <t>Connecticut’s fiscal guardrails are a solution, not the problem</t>
        </is>
      </c>
      <c r="G64" s="4" t="inlineStr">
        <is>
          <t>Dec. 10, 2024</t>
        </is>
      </c>
      <c r="H64" s="4" t="inlineStr">
        <is>
          <t>2024-12-10</t>
        </is>
      </c>
      <c r="I64" s="4" t="inlineStr">
        <is>
          <t>Answers the Connecticut Conference of Municipalities, which blamed rising property taxes on the 2017 guardrails that cap state spending growth and send surpluses to pension debt. Pension costs rose from 6.5% of payroll in 1995 to 39% in 2024, two-thirds of it for past debt, and $7.7 billion in extra contributions from FY2020 to FY2023 freed about $738 million a year in the state budget; it tells towns that want more education aid or tax relief to back the guardrails.</t>
        </is>
      </c>
      <c r="J64" s="4" t="inlineStr">
        <is>
          <t>Free-market analyses column</t>
        </is>
      </c>
      <c r="K64" s="4" t="inlineStr">
        <is>
          <t>https://reason.org/commentary/connecticuts-fiscal-guardrails-are-a-solution-not-the-problem/</t>
        </is>
      </c>
    </row>
    <row r="65" ht="64" customHeight="1">
      <c r="A65" s="13" t="inlineStr">
        <is>
          <t>Delaware</t>
        </is>
      </c>
      <c r="B65" s="4" t="inlineStr">
        <is>
          <t>Analysis</t>
        </is>
      </c>
      <c r="C65" s="4" t="inlineStr">
        <is>
          <t>Legislators &amp; officials</t>
        </is>
      </c>
      <c r="D65" s="4" t="inlineStr">
        <is>
          <t>Delaware House Republicans</t>
        </is>
      </c>
      <c r="E65" s="4" t="n"/>
      <c r="F65" s="15" t="inlineStr">
        <is>
          <t>Contentious Two-Tier Tax Bill Becomes Law Without the Governor's Signature</t>
        </is>
      </c>
      <c r="G65" s="4" t="inlineStr">
        <is>
          <t>Aug. 7, 2026</t>
        </is>
      </c>
      <c r="H65" s="4" t="inlineStr">
        <is>
          <t>2026-08-07</t>
        </is>
      </c>
      <c r="I65" s="4" t="inlineStr">
        <is>
          <t>Reports that HB 462 lets New Castle County school districts tax non-residential property at 1.85 times the residential rate, extending a temporary fix for reassessment bills that rose faster for homes than for commercial property. Gov. Matt Meyer let it become law while objecting that apartments, assessed as commercial, push the higher rate onto renters.</t>
        </is>
      </c>
      <c r="J65" s="4" t="inlineStr">
        <is>
          <t>Free-market analyses column</t>
        </is>
      </c>
      <c r="K65" s="4" t="inlineStr">
        <is>
          <t>https://housegop.delaware.gov/2026/08/07/delaware-two-tier-school-tax-bill/</t>
        </is>
      </c>
    </row>
    <row r="66" ht="79" customHeight="1">
      <c r="A66" s="13" t="inlineStr">
        <is>
          <t>Delaware</t>
        </is>
      </c>
      <c r="B66" s="4" t="inlineStr">
        <is>
          <t>Analysis</t>
        </is>
      </c>
      <c r="C66" s="4" t="inlineStr">
        <is>
          <t>State group</t>
        </is>
      </c>
      <c r="D66" s="4" t="inlineStr">
        <is>
          <t>Caesar Rodney Institute</t>
        </is>
      </c>
      <c r="E66" s="4" t="n"/>
      <c r="F66" s="15" t="inlineStr">
        <is>
          <t>SB 322: Delaware Should Not Put School Property Taxes on Autopilot</t>
        </is>
      </c>
      <c r="G66" s="4" t="inlineStr">
        <is>
          <t>June 12, 2026</t>
        </is>
      </c>
      <c r="H66" s="4" t="inlineStr">
        <is>
          <t>2026-06-12</t>
        </is>
      </c>
      <c r="I66" s="4" t="inlineStr">
        <is>
          <t>Opposes SB 322, which swaps the 10% post-reassessment cap for a formula and lets districts raise school taxes up to 2% a year without a referendum when operating reserves stay under 10% of revenue; a 2% annual rise compounds to 21.9% over 10 years, lifting a $3,023 school bill on a $378,000 Christina home to about $3,685. Notes district enrollment grew 0.38% from 2015 to 2025 and asks for State Auditor efficiency audits and outcome reporting before any automatic taxing authority.</t>
        </is>
      </c>
      <c r="J66" s="4" t="inlineStr">
        <is>
          <t>Free-market analyses column</t>
        </is>
      </c>
      <c r="K66" s="4" t="inlineStr">
        <is>
          <t>https://www.caesarrodney.org/post/sb-322-delaware-should-not-put-school-property-taxes-on-autopilot</t>
        </is>
      </c>
    </row>
    <row r="67" ht="49" customHeight="1">
      <c r="A67" s="13" t="inlineStr">
        <is>
          <t>Delaware</t>
        </is>
      </c>
      <c r="B67" s="4" t="inlineStr">
        <is>
          <t>Analysis</t>
        </is>
      </c>
      <c r="C67" s="4" t="inlineStr">
        <is>
          <t>Legislators &amp; officials</t>
        </is>
      </c>
      <c r="D67" s="4" t="inlineStr">
        <is>
          <t>Delaware House Republicans</t>
        </is>
      </c>
      <c r="E67" s="4" t="n"/>
      <c r="F67" s="15" t="inlineStr">
        <is>
          <t>The Road to Equity: Delaware's Property Reassessment Crisis</t>
        </is>
      </c>
      <c r="G67" s="4" t="inlineStr">
        <is>
          <t>Feb. 27, 2026</t>
        </is>
      </c>
      <c r="H67" s="4" t="inlineStr">
        <is>
          <t>2026-02-27</t>
        </is>
      </c>
      <c r="I67" s="4" t="inlineStr">
        <is>
          <t>Notes the local property tax share supplies about 29% of school revenue (state about 53%) and 81% of a New Castle County property tax bill. Argues the court-ordered reassessment left school funding inequities in place, with taxes still rising in lower-income districts.</t>
        </is>
      </c>
      <c r="J67" s="4" t="inlineStr">
        <is>
          <t>Free-market analyses column</t>
        </is>
      </c>
      <c r="K67" s="4" t="inlineStr">
        <is>
          <t>https://housegop.delaware.gov/2026/02/27/delaware-property-reassessment-equity/</t>
        </is>
      </c>
    </row>
    <row r="68" ht="64" customHeight="1">
      <c r="A68" s="13" t="inlineStr">
        <is>
          <t>Delaware</t>
        </is>
      </c>
      <c r="B68" s="4" t="inlineStr">
        <is>
          <t>Analysis</t>
        </is>
      </c>
      <c r="C68" s="4" t="inlineStr">
        <is>
          <t>Legislators &amp; officials</t>
        </is>
      </c>
      <c r="D68" s="4" t="inlineStr">
        <is>
          <t>Delaware House Republicans</t>
        </is>
      </c>
      <c r="E68" s="4" t="n"/>
      <c r="F68" s="15" t="inlineStr">
        <is>
          <t>Legislative Probe into Property Reassessment Process Begins</t>
        </is>
      </c>
      <c r="G68" s="4" t="inlineStr">
        <is>
          <t>Oct. 4, 2025</t>
        </is>
      </c>
      <c r="H68" s="4" t="inlineStr">
        <is>
          <t>2025-10-04</t>
        </is>
      </c>
      <c r="I68" s="4" t="inlineStr">
        <is>
          <t>Covers the first special committee hearing, where County Executive Marcus Henry said then-County Executive Matt Meyer held tentative value notices until after the November 2024 election, and Tyler Technologies reported inconsistencies in 55% of 11,500 informal appeals. Rep. Kevin Hensley also faulted the vendor for valuing preserved farmland the same as farmland with development rights.</t>
        </is>
      </c>
      <c r="J68" s="4" t="inlineStr">
        <is>
          <t>Free-market analyses column</t>
        </is>
      </c>
      <c r="K68" s="4" t="inlineStr">
        <is>
          <t>https://housegop.delaware.gov/2025/10/04/legislative-property-reassessment-investigation/</t>
        </is>
      </c>
    </row>
    <row r="69" ht="79" customHeight="1">
      <c r="A69" s="13" t="inlineStr">
        <is>
          <t>Delaware</t>
        </is>
      </c>
      <c r="B69" s="4" t="inlineStr">
        <is>
          <t>Analysis</t>
        </is>
      </c>
      <c r="C69" s="4" t="inlineStr">
        <is>
          <t>State group</t>
        </is>
      </c>
      <c r="D69" s="4" t="inlineStr">
        <is>
          <t>Caesar Rodney Institute</t>
        </is>
      </c>
      <c r="E69" s="4" t="inlineStr">
        <is>
          <t>Charlie Copeland</t>
        </is>
      </c>
      <c r="F69" s="15" t="inlineStr">
        <is>
          <t>Delaware Policy Choices Caused the Property Tax Problem</t>
        </is>
      </c>
      <c r="G69" s="4" t="inlineStr">
        <is>
          <t>Sept. 24, 2025</t>
        </is>
      </c>
      <c r="H69" s="4" t="inlineStr">
        <is>
          <t>2025-09-24</t>
        </is>
      </c>
      <c r="I69" s="4" t="inlineStr">
        <is>
          <t>Argues New Castle County's reassessment, its first since the early 1980s, shifted roughly 10 percentage points of the tax base from commercial to residential property because the county economy stagnated, with real GDP growth of 0.34% a year from 2001 to 2023 against 2.03% nationally, a decline it ties partly to the 1997 Unified Development Code. Calls for regular reassessments and permitting reform beyond "Ready in 6."</t>
        </is>
      </c>
      <c r="J69" s="4" t="inlineStr">
        <is>
          <t>Free-market analyses column</t>
        </is>
      </c>
      <c r="K69" s="4" t="inlineStr">
        <is>
          <t>https://www.caesarrodney.org/post/delaware-policy-choices-caused-the-property-tax-problem</t>
        </is>
      </c>
    </row>
    <row r="70" ht="64" customHeight="1">
      <c r="A70" s="13" t="inlineStr">
        <is>
          <t>Delaware</t>
        </is>
      </c>
      <c r="B70" s="4" t="inlineStr">
        <is>
          <t>Analysis</t>
        </is>
      </c>
      <c r="C70" s="4" t="inlineStr">
        <is>
          <t>Legislators &amp; officials</t>
        </is>
      </c>
      <c r="D70" s="4" t="inlineStr">
        <is>
          <t>Delaware House Republicans</t>
        </is>
      </c>
      <c r="E70" s="4" t="inlineStr">
        <is>
          <t>Joseph Fulgham</t>
        </is>
      </c>
      <c r="F70" s="15" t="inlineStr">
        <is>
          <t>Legislative Democrats to Continue Self-Serving Work to Clean Up NCCo's Reassessment Snafu</t>
        </is>
      </c>
      <c r="G70" s="4" t="inlineStr">
        <is>
          <t>Aug. 29, 2025</t>
        </is>
      </c>
      <c r="H70" s="4" t="inlineStr">
        <is>
          <t>2025-08-29</t>
        </is>
      </c>
      <c r="I70" s="4" t="inlineStr">
        <is>
          <t>Says New Castle County residential values rose more than fivefold since 1983 while commercial values lagged, shifting the burden to homeowners. Faults Democrats for rushing special-session bills while ignoring Republican bills to double the senior property tax credit (HB 73) and to limit reassessment school tax hikes (HB 245 and HB 246).</t>
        </is>
      </c>
      <c r="J70" s="4" t="inlineStr">
        <is>
          <t>Free-market analyses column</t>
        </is>
      </c>
      <c r="K70" s="4" t="inlineStr">
        <is>
          <t>https://housegop.delaware.gov/2025/08/29/ncco-reassessment-political-fix/</t>
        </is>
      </c>
    </row>
    <row r="71" ht="64" customHeight="1">
      <c r="A71" s="13" t="inlineStr">
        <is>
          <t>Delaware</t>
        </is>
      </c>
      <c r="B71" s="4" t="inlineStr">
        <is>
          <t>Analysis</t>
        </is>
      </c>
      <c r="C71" s="4" t="inlineStr">
        <is>
          <t>Legislators &amp; officials</t>
        </is>
      </c>
      <c r="D71" s="4" t="inlineStr">
        <is>
          <t>Delaware House and Senate Republican caucuses</t>
        </is>
      </c>
      <c r="E71" s="4" t="n"/>
      <c r="F71" s="15" t="inlineStr">
        <is>
          <t>House &amp; Senate Republicans Propose Bills, Urge Special Session to Deal with Reassessment Aftermath</t>
        </is>
      </c>
      <c r="G71" s="4" t="inlineStr">
        <is>
          <t>July 25, 2025</t>
        </is>
      </c>
      <c r="H71" s="4" t="inlineStr">
        <is>
          <t>2025-07-25</t>
        </is>
      </c>
      <c r="I71" s="4" t="inlineStr">
        <is>
          <t>Blames the school-district allowance to raise total revenue up to 10% after reassessment (14 Del. C. §1916), which the Appoquinimink board used on July 8, 2025, for turning a revenue-neutral reset into a tax increase. Backs Rep. Mike Smith's bill limiting such increases to districts facing a projected deficit, retroactive to July 1, 2025.</t>
        </is>
      </c>
      <c r="J71" s="4" t="inlineStr">
        <is>
          <t>Free-market analyses column</t>
        </is>
      </c>
      <c r="K71" s="4" t="inlineStr">
        <is>
          <t>https://housegop.delaware.gov/2025/07/25/house-senate-republicans-propose-bills-urge-special-session-to-deal-with-reassessment-aftermath/</t>
        </is>
      </c>
    </row>
    <row r="72" ht="30" customHeight="1">
      <c r="A72" s="13" t="inlineStr">
        <is>
          <t>Delaware</t>
        </is>
      </c>
      <c r="B72" s="4" t="inlineStr">
        <is>
          <t>Cited elsewhere in the matrix</t>
        </is>
      </c>
      <c r="C72" s="4" t="inlineStr">
        <is>
          <t>National group</t>
        </is>
      </c>
      <c r="D72" s="4" t="inlineStr">
        <is>
          <t>NFIB</t>
        </is>
      </c>
      <c r="E72" s="4" t="n"/>
      <c r="F72" s="15" t="inlineStr">
        <is>
          <t>Delaware 2025 special session what you need to know [title from URL]</t>
        </is>
      </c>
      <c r="G72" s="4" t="n"/>
      <c r="H72" s="4" t="n"/>
      <c r="I72" s="4" t="n"/>
      <c r="J72" s="4" t="inlineStr">
        <is>
          <t>Source URLs</t>
        </is>
      </c>
      <c r="K72" s="4" t="inlineStr">
        <is>
          <t>https://www.nfib.com/news/news/delaware-2025-special-session-what-you-need-to-know/</t>
        </is>
      </c>
    </row>
    <row r="73" ht="49" customHeight="1">
      <c r="A73" s="13" t="inlineStr">
        <is>
          <t>Florida</t>
        </is>
      </c>
      <c r="B73" s="4" t="inlineStr">
        <is>
          <t>Analysis</t>
        </is>
      </c>
      <c r="C73" s="4" t="inlineStr">
        <is>
          <t>State group</t>
        </is>
      </c>
      <c r="D73" s="4" t="inlineStr">
        <is>
          <t>James Madison Institute</t>
        </is>
      </c>
      <c r="E73" s="4" t="n"/>
      <c r="F73" s="15" t="inlineStr">
        <is>
          <t>2026 Florida Amendment Guide</t>
        </is>
      </c>
      <c r="G73" s="4" t="inlineStr">
        <is>
          <t>Sept. 21, 2026</t>
        </is>
      </c>
      <c r="H73" s="4" t="inlineStr">
        <is>
          <t>2026-09-21</t>
        </is>
      </c>
      <c r="I73" s="4" t="inlineStr">
        <is>
          <t>Plain-language guide to the three statewide amendments on the Nov. 3, 2026 ballot. It explains that Amendment 3 phases in a larger homestead exemption, sets a path toward ending non-school homestead taxes, limits local use of property tax revenue and lowers the non-homestead assessment cap.</t>
        </is>
      </c>
      <c r="J73" s="4" t="inlineStr">
        <is>
          <t>Free-market analyses column</t>
        </is>
      </c>
      <c r="K73" s="4" t="inlineStr">
        <is>
          <t>https://jamesmadison.org/2026-florida-amendment-guide/</t>
        </is>
      </c>
    </row>
    <row r="74" ht="64" customHeight="1">
      <c r="A74" s="13" t="inlineStr">
        <is>
          <t>Florida</t>
        </is>
      </c>
      <c r="B74" s="4" t="inlineStr">
        <is>
          <t>Analysis</t>
        </is>
      </c>
      <c r="C74" s="4" t="inlineStr">
        <is>
          <t>State group</t>
        </is>
      </c>
      <c r="D74" s="4" t="inlineStr">
        <is>
          <t>Florida TaxWatch</t>
        </is>
      </c>
      <c r="E74" s="4" t="n"/>
      <c r="F74" s="15" t="inlineStr">
        <is>
          <t>Florida TaxWatch Unveils ‘Property Tax Resource Center’ to Provide Floridians Independent, Data-Driven Research on Amendment 3</t>
        </is>
      </c>
      <c r="G74" s="4" t="inlineStr">
        <is>
          <t>Aug. 21, 2026</t>
        </is>
      </c>
      <c r="H74" s="4" t="inlineStr">
        <is>
          <t>2026-08-21</t>
        </is>
      </c>
      <c r="I74" s="4" t="inlineStr">
        <is>
          <t>Launches PropertyTaxFL.org, with a county-by-county database of Amendment 3's effects. TaxWatch calls the process that put Amendment 3 on the ballot "rushed" and asks the 2027 Taxation and Budget Reform Commission to vet the issue; its poll with Sachs Media found topline approval would drop to 42 percent, short of the 60 percent needed, if that argument holds with voters.</t>
        </is>
      </c>
      <c r="J74" s="4" t="inlineStr">
        <is>
          <t>Free-market analyses column</t>
        </is>
      </c>
      <c r="K74" s="4" t="inlineStr">
        <is>
          <t>https://floridataxwatch.org/?p=9214</t>
        </is>
      </c>
    </row>
    <row r="75" ht="79" customHeight="1">
      <c r="A75" s="13" t="inlineStr">
        <is>
          <t>Florida</t>
        </is>
      </c>
      <c r="B75" s="4" t="inlineStr">
        <is>
          <t>Analysis</t>
        </is>
      </c>
      <c r="C75" s="4" t="inlineStr">
        <is>
          <t>National group</t>
        </is>
      </c>
      <c r="D75" s="4" t="inlineStr">
        <is>
          <t>Tax Foundation</t>
        </is>
      </c>
      <c r="E75" s="4" t="inlineStr">
        <is>
          <t>Nicole Fox</t>
        </is>
      </c>
      <c r="F75" s="15" t="inlineStr">
        <is>
          <t>The Real November Ballot Question: What Price Are Floridians Willing to Pay to “Save Their Homes?”</t>
        </is>
      </c>
      <c r="G75" s="4" t="inlineStr">
        <is>
          <t>June 3, 2026</t>
        </is>
      </c>
      <c r="H75" s="4" t="inlineStr">
        <is>
          <t>2026-06-03</t>
        </is>
      </c>
      <c r="I75" s="4" t="inlineStr">
        <is>
          <t>Homestead property is 36.1% of Florida's taxable real property value, and legislative fiscal analysis estimates Amendment 3 would cut local revenue by $4.6 billion in the first year and $8.4 billion in the second, with no plan to replace it, so millage rates on the remaining base could rise. It concludes that "A well-structured property tax levy limit that limits the growth in property tax collections over time is a far more sustainable and structurally sound approach."</t>
        </is>
      </c>
      <c r="J75" s="4" t="inlineStr">
        <is>
          <t>Free-market analyses column</t>
        </is>
      </c>
      <c r="K75" s="4" t="inlineStr">
        <is>
          <t>https://taxfoundation.org/blog/florida-property-tax-proposal/</t>
        </is>
      </c>
    </row>
    <row r="76" ht="64" customHeight="1">
      <c r="A76" s="13" t="inlineStr">
        <is>
          <t>Florida</t>
        </is>
      </c>
      <c r="B76" s="4" t="inlineStr">
        <is>
          <t>Analysis</t>
        </is>
      </c>
      <c r="C76" s="4" t="inlineStr">
        <is>
          <t>State group</t>
        </is>
      </c>
      <c r="D76" s="4" t="inlineStr">
        <is>
          <t>James Madison Institute</t>
        </is>
      </c>
      <c r="E76" s="4" t="inlineStr">
        <is>
          <t>Doug Wheeler</t>
        </is>
      </c>
      <c r="F76" s="15" t="inlineStr">
        <is>
          <t>Levy Caps for Property Tax Reform in Florida</t>
        </is>
      </c>
      <c r="G76" s="4" t="inlineStr">
        <is>
          <t>March 10, 2026</t>
        </is>
      </c>
      <c r="H76" s="4" t="inlineStr">
        <is>
          <t>2026-03-10</t>
        </is>
      </c>
      <c r="I76" s="4" t="inlineStr">
        <is>
          <t>Collections exceed $55 billion a year, and total assessed value has tripled since 2000 while population grew about 45% and inflation about 70%. Argues for a levy cap tying growth in total property tax revenue to inflation plus population, since homestead exemptions and rebates give short-term relief without locking in control of total tax burdens.</t>
        </is>
      </c>
      <c r="J76" s="4" t="inlineStr">
        <is>
          <t>Free-market analyses column</t>
        </is>
      </c>
      <c r="K76" s="4" t="inlineStr">
        <is>
          <t>https://jamesmadison.org/levy-caps-for-property-tax-reform-in-florida/</t>
        </is>
      </c>
    </row>
    <row r="77" ht="34" customHeight="1">
      <c r="A77" s="13" t="inlineStr">
        <is>
          <t>Florida</t>
        </is>
      </c>
      <c r="B77" s="4" t="inlineStr">
        <is>
          <t>Analysis</t>
        </is>
      </c>
      <c r="C77" s="4" t="inlineStr">
        <is>
          <t>State group</t>
        </is>
      </c>
      <c r="D77" s="4" t="inlineStr">
        <is>
          <t>Florida Policy Project (Jeff Brandes, president)</t>
        </is>
      </c>
      <c r="E77" s="4" t="inlineStr">
        <is>
          <t>quoted in</t>
        </is>
      </c>
      <c r="F77" s="15" t="inlineStr">
        <is>
          <t>‘We have a slogan, but we don’t have a policy’: Former Florida lawmaker criticizes property tax relief plan</t>
        </is>
      </c>
      <c r="G77" s="4" t="inlineStr">
        <is>
          <t>Feb. 10, 2026</t>
        </is>
      </c>
      <c r="H77" s="4" t="inlineStr">
        <is>
          <t>2026-02-10</t>
        </is>
      </c>
      <c r="I77" s="4" t="inlineStr">
        <is>
          <t>Brandes, a former state senator, said of the push to cut homestead taxes, "I think what we have is a bumper sticker, we have a slogan, but we don't have a policy."</t>
        </is>
      </c>
      <c r="J77" s="4" t="inlineStr">
        <is>
          <t>Free-market analyses column</t>
        </is>
      </c>
      <c r="K77" s="4" t="inlineStr">
        <is>
          <t>https://www.wflx.com/2026/02/10/we-have-slogan-we-dont-have-policy-former-florida-lawmaker-criticizes-property-tax-relief-plan/</t>
        </is>
      </c>
    </row>
    <row r="78" ht="64" customHeight="1">
      <c r="A78" s="13" t="inlineStr">
        <is>
          <t>Florida</t>
        </is>
      </c>
      <c r="B78" s="4" t="inlineStr">
        <is>
          <t>Analysis</t>
        </is>
      </c>
      <c r="C78" s="4" t="inlineStr">
        <is>
          <t>State group</t>
        </is>
      </c>
      <c r="D78" s="4" t="inlineStr">
        <is>
          <t>Florida TaxWatch</t>
        </is>
      </c>
      <c r="E78" s="4" t="n"/>
      <c r="F78" s="15" t="inlineStr">
        <is>
          <t>Save Our Taxpayers – Property Tax Relief Must be Accomplished Equitably</t>
        </is>
      </c>
      <c r="G78" s="4" t="inlineStr">
        <is>
          <t>Jan. 15, 2026</t>
        </is>
      </c>
      <c r="H78" s="4" t="inlineStr">
        <is>
          <t>2026-01-15</t>
        </is>
      </c>
      <c r="I78" s="4" t="inlineStr">
        <is>
          <t>Local property taxes total $59.2 billion in FY2025-26, and the shift from homestead to non-homestead property already exceeds $10 billion. Warns against eliminating property taxes without restraining local spending and calls for a "Save Our Taxpayers" amendment capping assessment growth on all property at the Save Our Homes rate.</t>
        </is>
      </c>
      <c r="J78" s="4" t="inlineStr">
        <is>
          <t>Free-market analyses column</t>
        </is>
      </c>
      <c r="K78" s="4" t="inlineStr">
        <is>
          <t>https://floridataxwatch.org/?p=7093</t>
        </is>
      </c>
    </row>
    <row r="79" ht="79" customHeight="1">
      <c r="A79" s="13" t="inlineStr">
        <is>
          <t>Florida</t>
        </is>
      </c>
      <c r="B79" s="4" t="inlineStr">
        <is>
          <t>Analysis</t>
        </is>
      </c>
      <c r="C79" s="4" t="inlineStr">
        <is>
          <t>State group</t>
        </is>
      </c>
      <c r="D79" s="4" t="inlineStr">
        <is>
          <t>James Madison Institute</t>
        </is>
      </c>
      <c r="E79" s="4" t="inlineStr">
        <is>
          <t>Vance Ginn and Joseph Johns</t>
        </is>
      </c>
      <c r="F79" s="15" t="inlineStr">
        <is>
          <t>Property Tax Relief in Florida: Challenges, Options, and the Path to True Homeownership</t>
        </is>
      </c>
      <c r="G79" s="4" t="inlineStr">
        <is>
          <t>Oct. 15, 2025</t>
        </is>
      </c>
      <c r="H79" s="4" t="inlineStr">
        <is>
          <t>2025-10-15</t>
        </is>
      </c>
      <c r="I79" s="4" t="inlineStr">
        <is>
          <t>Finds that local spending growth has pushed property taxes up even with the Save Our Homes cap, and that any relief "risks being temporary" without a spending limit set at population growth plus inflation, citing Colorado's TABOR as a model. Reviews homestead exemptions, levy caps, surplus buydowns and sales tax swaps, and notes property taxes supply $13.7 billion of the $29.5 billion in statewide school funding.</t>
        </is>
      </c>
      <c r="J79" s="4" t="inlineStr">
        <is>
          <t>Free-market analyses column</t>
        </is>
      </c>
      <c r="K79" s="4" t="inlineStr">
        <is>
          <t>https://jamesmadison.org/property-tax-relief-in-florida-challenges-options-and-the-path-to-true-homeownership/</t>
        </is>
      </c>
    </row>
    <row r="80" ht="49" customHeight="1">
      <c r="A80" s="13" t="inlineStr">
        <is>
          <t>Florida</t>
        </is>
      </c>
      <c r="B80" s="4" t="inlineStr">
        <is>
          <t>Analysis</t>
        </is>
      </c>
      <c r="C80" s="4" t="inlineStr">
        <is>
          <t>National group</t>
        </is>
      </c>
      <c r="D80" s="4" t="inlineStr">
        <is>
          <t>Foundation for Government Accountability</t>
        </is>
      </c>
      <c r="E80" s="4" t="inlineStr">
        <is>
          <t>Michael Greibrok</t>
        </is>
      </c>
      <c r="F80" s="15" t="inlineStr">
        <is>
          <t>Out-of-Control Spending by Local Governments Leads to Soaring Property Taxes</t>
        </is>
      </c>
      <c r="G80" s="4" t="inlineStr">
        <is>
          <t>Oct. 16, 2024</t>
        </is>
      </c>
      <c r="H80" s="4" t="inlineStr">
        <is>
          <t>2024-10-16</t>
        </is>
      </c>
      <c r="I80" s="4" t="inlineStr">
        <is>
          <t>National report urging state lawmakers to rein in local spending and property taxes. Its Florida examples: Orlando's spending rose from $251 million in 2003 to $934 million in 2014 to $1.8 billion in 2024, and Broward County is building a $140 million, 29-story hotel the county will own.</t>
        </is>
      </c>
      <c r="J80" s="4" t="inlineStr">
        <is>
          <t>Free-market analyses column</t>
        </is>
      </c>
      <c r="K80" s="4" t="inlineStr">
        <is>
          <t>https://thefga.org/research/out-of-control-spending-leads-to-soaring-property-taxes/</t>
        </is>
      </c>
    </row>
    <row r="81" ht="30" customHeight="1">
      <c r="A81" s="13" t="inlineStr">
        <is>
          <t>Florida</t>
        </is>
      </c>
      <c r="B81" s="4" t="inlineStr">
        <is>
          <t>Cited elsewhere in the matrix</t>
        </is>
      </c>
      <c r="C81" s="4" t="inlineStr">
        <is>
          <t>National group</t>
        </is>
      </c>
      <c r="D81" s="4" t="inlineStr">
        <is>
          <t>Tax Foundation</t>
        </is>
      </c>
      <c r="E81" s="4" t="n"/>
      <c r="F81" s="15" t="inlineStr">
        <is>
          <t>State Tax Ballot Measures to Watch in 2026</t>
        </is>
      </c>
      <c r="G81" s="4" t="inlineStr">
        <is>
          <t>Oct. 7, 2026</t>
        </is>
      </c>
      <c r="H81" s="4" t="inlineStr">
        <is>
          <t>2026-10-07</t>
        </is>
      </c>
      <c r="I81" s="4" t="n"/>
      <c r="J81" s="4" t="inlineStr">
        <is>
          <t>Source URLs</t>
        </is>
      </c>
      <c r="K81" s="4" t="inlineStr">
        <is>
          <t>https://taxfoundation.org/research/state-tax/2026-state-tax-ballot-measures/</t>
        </is>
      </c>
    </row>
    <row r="82" ht="49" customHeight="1">
      <c r="A82" s="13" t="inlineStr">
        <is>
          <t>Florida</t>
        </is>
      </c>
      <c r="B82" s="4" t="inlineStr">
        <is>
          <t>Cited elsewhere in the matrix</t>
        </is>
      </c>
      <c r="C82" s="4" t="inlineStr">
        <is>
          <t>State group</t>
        </is>
      </c>
      <c r="D82" s="4" t="inlineStr">
        <is>
          <t>Florida TaxWatch</t>
        </is>
      </c>
      <c r="E82" s="4" t="n"/>
      <c r="F82" s="15" t="inlineStr">
        <is>
          <t>Truth in property taxation can be hard to come by [title from URL]</t>
        </is>
      </c>
      <c r="G82" s="4" t="n"/>
      <c r="H82" s="4" t="n"/>
      <c r="I82" s="4" t="inlineStr">
        <is>
          <t>Florida TaxWatch puts FY2025-26 local property taxes at $59.2 billion, more than $20 billion of it paid by homeowners. Florida TaxWatch estimates the shift from homestead to non-homestead property at more than $10 billion a year.</t>
        </is>
      </c>
      <c r="J82" s="4" t="inlineStr">
        <is>
          <t>Source URLs and Loopholes &amp; has it worked?</t>
        </is>
      </c>
      <c r="K82" s="4" t="inlineStr">
        <is>
          <t>https://floridataxwatch.org/Research/Full-Library/truth-in-property-taxation-can-be-hard-to-come-by-3</t>
        </is>
      </c>
    </row>
    <row r="83" ht="49" customHeight="1">
      <c r="A83" s="13" t="inlineStr">
        <is>
          <t>Georgia</t>
        </is>
      </c>
      <c r="B83" s="4" t="inlineStr">
        <is>
          <t>Analysis</t>
        </is>
      </c>
      <c r="C83" s="4" t="inlineStr">
        <is>
          <t>State group</t>
        </is>
      </c>
      <c r="D83" s="4" t="inlineStr">
        <is>
          <t>Georgia Public Policy Foundation</t>
        </is>
      </c>
      <c r="E83" s="4" t="n"/>
      <c r="F83" s="15" t="inlineStr">
        <is>
          <t>Guide to the Issues 2026: Thirty years after the first edition</t>
        </is>
      </c>
      <c r="G83" s="4" t="inlineStr">
        <is>
          <t>Oct. 1, 2026</t>
        </is>
      </c>
      <c r="H83" s="4" t="inlineStr">
        <is>
          <t>2026-10-01</t>
        </is>
      </c>
      <c r="I83" s="4" t="inlineStr">
        <is>
          <t>Says "rising assessments keep pushing bills higher even when no one votes to raise the rate" and recommends a levy limit: "A levy limit, which caps growth in a local government's total property tax revenue, would restrain that trend without shifting the burden onto new homeowners."</t>
        </is>
      </c>
      <c r="J83" s="4" t="inlineStr">
        <is>
          <t>Free-market analyses column</t>
        </is>
      </c>
      <c r="K83" s="4" t="inlineStr">
        <is>
          <t>https://www.georgiapolicy.org/news/guide-to-the-issues-2026-thirty-years-after-the-first-edition/</t>
        </is>
      </c>
    </row>
    <row r="84" ht="34" customHeight="1">
      <c r="A84" s="13" t="inlineStr">
        <is>
          <t>Georgia</t>
        </is>
      </c>
      <c r="B84" s="4" t="inlineStr">
        <is>
          <t>Analysis</t>
        </is>
      </c>
      <c r="C84" s="4" t="inlineStr">
        <is>
          <t>State group</t>
        </is>
      </c>
      <c r="D84" s="4" t="inlineStr">
        <is>
          <t>Common Sense Institute Iowa</t>
        </is>
      </c>
      <c r="E84" s="4" t="n"/>
      <c r="F84" s="15" t="inlineStr">
        <is>
          <t>Iowa Leads the Nation in Property Tax Relief: Ranking State Reforms of the Past Decade</t>
        </is>
      </c>
      <c r="G84" s="4" t="inlineStr">
        <is>
          <t>Aug. 6, 2026</t>
        </is>
      </c>
      <c r="H84" s="4" t="inlineStr">
        <is>
          <t>2026-08-06</t>
        </is>
      </c>
      <c r="I84" s="4" t="inlineStr">
        <is>
          <t>Places Georgia's HB 581 and HR 1022 (2024) ninth nationally by net taxpayer savings per household among 2016-2026 property tax relief bills, counting savings without state backfills.</t>
        </is>
      </c>
      <c r="J84" s="4" t="inlineStr">
        <is>
          <t>Free-market analyses column</t>
        </is>
      </c>
      <c r="K84" s="4" t="inlineStr">
        <is>
          <t>https://archive.commonsenseinstituteus.org/iowa/research/taxes-and-fees/iowa-leads-the-nation-in-property-tax-relief-ranking-state-reforms-of-the-past-decade</t>
        </is>
      </c>
    </row>
    <row r="85" ht="64" customHeight="1">
      <c r="A85" s="13" t="inlineStr">
        <is>
          <t>Georgia</t>
        </is>
      </c>
      <c r="B85" s="4" t="inlineStr">
        <is>
          <t>Analysis</t>
        </is>
      </c>
      <c r="C85" s="4" t="inlineStr">
        <is>
          <t>National group</t>
        </is>
      </c>
      <c r="D85" s="4" t="inlineStr">
        <is>
          <t>Tax Foundation</t>
        </is>
      </c>
      <c r="E85" s="4" t="inlineStr">
        <is>
          <t>Janelle Fritts</t>
        </is>
      </c>
      <c r="F85" s="15" t="inlineStr">
        <is>
          <t>Georgia Tax Reform 2026: Property Tax Relief &amp; Income Tax Relief</t>
        </is>
      </c>
      <c r="G85" s="4" t="inlineStr">
        <is>
          <t>April 1, 2026</t>
        </is>
      </c>
      <c r="H85" s="4" t="inlineStr">
        <is>
          <t>2026-04-01</t>
        </is>
      </c>
      <c r="I85" s="4" t="inlineStr">
        <is>
          <t>Backs HB 1116's 3% levy limit on property tax revenue growth, calling levy limits "the most economically efficient and structurally sound way of curtailing the growth of property tax bills over time," and warns that any tax swap that substantially reduces reliance on property taxes would make the tax code less efficient.</t>
        </is>
      </c>
      <c r="J85" s="4" t="inlineStr">
        <is>
          <t>Free-market analyses column</t>
        </is>
      </c>
      <c r="K85" s="4" t="inlineStr">
        <is>
          <t>https://taxfoundation.org/blog/georgia-tax-reform-income-taxes-property-taxes/</t>
        </is>
      </c>
    </row>
    <row r="86" ht="64" customHeight="1">
      <c r="A86" s="13" t="inlineStr">
        <is>
          <t>Georgia</t>
        </is>
      </c>
      <c r="B86" s="4" t="inlineStr">
        <is>
          <t>Analysis</t>
        </is>
      </c>
      <c r="C86" s="4" t="inlineStr">
        <is>
          <t>State group</t>
        </is>
      </c>
      <c r="D86" s="4" t="inlineStr">
        <is>
          <t>Americans for Prosperity-Georgia</t>
        </is>
      </c>
      <c r="E86" s="4" t="n"/>
      <c r="F86" s="15" t="inlineStr">
        <is>
          <t>AFP-GA Applauds Senate Passage of HB 1116</t>
        </is>
      </c>
      <c r="G86" s="4" t="inlineStr">
        <is>
          <t>March 31, 2026</t>
        </is>
      </c>
      <c r="H86" s="4" t="inlineStr">
        <is>
          <t>2026-03-31</t>
        </is>
      </c>
      <c r="I86" s="4" t="inlineStr">
        <is>
          <t>Supports HB 1116's requirements that local governments give transparent notice of a proposed tax increase, hold a public hearing on it and put all property tax ballot measures on primary or general election dates. The final version of HB 1116 failed in the Senate on April 2, 2026, and much of it moved into SB 33.</t>
        </is>
      </c>
      <c r="J86" s="4" t="inlineStr">
        <is>
          <t>Free-market analyses column</t>
        </is>
      </c>
      <c r="K86" s="4" t="inlineStr">
        <is>
          <t>https://americansforprosperity.org/press-release/afp-ga-applauds-senate-passage-of-hb-1116/</t>
        </is>
      </c>
    </row>
    <row r="87" ht="64" customHeight="1">
      <c r="A87" s="13" t="inlineStr">
        <is>
          <t>Georgia</t>
        </is>
      </c>
      <c r="B87" s="4" t="inlineStr">
        <is>
          <t>Analysis</t>
        </is>
      </c>
      <c r="C87" s="4" t="inlineStr">
        <is>
          <t>State group</t>
        </is>
      </c>
      <c r="D87" s="4" t="inlineStr">
        <is>
          <t>Georgia Public Policy Foundation</t>
        </is>
      </c>
      <c r="E87" s="4" t="inlineStr">
        <is>
          <t>Chris Denson</t>
        </is>
      </c>
      <c r="F87" s="15" t="inlineStr">
        <is>
          <t>How Can We Cap Property Taxes in Georgia?</t>
        </is>
      </c>
      <c r="G87" s="4" t="inlineStr">
        <is>
          <t>Jan. 1, 2026</t>
        </is>
      </c>
      <c r="H87" s="4" t="inlineStr">
        <is>
          <t>2026-01-01</t>
        </is>
      </c>
      <c r="I87" s="4" t="inlineStr">
        <is>
          <t>Notes that 123 of Georgia's 180 school districts (68%) opted out of the HB 581 floating homestead exemption even though 63% of voters approved it, and proposes a levy limit, such as 3% a year or inflation, that forces millage rollbacks when rising values push revenue past the cap, with a local referendum to override it.</t>
        </is>
      </c>
      <c r="J87" s="4" t="inlineStr">
        <is>
          <t>Free-market analyses column</t>
        </is>
      </c>
      <c r="K87" s="4" t="inlineStr">
        <is>
          <t>https://www.georgiapolicy.org/news/how-can-we-cap-property-taxes-in-georgia/</t>
        </is>
      </c>
    </row>
    <row r="88" ht="49" customHeight="1">
      <c r="A88" s="13" t="inlineStr">
        <is>
          <t>Georgia</t>
        </is>
      </c>
      <c r="B88" s="4" t="inlineStr">
        <is>
          <t>Analysis</t>
        </is>
      </c>
      <c r="C88" s="4" t="inlineStr">
        <is>
          <t>National group</t>
        </is>
      </c>
      <c r="D88" s="4" t="inlineStr">
        <is>
          <t>Tax Foundation</t>
        </is>
      </c>
      <c r="E88" s="4" t="n"/>
      <c r="F88" s="15" t="inlineStr">
        <is>
          <t>Localities Opt Out of Georgia's New Homestead Tax Exemption</t>
        </is>
      </c>
      <c r="G88" s="4" t="inlineStr">
        <is>
          <t>April 17, 2025</t>
        </is>
      </c>
      <c r="H88" s="4" t="inlineStr">
        <is>
          <t>2025-04-17</t>
        </is>
      </c>
      <c r="I88" s="4" t="inlineStr">
        <is>
          <t>Documents the 316 opt-outs from Secretary of State data, warns that two parallel systems undermine simplicity and neutrality, and urges a uniform system with effective levy limits to prevent unauthorized increases in revenue and bills.</t>
        </is>
      </c>
      <c r="J88" s="4" t="inlineStr">
        <is>
          <t>Free-market analyses column</t>
        </is>
      </c>
      <c r="K88" s="4" t="inlineStr">
        <is>
          <t>https://taxfoundation.org/blog/georgia-property-tax-reform/</t>
        </is>
      </c>
    </row>
    <row r="89" ht="49" customHeight="1">
      <c r="A89" s="13" t="inlineStr">
        <is>
          <t>Georgia</t>
        </is>
      </c>
      <c r="B89" s="4" t="inlineStr">
        <is>
          <t>Analysis</t>
        </is>
      </c>
      <c r="C89" s="4" t="inlineStr">
        <is>
          <t>State group</t>
        </is>
      </c>
      <c r="D89" s="4" t="inlineStr">
        <is>
          <t>Georgia Public Policy Foundation</t>
        </is>
      </c>
      <c r="E89" s="4" t="n"/>
      <c r="F89" s="15" t="inlineStr">
        <is>
          <t>What the 2025 legislative session means for Georgia taxpayers</t>
        </is>
      </c>
      <c r="G89" s="4" t="inlineStr">
        <is>
          <t>April 3, 2025</t>
        </is>
      </c>
      <c r="H89" s="4" t="inlineStr">
        <is>
          <t>2025-04-03</t>
        </is>
      </c>
      <c r="I89" s="4" t="inlineStr">
        <is>
          <t>Calls the school districts' opt-outs from the HB 581 floating exemption "troubling, if not ironic" because those districts hold about $6.5 billion in reserves; reviews HB 92's reopening of the opt-out window and the path to rescind it.</t>
        </is>
      </c>
      <c r="J89" s="4" t="inlineStr">
        <is>
          <t>Free-market analyses column</t>
        </is>
      </c>
      <c r="K89" s="4" t="inlineStr">
        <is>
          <t>https://www.georgiapolicy.org/news/what-the-2025-legislative-session-means-for-georgia-taxpayers/</t>
        </is>
      </c>
    </row>
    <row r="90" ht="34" customHeight="1">
      <c r="A90" s="13" t="inlineStr">
        <is>
          <t>Georgia</t>
        </is>
      </c>
      <c r="B90" s="4" t="inlineStr">
        <is>
          <t>Checked: no report since 2021</t>
        </is>
      </c>
      <c r="C90" s="4" t="inlineStr">
        <is>
          <t>State group</t>
        </is>
      </c>
      <c r="D90" s="4" t="inlineStr">
        <is>
          <t>Georgia Center for Opportunity</t>
        </is>
      </c>
      <c r="E90" s="4" t="n"/>
      <c r="F90" s="4" t="inlineStr">
        <is>
          <t>(no report found)</t>
        </is>
      </c>
      <c r="G90" s="4" t="n"/>
      <c r="H90" s="4" t="n"/>
      <c r="I90" s="4" t="inlineStr">
        <is>
          <t>Georgia Center for Opportunity (State Policy Network affiliate): no property tax report since 2021 was found.</t>
        </is>
      </c>
      <c r="J90" s="4" t="inlineStr">
        <is>
          <t>Free-market analyses column</t>
        </is>
      </c>
      <c r="K90" s="4" t="n"/>
    </row>
    <row r="91" ht="64" customHeight="1">
      <c r="A91" s="13" t="inlineStr">
        <is>
          <t>Hawaii</t>
        </is>
      </c>
      <c r="B91" s="4" t="inlineStr">
        <is>
          <t>Analysis</t>
        </is>
      </c>
      <c r="C91" s="4" t="inlineStr">
        <is>
          <t>State group</t>
        </is>
      </c>
      <c r="D91" s="4" t="inlineStr">
        <is>
          <t>Grassroot Institute of Hawaii</t>
        </is>
      </c>
      <c r="E91" s="4" t="inlineStr">
        <is>
          <t>Jonathan Helton</t>
        </is>
      </c>
      <c r="F91" s="15" t="inlineStr">
        <is>
          <t>Comparing county property taxes across Hawaii: Who pays the most?</t>
        </is>
      </c>
      <c r="G91" s="4" t="inlineStr">
        <is>
          <t>Sept. 23, 2026</t>
        </is>
      </c>
      <c r="H91" s="4" t="inlineStr">
        <is>
          <t>2026-09-23</t>
        </is>
      </c>
      <c r="I91" s="4" t="inlineStr">
        <is>
          <t>Maui residents pay the most per person ($4,139) and Honolulu the least ($1,817); Hawaii County takes the largest share of total assessed value. A full-time Maui resident homeowner pays less than resident homeowners in other counties because of low tiered rates and a large home exemption, while Honolulu businesses pay the most.</t>
        </is>
      </c>
      <c r="J91" s="4" t="inlineStr">
        <is>
          <t>Free-market analyses column</t>
        </is>
      </c>
      <c r="K91" s="4" t="inlineStr">
        <is>
          <t>https://www.grassrootinstitute.org/2026/09/comparing-county-property-taxes-across-hawaii-who-pays-the-most/</t>
        </is>
      </c>
    </row>
    <row r="92" ht="64" customHeight="1">
      <c r="A92" s="13" t="inlineStr">
        <is>
          <t>Hawaii</t>
        </is>
      </c>
      <c r="B92" s="4" t="inlineStr">
        <is>
          <t>Analysis</t>
        </is>
      </c>
      <c r="C92" s="4" t="inlineStr">
        <is>
          <t>National group</t>
        </is>
      </c>
      <c r="D92" s="4" t="inlineStr">
        <is>
          <t>Tax Foundation of Hawaii</t>
        </is>
      </c>
      <c r="E92" s="4" t="n"/>
      <c r="F92" s="15" t="inlineStr">
        <is>
          <t>Honolulu Special Funds</t>
        </is>
      </c>
      <c r="G92" s="4" t="inlineStr">
        <is>
          <t>Aug. 10, 2026</t>
        </is>
      </c>
      <c r="H92" s="4" t="inlineStr">
        <is>
          <t>2026-08-10</t>
        </is>
      </c>
      <c r="I92" s="4" t="inlineStr">
        <is>
          <t>Six of the 20 Honolulu charter proposals on the Nov. 3, 2026 ballot concern special funds. Four of the five existing charter funds take an earmark of 0.5% of real property tax collections each, and one proposal adds a Food Security Fund on the same terms; the group warns that earmarks remove revenue from budgetary control by the mayor and council.</t>
        </is>
      </c>
      <c r="J92" s="4" t="inlineStr">
        <is>
          <t>Free-market analyses column</t>
        </is>
      </c>
      <c r="K92" s="4" t="inlineStr">
        <is>
          <t>https://www.tfhawaii.org/wordpress/blog/honolulu-special-funds/</t>
        </is>
      </c>
    </row>
    <row r="93" ht="49" customHeight="1">
      <c r="A93" s="13" t="inlineStr">
        <is>
          <t>Hawaii</t>
        </is>
      </c>
      <c r="B93" s="4" t="inlineStr">
        <is>
          <t>Analysis</t>
        </is>
      </c>
      <c r="C93" s="4" t="inlineStr">
        <is>
          <t>State group</t>
        </is>
      </c>
      <c r="D93" s="4" t="inlineStr">
        <is>
          <t>Grassroot Institute of Hawaii</t>
        </is>
      </c>
      <c r="E93" s="4" t="inlineStr">
        <is>
          <t>Ted Kefalas</t>
        </is>
      </c>
      <c r="F93" s="15" t="inlineStr">
        <is>
          <t>Empty homes tax proposal is vague, legally risky and could raise prices</t>
        </is>
      </c>
      <c r="G93" s="4" t="inlineStr">
        <is>
          <t>July 9, 2026</t>
        </is>
      </c>
      <c r="H93" s="4" t="inlineStr">
        <is>
          <t>2026-07-09</t>
        </is>
      </c>
      <c r="I93" s="4" t="inlineStr">
        <is>
          <t>Testimony opposing charter amendment P170, which would set an empty homes tax of at least 2% of assessed value, or $24,850 a year on a home at Oahu's $1.24 million median sales price. The Honolulu Charter Commission later declined to put the measure on the ballot.</t>
        </is>
      </c>
      <c r="J93" s="4" t="inlineStr">
        <is>
          <t>Free-market analyses column</t>
        </is>
      </c>
      <c r="K93" s="4" t="inlineStr">
        <is>
          <t>https://www.grassrootinstitute.org/2026/07/empty-homes-tax-proposal-is-vague-legally-risky-and-could-raise-prices/</t>
        </is>
      </c>
    </row>
    <row r="94" ht="49" customHeight="1">
      <c r="A94" s="13" t="inlineStr">
        <is>
          <t>Hawaii</t>
        </is>
      </c>
      <c r="B94" s="4" t="inlineStr">
        <is>
          <t>Analysis</t>
        </is>
      </c>
      <c r="C94" s="4" t="inlineStr">
        <is>
          <t>State group</t>
        </is>
      </c>
      <c r="D94" s="4" t="inlineStr">
        <is>
          <t>Grassroot Institute of Hawaii</t>
        </is>
      </c>
      <c r="E94" s="4" t="inlineStr">
        <is>
          <t>Keli'i Akina</t>
        </is>
      </c>
      <c r="F94" s="15" t="inlineStr">
        <is>
          <t>No, we don't have low property taxes</t>
        </is>
      </c>
      <c r="G94" s="4" t="inlineStr">
        <is>
          <t>May 28, 2025</t>
        </is>
      </c>
      <c r="H94" s="4" t="inlineStr">
        <is>
          <t>2025-05-28</t>
        </is>
      </c>
      <c r="I94" s="4" t="inlineStr">
        <is>
          <t>Rebuts the claim that Hawaii's property taxes are low: rates are nominally low but bills on very high values land near the middle of the pack, assessments rarely fall, and counties keep raising budgets (Maui's mayor sought a $116 million increase for 2026); urges councils to cut rates as values rise.</t>
        </is>
      </c>
      <c r="J94" s="4" t="inlineStr">
        <is>
          <t>Free-market analyses column</t>
        </is>
      </c>
      <c r="K94" s="4" t="inlineStr">
        <is>
          <t>https://www.grassrootinstitute.org/2025/05/no-we-dont-have-low-property-taxes/</t>
        </is>
      </c>
    </row>
    <row r="95" ht="49" customHeight="1">
      <c r="A95" s="13" t="inlineStr">
        <is>
          <t>Hawaii</t>
        </is>
      </c>
      <c r="B95" s="4" t="inlineStr">
        <is>
          <t>Analysis</t>
        </is>
      </c>
      <c r="C95" s="4" t="inlineStr">
        <is>
          <t>State group</t>
        </is>
      </c>
      <c r="D95" s="4" t="inlineStr">
        <is>
          <t>Grassroot Institute of Hawaii</t>
        </is>
      </c>
      <c r="E95" s="4" t="inlineStr">
        <is>
          <t>Jonathan Helton</t>
        </is>
      </c>
      <c r="F95" s="15" t="inlineStr">
        <is>
          <t>How Hawaii's county lawmakers can provide tax relief to offset higher property assessments</t>
        </is>
      </c>
      <c r="G95" s="4" t="inlineStr">
        <is>
          <t>April 20, 2023</t>
        </is>
      </c>
      <c r="H95" s="4" t="inlineStr">
        <is>
          <t>2023-04-20</t>
        </is>
      </c>
      <c r="I95" s="4" t="inlineStr">
        <is>
          <t>Policy toolkit for county councils; finds property tax revenue grew 19.81% in Hawaii County, 19.23% in Kauai, 12.4% in Maui and 9.14% in Honolulu in fiscal 2023, and recommends rate cuts, assessment circuit breakers, exemptions and indexing to break the link between rising valuations and higher bills.</t>
        </is>
      </c>
      <c r="J95" s="4" t="inlineStr">
        <is>
          <t>Free-market analyses column</t>
        </is>
      </c>
      <c r="K95" s="4" t="inlineStr">
        <is>
          <t>https://www.grassrootinstitute.org/2023/04/new-brief-outlines-how-counties-can-provide-property-tax-relief/</t>
        </is>
      </c>
    </row>
    <row r="96" ht="64" customHeight="1">
      <c r="A96" s="13" t="inlineStr">
        <is>
          <t>Idaho</t>
        </is>
      </c>
      <c r="B96" s="4" t="inlineStr">
        <is>
          <t>Analysis</t>
        </is>
      </c>
      <c r="C96" s="4" t="inlineStr">
        <is>
          <t>State group</t>
        </is>
      </c>
      <c r="D96" s="4" t="inlineStr">
        <is>
          <t>Mountain States Policy Center</t>
        </is>
      </c>
      <c r="E96" s="4" t="inlineStr">
        <is>
          <t>Chris Cargill</t>
        </is>
      </c>
      <c r="F96" s="15" t="inlineStr">
        <is>
          <t>New Study: What it would take to eliminate Idaho's local property taxes</t>
        </is>
      </c>
      <c r="G96" s="4" t="inlineStr">
        <is>
          <t>Sept. 30, 2026</t>
        </is>
      </c>
      <c r="H96" s="4" t="inlineStr">
        <is>
          <t>2026-09-30</t>
        </is>
      </c>
      <c r="I96" s="4" t="inlineStr">
        <is>
          <t>Property taxes raise about $2.2 billion for local governments; replacing them through the sales tax would take about 5.4% more (11.4% in total), and the local rate needed ranges from 2.4% in Shoshone County to more than 30% in Boise County. Favors local choice, with any new local sales tax replacing property tax dollar for dollar, voter approval and rate limits, plus spending restraint and truth in taxation.</t>
        </is>
      </c>
      <c r="J96" s="4" t="inlineStr">
        <is>
          <t>Free-market analyses column</t>
        </is>
      </c>
      <c r="K96" s="4" t="inlineStr">
        <is>
          <t>https://www.mountainstatespolicy.org/post/new-study-what-it-would-take-to-eliminate-idaho-s-local-property-taxes</t>
        </is>
      </c>
    </row>
    <row r="97" ht="34" customHeight="1">
      <c r="A97" s="13" t="inlineStr">
        <is>
          <t>Idaho</t>
        </is>
      </c>
      <c r="B97" s="4" t="inlineStr">
        <is>
          <t>Analysis</t>
        </is>
      </c>
      <c r="C97" s="4" t="inlineStr">
        <is>
          <t>State group</t>
        </is>
      </c>
      <c r="D97" s="4" t="inlineStr">
        <is>
          <t>Idaho Freedom Foundation</t>
        </is>
      </c>
      <c r="E97" s="4" t="n"/>
      <c r="F97" s="15" t="inlineStr">
        <is>
          <t>The Ratchet Only Goes One Way: Boise's Ever Increasing Property Taxes</t>
        </is>
      </c>
      <c r="G97" s="4" t="inlineStr">
        <is>
          <t>July 14, 2026</t>
        </is>
      </c>
      <c r="H97" s="4" t="inlineStr">
        <is>
          <t>2026-07-14</t>
        </is>
      </c>
      <c r="I97" s="4" t="inlineStr">
        <is>
          <t>Boise has raised property taxes every year since FY2021, including 4% in FY2025 and FY2026 by stacking the 3% maximum with 1% of forgone authority; urges ending the forgone mechanism.</t>
        </is>
      </c>
      <c r="J97" s="4" t="inlineStr">
        <is>
          <t>Free-market analyses column</t>
        </is>
      </c>
      <c r="K97" s="4" t="inlineStr">
        <is>
          <t>https://idahofreedom.org/the-ratchet-only-goes-one-way-boises-ever-increasing-property-taxes/</t>
        </is>
      </c>
    </row>
    <row r="98" ht="64" customHeight="1">
      <c r="A98" s="13" t="inlineStr">
        <is>
          <t>Idaho</t>
        </is>
      </c>
      <c r="B98" s="4" t="inlineStr">
        <is>
          <t>Analysis</t>
        </is>
      </c>
      <c r="C98" s="4" t="inlineStr">
        <is>
          <t>State group</t>
        </is>
      </c>
      <c r="D98" s="4" t="inlineStr">
        <is>
          <t>Idaho Freedom Foundation</t>
        </is>
      </c>
      <c r="E98" s="4" t="n"/>
      <c r="F98" s="15" t="inlineStr">
        <is>
          <t>Property Tax Relief Options Explained</t>
        </is>
      </c>
      <c r="G98" s="4" t="inlineStr">
        <is>
          <t>June 4, 2026</t>
        </is>
      </c>
      <c r="H98" s="4" t="inlineStr">
        <is>
          <t>2026-06-04</t>
        </is>
      </c>
      <c r="I98" s="4" t="inlineStr">
        <is>
          <t>Property taxes are budget-driven, so lasting relief requires spending restraint at state and local levels; compares general cuts, carve-outs and shifts using Tax Commission projections, including eliminating the $125,000 homeowner's exemption cap, and concludes taxes will not fall until spending growth is reversed.</t>
        </is>
      </c>
      <c r="J98" s="4" t="inlineStr">
        <is>
          <t>Free-market analyses column</t>
        </is>
      </c>
      <c r="K98" s="4" t="inlineStr">
        <is>
          <t>https://idahofreedom.org/property-tax-relief-options-explained/</t>
        </is>
      </c>
    </row>
    <row r="99" ht="34" customHeight="1">
      <c r="A99" s="13" t="inlineStr">
        <is>
          <t>Idaho</t>
        </is>
      </c>
      <c r="B99" s="4" t="inlineStr">
        <is>
          <t>Analysis</t>
        </is>
      </c>
      <c r="C99" s="4" t="inlineStr">
        <is>
          <t>State group</t>
        </is>
      </c>
      <c r="D99" s="4" t="inlineStr">
        <is>
          <t>Idaho Freedom Foundation</t>
        </is>
      </c>
      <c r="E99" s="4" t="n"/>
      <c r="F99" s="15" t="inlineStr">
        <is>
          <t>The Property Tax: Expensive and Outdated</t>
        </is>
      </c>
      <c r="G99" s="4" t="inlineStr">
        <is>
          <t>May 19, 2026</t>
        </is>
      </c>
      <c r="H99" s="4" t="inlineStr">
        <is>
          <t>2026-05-19</t>
        </is>
      </c>
      <c r="I99" s="4" t="inlineStr">
        <is>
          <t>Makes the case for abolishing property taxes, tracing them from the territorial era through the state's 1965 exit from the property tax.</t>
        </is>
      </c>
      <c r="J99" s="4" t="inlineStr">
        <is>
          <t>Free-market analyses column</t>
        </is>
      </c>
      <c r="K99" s="4" t="inlineStr">
        <is>
          <t>https://idahofreedom.org/the-property-tax-expensive-and-outdated/</t>
        </is>
      </c>
    </row>
    <row r="100" ht="49" customHeight="1">
      <c r="A100" s="13" t="inlineStr">
        <is>
          <t>Idaho</t>
        </is>
      </c>
      <c r="B100" s="4" t="inlineStr">
        <is>
          <t>Analysis</t>
        </is>
      </c>
      <c r="C100" s="4" t="inlineStr">
        <is>
          <t>State group</t>
        </is>
      </c>
      <c r="D100" s="4" t="inlineStr">
        <is>
          <t>Idaho Freedom Foundation</t>
        </is>
      </c>
      <c r="E100" s="4" t="n"/>
      <c r="F100" s="15" t="inlineStr">
        <is>
          <t>House Bill 959 — Initiative, budget limits</t>
        </is>
      </c>
      <c r="G100" s="4" t="inlineStr">
        <is>
          <t>bill rating, March 30, 2026</t>
        </is>
      </c>
      <c r="H100" s="4" t="inlineStr">
        <is>
          <t>2026-03-30</t>
        </is>
      </c>
      <c r="I100" s="4" t="inlineStr">
        <is>
          <t>Scaled-back version of the failed HB 842; the 15% cap for fire and ambulance districts will raise taxes in fast-growing districts, while ending new forgone balances and allowing voter initiatives are improvements; reports $133.3 million in statewide forgone balances.</t>
        </is>
      </c>
      <c r="J100" s="4" t="inlineStr">
        <is>
          <t>Free-market analyses column</t>
        </is>
      </c>
      <c r="K100" s="4" t="inlineStr">
        <is>
          <t>https://idahofreedom.org/house-bill-959-initiative-budget-limits/</t>
        </is>
      </c>
    </row>
    <row r="101" ht="49" customHeight="1">
      <c r="A101" s="13" t="inlineStr">
        <is>
          <t>Idaho</t>
        </is>
      </c>
      <c r="B101" s="4" t="inlineStr">
        <is>
          <t>Analysis</t>
        </is>
      </c>
      <c r="C101" s="4" t="inlineStr">
        <is>
          <t>State group</t>
        </is>
      </c>
      <c r="D101" s="4" t="inlineStr">
        <is>
          <t>Mountain States Policy Center</t>
        </is>
      </c>
      <c r="E101" s="4" t="inlineStr">
        <is>
          <t>Jason Mercier</t>
        </is>
      </c>
      <c r="F101" s="15" t="inlineStr">
        <is>
          <t>Truth in Taxation proposed in Idaho to increase property tax transparency</t>
        </is>
      </c>
      <c r="G101" s="4" t="inlineStr">
        <is>
          <t>March 5, 2025</t>
        </is>
      </c>
      <c r="H101" s="4" t="inlineStr">
        <is>
          <t>2025-03-05</t>
        </is>
      </c>
      <c r="I101" s="4" t="inlineStr">
        <is>
          <t>Backs HB 369, which would require taxing districts to publish and mail a Notice of Proposed Tax Increase; points to Utah, where "When values increase, the tax rate adjusts down to provide the taxing entity the same amount of revenue."</t>
        </is>
      </c>
      <c r="J101" s="4" t="inlineStr">
        <is>
          <t>Free-market analyses column</t>
        </is>
      </c>
      <c r="K101" s="4" t="inlineStr">
        <is>
          <t>https://www.mountainstatespolicy.org/post/truth-in-taxation-proposed-in-idaho-to-increase-property-tax-transparency</t>
        </is>
      </c>
    </row>
    <row r="102" ht="64" customHeight="1">
      <c r="A102" s="13" t="inlineStr">
        <is>
          <t>Illinois</t>
        </is>
      </c>
      <c r="B102" s="4" t="inlineStr">
        <is>
          <t>Analysis</t>
        </is>
      </c>
      <c r="C102" s="4" t="inlineStr">
        <is>
          <t>State group</t>
        </is>
      </c>
      <c r="D102" s="4" t="inlineStr">
        <is>
          <t>Americans for Prosperity-Illinois</t>
        </is>
      </c>
      <c r="E102" s="4" t="n"/>
      <c r="F102" s="15" t="inlineStr">
        <is>
          <t>AFP-IL Finds Statewide Pattern of Taxpayer-Funded Referendum Campaigning, Urges Investigation</t>
        </is>
      </c>
      <c r="G102" s="4" t="inlineStr">
        <is>
          <t>Oct. 5, 2026</t>
        </is>
      </c>
      <c r="H102" s="4" t="inlineStr">
        <is>
          <t>2026-10-05</t>
        </is>
      </c>
      <c r="I102" s="4" t="inlineStr">
        <is>
          <t>Asks Attorney General Kwame Raoul and four county state's attorneys to investigate whether 24 local governments in Cook, DuPage, Lake and Will counties used public money on consultants to pass tax and bond referendums, which Illinois law prohibits. Says those measures represent a projected $3.4 billion in tax collections, including $2.2 billion in bonds.</t>
        </is>
      </c>
      <c r="J102" s="4" t="inlineStr">
        <is>
          <t>Free-market analyses column</t>
        </is>
      </c>
      <c r="K102" s="4" t="inlineStr">
        <is>
          <t>https://americansforprosperity.org/press-release/afp-il-finds-statewide-pattern-of-taxpayer-funded-referendum-campaigning-urges-investigation/</t>
        </is>
      </c>
    </row>
    <row r="103" ht="79" customHeight="1">
      <c r="A103" s="13" t="inlineStr">
        <is>
          <t>Illinois</t>
        </is>
      </c>
      <c r="B103" s="4" t="inlineStr">
        <is>
          <t>Analysis</t>
        </is>
      </c>
      <c r="C103" s="4" t="inlineStr">
        <is>
          <t>State group</t>
        </is>
      </c>
      <c r="D103" s="4" t="inlineStr">
        <is>
          <t>Illinois Policy Institute</t>
        </is>
      </c>
      <c r="E103" s="4" t="n"/>
      <c r="F103" s="15" t="inlineStr">
        <is>
          <t>Taxed out: 10 reforms to stop Illinois from losing people and jobs</t>
        </is>
      </c>
      <c r="G103" s="4" t="inlineStr">
        <is>
          <t>Sept. 29, 2026</t>
        </is>
      </c>
      <c r="H103" s="4" t="inlineStr">
        <is>
          <t>2026-09-29</t>
        </is>
      </c>
      <c r="I103" s="4" t="inlineStr">
        <is>
          <t>Its property tax chapter says the Property Tax Extension Limitation Law, which since 1991 has capped growth in the total levy on existing property at the lesser of 5% or inflation, does not bind home-rule districts unless they opt in and excludes bond payments, some pension payments and TIF surpluses. Urges lawmakers to expand the cap so it permits few exclusions beyond new construction, with voter overrides kept for increases above it.</t>
        </is>
      </c>
      <c r="J103" s="4" t="inlineStr">
        <is>
          <t>Free-market analyses column</t>
        </is>
      </c>
      <c r="K103" s="4" t="inlineStr">
        <is>
          <t>https://www.illinoispolicy.org/reports/illinois-tax-reform-economic-growth/</t>
        </is>
      </c>
    </row>
    <row r="104" ht="49" customHeight="1">
      <c r="A104" s="13" t="inlineStr">
        <is>
          <t>Illinois</t>
        </is>
      </c>
      <c r="B104" s="4" t="inlineStr">
        <is>
          <t>Analysis</t>
        </is>
      </c>
      <c r="C104" s="4" t="inlineStr">
        <is>
          <t>State group</t>
        </is>
      </c>
      <c r="D104" s="4" t="inlineStr">
        <is>
          <t>Illinois Policy Institute</t>
        </is>
      </c>
      <c r="E104" s="4" t="n"/>
      <c r="F104" s="15" t="inlineStr">
        <is>
          <t>New data: Illinois homeowners pay country's highest property taxes</t>
        </is>
      </c>
      <c r="G104" s="4" t="inlineStr">
        <is>
          <t>May 27, 2026</t>
        </is>
      </c>
      <c r="H104" s="4" t="inlineStr">
        <is>
          <t>2026-05-27</t>
        </is>
      </c>
      <c r="I104" s="4" t="inlineStr">
        <is>
          <t>Using 2024 Census data, Illinois ties New Jersey at a 1.88% average effective rate, more than double the 0.86% national average, about $5,452 on a $290,000 median home; Kendall, McHenry, Lake and DeKalb counties rank among the 12 highest-rate counties in the U.S.</t>
        </is>
      </c>
      <c r="J104" s="4" t="inlineStr">
        <is>
          <t>Free-market analyses column</t>
        </is>
      </c>
      <c r="K104" s="4" t="inlineStr">
        <is>
          <t>https://www.illinoispolicy.org/new-data-illinois-homeowners-pay-countrys-highest-property-taxes/</t>
        </is>
      </c>
    </row>
    <row r="105" ht="49" customHeight="1">
      <c r="A105" s="13" t="inlineStr">
        <is>
          <t>Illinois</t>
        </is>
      </c>
      <c r="B105" s="4" t="inlineStr">
        <is>
          <t>Analysis</t>
        </is>
      </c>
      <c r="C105" s="4" t="inlineStr">
        <is>
          <t>State group</t>
        </is>
      </c>
      <c r="D105" s="4" t="inlineStr">
        <is>
          <t>Illinois Policy Institute</t>
        </is>
      </c>
      <c r="E105" s="4" t="n"/>
      <c r="F105" s="15" t="inlineStr">
        <is>
          <t>Illinois property taxes up 27% under Pritzker</t>
        </is>
      </c>
      <c r="G105" s="4" t="inlineStr">
        <is>
          <t>April 13, 2026</t>
        </is>
      </c>
      <c r="H105" s="4" t="inlineStr">
        <is>
          <t>2026-04-13</t>
        </is>
      </c>
      <c r="I105" s="4" t="inlineStr">
        <is>
          <t>Statewide property taxes rose from $31.8 billion in 2018 to $40.37 billion in 2024; blames state decisions, chiefly pension costs that consume nearly 40% of the state education budget and leave school districts leaning on local levies.</t>
        </is>
      </c>
      <c r="J105" s="4" t="inlineStr">
        <is>
          <t>Free-market analyses column</t>
        </is>
      </c>
      <c r="K105" s="4" t="inlineStr">
        <is>
          <t>https://www.illinoispolicy.org/illinois-property-taxes-up-27-under-pritzker/</t>
        </is>
      </c>
    </row>
    <row r="106" ht="64" customHeight="1">
      <c r="A106" s="13" t="inlineStr">
        <is>
          <t>Illinois</t>
        </is>
      </c>
      <c r="B106" s="4" t="inlineStr">
        <is>
          <t>Analysis</t>
        </is>
      </c>
      <c r="C106" s="4" t="inlineStr">
        <is>
          <t>Legislators &amp; officials</t>
        </is>
      </c>
      <c r="D106" s="4" t="inlineStr">
        <is>
          <t>Illinois House Republicans</t>
        </is>
      </c>
      <c r="E106" s="4" t="n"/>
      <c r="F106" s="15" t="inlineStr">
        <is>
          <t>House Republicans Launch Property Tax Relief Conference, Issue Open Letter on Stadium Proposal</t>
        </is>
      </c>
      <c r="G106" s="4" t="inlineStr">
        <is>
          <t>April 9, 2026</t>
        </is>
      </c>
      <c r="H106" s="4" t="inlineStr">
        <is>
          <t>2026-04-09</t>
        </is>
      </c>
      <c r="I106" s="4" t="inlineStr">
        <is>
          <t>Rep. Dan Ugaste and other members said any megaprojects or PILOT bill for the Chicago Bears must include "meaningful, statewide property tax relief for homeowners"; at a minimum they called for all property tax referendums to appear only on November ballots and an end to backdoor referendums, including bond rollovers without voter approval.</t>
        </is>
      </c>
      <c r="J106" s="4" t="inlineStr">
        <is>
          <t>Free-market analyses column</t>
        </is>
      </c>
      <c r="K106" s="4" t="inlineStr">
        <is>
          <t>https://repugaste.com/2026/04/09/house-republicans-launch-property-tax-relief-conference-issue-open-letter-on-stadium-proposal/</t>
        </is>
      </c>
    </row>
    <row r="107" ht="34" customHeight="1">
      <c r="A107" s="13" t="inlineStr">
        <is>
          <t>Illinois</t>
        </is>
      </c>
      <c r="B107" s="4" t="inlineStr">
        <is>
          <t>Analysis</t>
        </is>
      </c>
      <c r="C107" s="4" t="inlineStr">
        <is>
          <t>State group</t>
        </is>
      </c>
      <c r="D107" s="4" t="inlineStr">
        <is>
          <t>Illinois Policy Institute</t>
        </is>
      </c>
      <c r="E107" s="4" t="n"/>
      <c r="F107" s="15" t="inlineStr">
        <is>
          <t>Cook County TIFs cost taxpayers over $2 billion</t>
        </is>
      </c>
      <c r="G107" s="4" t="inlineStr">
        <is>
          <t>April 1, 2026</t>
        </is>
      </c>
      <c r="H107" s="4" t="inlineStr">
        <is>
          <t>2026-04-01</t>
        </is>
      </c>
      <c r="I107" s="4" t="inlineStr">
        <is>
          <t>TIF districts freeze the base for other taxing bodies and push up everyone else's rates; Cook County taxpayers could have paid about $2 billion less last year.</t>
        </is>
      </c>
      <c r="J107" s="4" t="inlineStr">
        <is>
          <t>Free-market analyses column</t>
        </is>
      </c>
      <c r="K107" s="4" t="inlineStr">
        <is>
          <t>https://www.illinoispolicy.org/cook-county-tifs-cost-taxpayers-over-2-billion/</t>
        </is>
      </c>
    </row>
    <row r="108" ht="49" customHeight="1">
      <c r="A108" s="13" t="inlineStr">
        <is>
          <t>Illinois</t>
        </is>
      </c>
      <c r="B108" s="4" t="inlineStr">
        <is>
          <t>Analysis</t>
        </is>
      </c>
      <c r="C108" s="4" t="inlineStr">
        <is>
          <t>State group</t>
        </is>
      </c>
      <c r="D108" s="4" t="inlineStr">
        <is>
          <t>Illinois Policy Institute</t>
        </is>
      </c>
      <c r="E108" s="4" t="n"/>
      <c r="F108" s="15" t="inlineStr">
        <is>
          <t>Chicago property taxes jump — but unevenly</t>
        </is>
      </c>
      <c r="G108" s="4" t="inlineStr">
        <is>
          <t>March 5, 2026</t>
        </is>
      </c>
      <c r="H108" s="4" t="inlineStr">
        <is>
          <t>2026-03-05</t>
        </is>
      </c>
      <c r="I108" s="4" t="inlineStr">
        <is>
          <t>Cook County Treasurer data: the median Chicago homeowner bill rose a record 16.7% for tax year 2024, with increases of 75% or more in West Garfield Park, North Lawndale, Englewood and other South and West Side areas.</t>
        </is>
      </c>
      <c r="J108" s="4" t="inlineStr">
        <is>
          <t>Free-market analyses column</t>
        </is>
      </c>
      <c r="K108" s="4" t="inlineStr">
        <is>
          <t>https://www.illinoispolicy.org/chicago-property-taxes-jump-but-unevenly/</t>
        </is>
      </c>
    </row>
    <row r="109" ht="64" customHeight="1">
      <c r="A109" s="13" t="inlineStr">
        <is>
          <t>Illinois</t>
        </is>
      </c>
      <c r="B109" s="4" t="inlineStr">
        <is>
          <t>Analysis</t>
        </is>
      </c>
      <c r="C109" s="4" t="inlineStr">
        <is>
          <t>National group</t>
        </is>
      </c>
      <c r="D109" s="4" t="inlineStr">
        <is>
          <t>Truth in Accounting</t>
        </is>
      </c>
      <c r="E109" s="4" t="n"/>
      <c r="F109" s="15" t="inlineStr">
        <is>
          <t>Chicago's combined state and local taxpayer debt burden worst in the nation</t>
        </is>
      </c>
      <c r="G109" s="4" t="inlineStr">
        <is>
          <t>June 14, 2022</t>
        </is>
      </c>
      <c r="H109" s="4" t="inlineStr">
        <is>
          <t>2022-06-14</t>
        </is>
      </c>
      <c r="I109" s="4" t="inlineStr">
        <is>
          <t>Chicago ranks last among the 10 largest cities at $135,700 of combined city and state debt per taxpayer, with 69% of the city's nearly $98 billion of debt owed to pensions and 6.7% to retiree health care. Says casino revenue will cover 9% of pension costs, leaving property taxes, which almost doubled in the past decade, as the most likely source of more money.</t>
        </is>
      </c>
      <c r="J109" s="4" t="inlineStr">
        <is>
          <t>Free-market analyses column</t>
        </is>
      </c>
      <c r="K109" s="4" t="inlineStr">
        <is>
          <t>https://www.truthinaccounting.org/news/detail/chicagos-combined-state-and-local-taxpayer-debt-burden-worst-in-the-nation</t>
        </is>
      </c>
    </row>
    <row r="110" ht="30" customHeight="1">
      <c r="A110" s="13" t="inlineStr">
        <is>
          <t>Illinois</t>
        </is>
      </c>
      <c r="B110" s="4" t="inlineStr">
        <is>
          <t>Cited elsewhere in the matrix</t>
        </is>
      </c>
      <c r="C110" s="4" t="inlineStr">
        <is>
          <t>National group</t>
        </is>
      </c>
      <c r="D110" s="4" t="inlineStr">
        <is>
          <t>The Heartland Institute</t>
        </is>
      </c>
      <c r="E110" s="4" t="n"/>
      <c r="F110" s="15" t="inlineStr">
        <is>
          <t>PRESS RELEASE: Florida Gov. Ron DeSantis Speech in Chicago Pushed for Historic Property Tax Rollback</t>
        </is>
      </c>
      <c r="G110" s="4" t="inlineStr">
        <is>
          <t>Sept. 5, 2026</t>
        </is>
      </c>
      <c r="H110" s="4" t="inlineStr">
        <is>
          <t>2026-09-05</t>
        </is>
      </c>
      <c r="I110" s="4" t="n"/>
      <c r="J110" s="4" t="inlineStr">
        <is>
          <t>Source URLs</t>
        </is>
      </c>
      <c r="K110" s="4" t="inlineStr">
        <is>
          <t>https://heartland.org/opinion/press-release-florida-gov-ron-desantis-speech-in-chicago-pushed-for-historic-property-tax-rollback/</t>
        </is>
      </c>
    </row>
    <row r="111" ht="94" customHeight="1">
      <c r="A111" s="13" t="inlineStr">
        <is>
          <t>Illinois</t>
        </is>
      </c>
      <c r="B111" s="4" t="inlineStr">
        <is>
          <t>Cited elsewhere in the matrix</t>
        </is>
      </c>
      <c r="C111" s="4" t="inlineStr">
        <is>
          <t>State group</t>
        </is>
      </c>
      <c r="D111" s="4" t="inlineStr">
        <is>
          <t>Illinois Policy Institute</t>
        </is>
      </c>
      <c r="E111" s="4" t="n"/>
      <c r="F111" s="15" t="inlineStr">
        <is>
          <t>Illinois lawmakers finally pass bill to end home equity theft</t>
        </is>
      </c>
      <c r="G111" s="4" t="inlineStr">
        <is>
          <t>July 10, 2026</t>
        </is>
      </c>
      <c r="H111" s="4" t="inlineStr">
        <is>
          <t>2026-07-10</t>
        </is>
      </c>
      <c r="I111" s="4" t="inlineStr">
        <is>
          <t>Illinois Department of Revenue extensions rose from $31.8 billion in 2018 to $40.37 billion in 2024 (Illinois Policy Institute), and tax year 2024 bills in Chicago rose a record 16.7% at the median (Cook County Treasurer). TIF: Cook County TIF districts collected a record $1.7 billion in tax year 2022, including $1.29 billion from Chicago's 127 districts, and the Illinois Policy Institute puts the cost to Cook County taxpayers at about $2 billion for tax year 2024; growth captured by TIFs raises rates on everyone else.</t>
        </is>
      </c>
      <c r="J111" s="4" t="inlineStr">
        <is>
          <t>Source URLs and Loopholes &amp; has it worked?</t>
        </is>
      </c>
      <c r="K111" s="4" t="inlineStr">
        <is>
          <t>https://www.illinoispolicy.org/illinois-lawmakers-finally-pass-bill-to-end-home-equity-theft/</t>
        </is>
      </c>
    </row>
    <row r="112" ht="34" customHeight="1">
      <c r="A112" s="13" t="inlineStr">
        <is>
          <t>Illinois</t>
        </is>
      </c>
      <c r="B112" s="4" t="inlineStr">
        <is>
          <t>Checked: no report since 2021</t>
        </is>
      </c>
      <c r="C112" s="4" t="inlineStr">
        <is>
          <t>State group</t>
        </is>
      </c>
      <c r="D112" s="4" t="inlineStr">
        <is>
          <t>Heartland Institute</t>
        </is>
      </c>
      <c r="E112" s="4" t="n"/>
      <c r="F112" s="4" t="inlineStr">
        <is>
          <t>(no report found)</t>
        </is>
      </c>
      <c r="G112" s="4" t="n"/>
      <c r="H112" s="4" t="n"/>
      <c r="I112" s="4" t="inlineStr">
        <is>
          <t>Heartland Institute (State Policy Network associate): no Illinois property tax report since 2021 was found (its Sept. 5, 2026 release on a Chicago speech concerns Florida's property tax measure).</t>
        </is>
      </c>
      <c r="J112" s="4" t="inlineStr">
        <is>
          <t>Free-market analyses column</t>
        </is>
      </c>
      <c r="K112" s="4" t="n"/>
    </row>
    <row r="113" ht="34" customHeight="1">
      <c r="A113" s="13" t="inlineStr">
        <is>
          <t>Illinois</t>
        </is>
      </c>
      <c r="B113" s="4" t="inlineStr">
        <is>
          <t>Checked: no report since 2021</t>
        </is>
      </c>
      <c r="C113" s="4" t="inlineStr">
        <is>
          <t>State group</t>
        </is>
      </c>
      <c r="D113" s="4" t="inlineStr">
        <is>
          <t>Liberty Justice Center</t>
        </is>
      </c>
      <c r="E113" s="4" t="n"/>
      <c r="F113" s="4" t="inlineStr">
        <is>
          <t>(no report found)</t>
        </is>
      </c>
      <c r="G113" s="4" t="n"/>
      <c r="H113" s="4" t="n"/>
      <c r="I113" s="4" t="inlineStr">
        <is>
          <t>Liberty Justice Center (State Policy Network associate): no property tax report since 2021 was found in its site search or its WordPress archives.</t>
        </is>
      </c>
      <c r="J113" s="4" t="inlineStr">
        <is>
          <t>Free-market analyses column</t>
        </is>
      </c>
      <c r="K113" s="4" t="n"/>
    </row>
    <row r="114" ht="49" customHeight="1">
      <c r="A114" s="13" t="inlineStr">
        <is>
          <t>Indiana</t>
        </is>
      </c>
      <c r="B114" s="4" t="inlineStr">
        <is>
          <t>Analysis</t>
        </is>
      </c>
      <c r="C114" s="4" t="inlineStr">
        <is>
          <t>State group</t>
        </is>
      </c>
      <c r="D114" s="4" t="inlineStr">
        <is>
          <t>Americans for Prosperity-Indiana</t>
        </is>
      </c>
      <c r="E114" s="4" t="n"/>
      <c r="F114" s="15" t="inlineStr">
        <is>
          <t>AFP-IN Launches Campaign Urging Hoosiers to Vote NO on School Property Tax Referendums</t>
        </is>
      </c>
      <c r="G114" s="4" t="inlineStr">
        <is>
          <t>Aug. 21, 2026</t>
        </is>
      </c>
      <c r="H114" s="4" t="inlineStr">
        <is>
          <t>2026-08-21</t>
        </is>
      </c>
      <c r="I114" s="4" t="inlineStr">
        <is>
          <t>Announces targeted digital ads in counties across Indiana urging NO votes on the November school property tax referendums, part of its "Hoosiers Reject Higher Taxes" campaign against "the wave of new and renewed" levies.</t>
        </is>
      </c>
      <c r="J114" s="4" t="inlineStr">
        <is>
          <t>Free-market analyses column</t>
        </is>
      </c>
      <c r="K114" s="4" t="inlineStr">
        <is>
          <t>https://americansforprosperity.org/press-release/afp-in-launches-campaign-urging-hoosiers-to-vote-no-on-school-property-tax-referendums/</t>
        </is>
      </c>
    </row>
    <row r="115" ht="49" customHeight="1">
      <c r="A115" s="13" t="inlineStr">
        <is>
          <t>Indiana</t>
        </is>
      </c>
      <c r="B115" s="4" t="inlineStr">
        <is>
          <t>Analysis</t>
        </is>
      </c>
      <c r="C115" s="4" t="inlineStr">
        <is>
          <t>State group</t>
        </is>
      </c>
      <c r="D115" s="4" t="inlineStr">
        <is>
          <t>Common Sense Institute Iowa</t>
        </is>
      </c>
      <c r="E115" s="4" t="n"/>
      <c r="F115" s="15" t="inlineStr">
        <is>
          <t>Iowa Leads the Nation in Property Tax Relief: Ranking State Reforms of the Past Decade</t>
        </is>
      </c>
      <c r="G115" s="4" t="inlineStr">
        <is>
          <t>Aug. 6, 2026</t>
        </is>
      </c>
      <c r="H115" s="4" t="inlineStr">
        <is>
          <t>2026-08-06</t>
        </is>
      </c>
      <c r="I115" s="4" t="inlineStr">
        <is>
          <t>Ranks SEA 1 (2025) second nationally among 2016-2026 property tax relief bills by net taxpayer savings, about 0.14% of personal income and $1,429 per household over six years, counting only relief not paid for by the state.</t>
        </is>
      </c>
      <c r="J115" s="4" t="inlineStr">
        <is>
          <t>Free-market analyses column</t>
        </is>
      </c>
      <c r="K115" s="4" t="inlineStr">
        <is>
          <t>https://archive.commonsenseinstituteus.org/iowa/research/taxes-and-fees/iowa-leads-the-nation-in-property-tax-relief-ranking-state-reforms-of-the-past-decade</t>
        </is>
      </c>
    </row>
    <row r="116" ht="34" customHeight="1">
      <c r="A116" s="13" t="inlineStr">
        <is>
          <t>Indiana</t>
        </is>
      </c>
      <c r="B116" s="4" t="inlineStr">
        <is>
          <t>Analysis</t>
        </is>
      </c>
      <c r="C116" s="4" t="inlineStr">
        <is>
          <t>State group</t>
        </is>
      </c>
      <c r="D116" s="4" t="inlineStr">
        <is>
          <t>Americans for Prosperity-Indiana</t>
        </is>
      </c>
      <c r="E116" s="4" t="n"/>
      <c r="F116" s="15" t="inlineStr">
        <is>
          <t>AFP-IN and Community Partners Celebrate Victory for Taxpayers as Northwest Allen County Referendum Fails</t>
        </is>
      </c>
      <c r="G116" s="4" t="inlineStr">
        <is>
          <t>Nov. 4, 2025</t>
        </is>
      </c>
      <c r="H116" s="4" t="inlineStr">
        <is>
          <t>2025-11-04</t>
        </is>
      </c>
      <c r="I116" s="4" t="inlineStr">
        <is>
          <t>Reports that special-election voters rejected the proposed $12 million Northwest Allen County operating referendum after AFP-IN volunteers and local partners campaigned against the property tax increase.</t>
        </is>
      </c>
      <c r="J116" s="4" t="inlineStr">
        <is>
          <t>Free-market analyses column</t>
        </is>
      </c>
      <c r="K116" s="4" t="inlineStr">
        <is>
          <t>https://americansforprosperity.org/press-release/afp-in-and-community-partners-celebrate-victory-for-taxpayers-as-northwest-allen-county-referendum-fails/</t>
        </is>
      </c>
    </row>
    <row r="117" ht="64" customHeight="1">
      <c r="A117" s="13" t="inlineStr">
        <is>
          <t>Indiana</t>
        </is>
      </c>
      <c r="B117" s="4" t="inlineStr">
        <is>
          <t>Analysis</t>
        </is>
      </c>
      <c r="C117" s="4" t="inlineStr">
        <is>
          <t>Legislators &amp; officials</t>
        </is>
      </c>
      <c r="D117" s="4" t="inlineStr">
        <is>
          <t>Indiana House Republicans</t>
        </is>
      </c>
      <c r="E117" s="4" t="n"/>
      <c r="F117" s="15" t="inlineStr">
        <is>
          <t>Northeast Indiana legislators: Legislation delivering robust property tax relief and reform to Hoosiers signed into law</t>
        </is>
      </c>
      <c r="G117" s="4" t="inlineStr">
        <is>
          <t>April 17, 2025</t>
        </is>
      </c>
      <c r="H117" s="4" t="inlineStr">
        <is>
          <t>2025-04-17</t>
        </is>
      </c>
      <c r="I117" s="4" t="inlineStr">
        <is>
          <t>Says SEA 1 will save homeowners $1.3 billion over three years, with two-thirds of Hoosiers paying a lower bill in 2026 than in 2025, through a 10% homestead credit of up to $300 plus stackable credits for seniors and disabled veterans. Also cuts the local income tax cap from 3.75% to 2.9% and moves referenda to general elections.</t>
        </is>
      </c>
      <c r="J117" s="4" t="inlineStr">
        <is>
          <t>Free-market analyses column</t>
        </is>
      </c>
      <c r="K117" s="4" t="inlineStr">
        <is>
          <t>https://www.indianahouserepublicans.com/news/press-releases/northeast-indiana-legislators-legislation-delivering-robust-property-tax-relief-and-reform-to-hoosiers-signed-into-law/</t>
        </is>
      </c>
    </row>
    <row r="118" ht="64" customHeight="1">
      <c r="A118" s="13" t="inlineStr">
        <is>
          <t>Indiana</t>
        </is>
      </c>
      <c r="B118" s="4" t="inlineStr">
        <is>
          <t>Analysis</t>
        </is>
      </c>
      <c r="C118" s="4" t="inlineStr">
        <is>
          <t>National group</t>
        </is>
      </c>
      <c r="D118" s="4" t="inlineStr">
        <is>
          <t>Tax Foundation (national)</t>
        </is>
      </c>
      <c r="E118" s="4" t="n"/>
      <c r="F118" s="15" t="inlineStr">
        <is>
          <t>Indiana Mulls Local Income and Property Tax Reforms</t>
        </is>
      </c>
      <c r="G118" s="4" t="inlineStr">
        <is>
          <t>March 26, 2025</t>
        </is>
      </c>
      <c r="H118" s="4" t="inlineStr">
        <is>
          <t>2025-03-26</t>
        </is>
      </c>
      <c r="I118" s="4" t="inlineStr">
        <is>
          <t>Reviews Gov. Braun's plan and the House and Senate alternatives that became SEA 1; notes property taxes supplied about 83% of local tax revenue in 2022 and Indiana's property tax system ranks fifth on the State Tax Competitiveness Index, and warns of the risks of replacing property taxes with local income taxes.</t>
        </is>
      </c>
      <c r="J118" s="4" t="inlineStr">
        <is>
          <t>Free-market analyses column</t>
        </is>
      </c>
      <c r="K118" s="4" t="inlineStr">
        <is>
          <t>https://taxfoundation.org/blog/indiana-property-tax-reform-local-income-taxes/</t>
        </is>
      </c>
    </row>
    <row r="119" ht="64" customHeight="1">
      <c r="A119" s="13" t="inlineStr">
        <is>
          <t>Indiana</t>
        </is>
      </c>
      <c r="B119" s="4" t="inlineStr">
        <is>
          <t>Analysis</t>
        </is>
      </c>
      <c r="C119" s="4" t="inlineStr">
        <is>
          <t>State group</t>
        </is>
      </c>
      <c r="D119" s="4" t="inlineStr">
        <is>
          <t>Indiana Farm Bureau</t>
        </is>
      </c>
      <c r="E119" s="4" t="n"/>
      <c r="F119" s="15" t="inlineStr">
        <is>
          <t>Tax Facts: When it comes to property taxes, nothing is simple</t>
        </is>
      </c>
      <c r="G119" s="4" t="inlineStr">
        <is>
          <t>March 26, 2025</t>
        </is>
      </c>
      <c r="H119" s="4" t="inlineStr">
        <is>
          <t>2025-03-26</t>
        </is>
      </c>
      <c r="I119" s="4" t="inlineStr">
        <is>
          <t>Explains the farmland base rate formula behind farm assessments as the 2025 session's property tax debate neared its end; DLGF figures show budgeted returns on a 1,000-acre corn-soybean farm with half the land rented ranged from a $140 per acre loss in 2015 to a $352 profit in 2021 and averaged a $90 loss in 2024, while the formula's return to owned land stayed positive nearly every year from 2013 to 2024.</t>
        </is>
      </c>
      <c r="J119" s="4" t="inlineStr">
        <is>
          <t>Free-market analyses column</t>
        </is>
      </c>
      <c r="K119" s="4" t="inlineStr">
        <is>
          <t>https://www.infarmbureau.org/news/news-article/2025/03/26/tax-facts-when-it-comes-to-property-taxes-nothing-is-simple</t>
        </is>
      </c>
    </row>
    <row r="120" ht="64" customHeight="1">
      <c r="A120" s="13" t="inlineStr">
        <is>
          <t>Indiana</t>
        </is>
      </c>
      <c r="B120" s="4" t="inlineStr">
        <is>
          <t>Analysis</t>
        </is>
      </c>
      <c r="C120" s="4" t="inlineStr">
        <is>
          <t>State group</t>
        </is>
      </c>
      <c r="D120" s="4" t="inlineStr">
        <is>
          <t>Indiana Policy Review Foundation</t>
        </is>
      </c>
      <c r="E120" s="4" t="inlineStr">
        <is>
          <t>Mark Franke</t>
        </is>
      </c>
      <c r="F120" s="15" t="inlineStr">
        <is>
          <t>Franke: Property-Tax Misery</t>
        </is>
      </c>
      <c r="G120" s="4" t="inlineStr">
        <is>
          <t>March 3, 2025</t>
        </is>
      </c>
      <c r="H120" s="4" t="inlineStr">
        <is>
          <t>2025-03-03</t>
        </is>
      </c>
      <c r="I120" s="4" t="inlineStr">
        <is>
          <t>Backs Gov. Mike Braun's property tax cut against local units' complaints, reporting that the author's net bill rose 52% in the five years from 2020 while his Social Security benefit rose 26%, and that increases in Allen County's most productive farm townships ranged from 28% to 76%. Says the 1% homestead and 2% farm caps do not stop rising net bills because assessed valuations drive them.</t>
        </is>
      </c>
      <c r="J120" s="4" t="inlineStr">
        <is>
          <t>Free-market analyses column</t>
        </is>
      </c>
      <c r="K120" s="4" t="inlineStr">
        <is>
          <t>https://inpolicy.org/franke-property-tax-misery/</t>
        </is>
      </c>
    </row>
    <row r="121" ht="30" customHeight="1">
      <c r="A121" s="13" t="inlineStr">
        <is>
          <t>Indiana</t>
        </is>
      </c>
      <c r="B121" s="4" t="inlineStr">
        <is>
          <t>Checked: no report since 2021</t>
        </is>
      </c>
      <c r="C121" s="4" t="inlineStr">
        <is>
          <t>State group</t>
        </is>
      </c>
      <c r="D121" s="4" t="inlineStr">
        <is>
          <t>EdChoice</t>
        </is>
      </c>
      <c r="E121" s="4" t="n"/>
      <c r="F121" s="4" t="inlineStr">
        <is>
          <t>(no report found)</t>
        </is>
      </c>
      <c r="G121" s="4" t="n"/>
      <c r="H121" s="4" t="n"/>
      <c r="I121" s="4" t="inlineStr">
        <is>
          <t>EdChoice (State Policy Network associate): no Indiana property tax report since 2021 was found.</t>
        </is>
      </c>
      <c r="J121" s="4" t="inlineStr">
        <is>
          <t>Free-market analyses column</t>
        </is>
      </c>
      <c r="K121" s="4" t="n"/>
    </row>
    <row r="122" ht="79" customHeight="1">
      <c r="A122" s="13" t="inlineStr">
        <is>
          <t>Iowa</t>
        </is>
      </c>
      <c r="B122" s="4" t="inlineStr">
        <is>
          <t>Analysis</t>
        </is>
      </c>
      <c r="C122" s="4" t="inlineStr">
        <is>
          <t>State group</t>
        </is>
      </c>
      <c r="D122" s="4" t="inlineStr">
        <is>
          <t>Common Sense Institute Iowa</t>
        </is>
      </c>
      <c r="E122" s="4" t="inlineStr">
        <is>
          <t>Andrzej Wieciorkowski and Dylan Mundt</t>
        </is>
      </c>
      <c r="F122" s="15" t="inlineStr">
        <is>
          <t>Counties, Cities, and the Cap—Iowa’s Local Payroll Growth Meets SF 2472</t>
        </is>
      </c>
      <c r="G122" s="4" t="inlineStr">
        <is>
          <t>Sept. 25, 2026</t>
        </is>
      </c>
      <c r="H122" s="4" t="inlineStr">
        <is>
          <t>2026-09-25</t>
        </is>
      </c>
      <c r="I122" s="4" t="inlineStr">
        <is>
          <t>Local government payroll took 4.15% of Iowans' personal income in 2025, the seventh highest share in the nation, and a payroll burden at the national median would leave about $1.6 billion for other priorities or refunds. From 2019 to 2025 non-school local employment rose 10.8% (Midwest 4.8%) while school district employment fell 0.6%, and city and county non-school payrolls grew 39.5% against 28.4% growth in the property tax revenue that funds them, the pressure SF 2472's 2% cap meets from FY2028.</t>
        </is>
      </c>
      <c r="J122" s="4" t="inlineStr">
        <is>
          <t>Free-market analyses column</t>
        </is>
      </c>
      <c r="K122" s="4" t="inlineStr">
        <is>
          <t>https://commonsenseinstituteus.org/research/counties-cities-and-the-cap-iowas-local-payroll-growth-meets-sf-2472/</t>
        </is>
      </c>
    </row>
    <row r="123" ht="49" customHeight="1">
      <c r="A123" s="13" t="inlineStr">
        <is>
          <t>Iowa</t>
        </is>
      </c>
      <c r="B123" s="4" t="inlineStr">
        <is>
          <t>Analysis</t>
        </is>
      </c>
      <c r="C123" s="4" t="inlineStr">
        <is>
          <t>State group</t>
        </is>
      </c>
      <c r="D123" s="4" t="inlineStr">
        <is>
          <t>ITR Foundation (Iowans for Tax Relief Foundation)</t>
        </is>
      </c>
      <c r="E123" s="4" t="inlineStr">
        <is>
          <t>Sarah Curry</t>
        </is>
      </c>
      <c r="F123" s="15" t="inlineStr">
        <is>
          <t>A Few Votes, Long-Term Consequences: Results from Iowa’s September 2026 Special Elections</t>
        </is>
      </c>
      <c r="G123" s="4" t="inlineStr">
        <is>
          <t>Sept. 11, 2026</t>
        </is>
      </c>
      <c r="H123" s="4" t="inlineStr">
        <is>
          <t>2026-09-11</t>
        </is>
      </c>
      <c r="I123" s="4" t="inlineStr">
        <is>
          <t>Voters approved 22 of 26 measures on September 8, including 14 of 18 PPEL questions, with average turnout of 12.2%. Dubuque doubled its PPEL to the $1.34 maximum (about $7.2 million a year) less than a year after rejecting a $70 million bond, and Van Meter's renewal passed 152-150.</t>
        </is>
      </c>
      <c r="J123" s="4" t="inlineStr">
        <is>
          <t>Free-market analyses column</t>
        </is>
      </c>
      <c r="K123" s="4" t="inlineStr">
        <is>
          <t>https://itrfoundation.org/a-few-votes-long-term-consequences-results-from-iowas-september-2026-special-elections/</t>
        </is>
      </c>
    </row>
    <row r="124" ht="64" customHeight="1">
      <c r="A124" s="13" t="inlineStr">
        <is>
          <t>Iowa</t>
        </is>
      </c>
      <c r="B124" s="4" t="inlineStr">
        <is>
          <t>Analysis</t>
        </is>
      </c>
      <c r="C124" s="4" t="inlineStr">
        <is>
          <t>State group</t>
        </is>
      </c>
      <c r="D124" s="4" t="inlineStr">
        <is>
          <t>ITR Foundation</t>
        </is>
      </c>
      <c r="E124" s="4" t="n"/>
      <c r="F124" s="15" t="inlineStr">
        <is>
          <t>School Districts Blame SAVE Changes for Tax Hikes Already in the Works</t>
        </is>
      </c>
      <c r="G124" s="4" t="inlineStr">
        <is>
          <t>Aug. 31, 2026</t>
        </is>
      </c>
      <c r="H124" s="4" t="inlineStr">
        <is>
          <t>2026-08-31</t>
        </is>
      </c>
      <c r="I124" s="4" t="inlineStr">
        <is>
          <t>Clarinda and South Winneshiek blamed SF 2472's redirection of SAVE sales tax money for September PPEL requests, but both had sought more property tax authority before the law (Clarinda's bonds failed in 2023 and its PPELs in 2024; South Winneshiek's $1.34 PPEL failed in March 2026); argues districts control spending and "Changes in revenue should not automatically result in higher taxes."</t>
        </is>
      </c>
      <c r="J124" s="4" t="inlineStr">
        <is>
          <t>Free-market analyses column</t>
        </is>
      </c>
      <c r="K124" s="4" t="inlineStr">
        <is>
          <t>https://itrfoundation.org/school-districts-blame-save-changes-for-tax-hikes-already-in-the-works/</t>
        </is>
      </c>
    </row>
    <row r="125" ht="64" customHeight="1">
      <c r="A125" s="13" t="inlineStr">
        <is>
          <t>Iowa</t>
        </is>
      </c>
      <c r="B125" s="4" t="inlineStr">
        <is>
          <t>Analysis</t>
        </is>
      </c>
      <c r="C125" s="4" t="inlineStr">
        <is>
          <t>State group</t>
        </is>
      </c>
      <c r="D125" s="4" t="inlineStr">
        <is>
          <t>Common Sense Institute Iowa</t>
        </is>
      </c>
      <c r="E125" s="4" t="n"/>
      <c r="F125" s="15" t="inlineStr">
        <is>
          <t>Iowa Leads the Nation in Property Tax Relief: Ranking State Reforms of the Past Decade</t>
        </is>
      </c>
      <c r="G125" s="4" t="inlineStr">
        <is>
          <t>Aug. 6, 2026</t>
        </is>
      </c>
      <c r="H125" s="4" t="inlineStr">
        <is>
          <t>2026-08-06</t>
        </is>
      </c>
      <c r="I125" s="4" t="inlineStr">
        <is>
          <t>Full report ranking state property tax relief bills from 2016-2026 by net taxpayer savings, excluding relief paid by state budgets. SF 2472 (2026) ranks first (about 0.17% of personal income and $1,463 per household over six years) and HF 718 (2023) fourth by income share; New Jersey's ANCHOR, North Dakota's HB 1176 and Texas's 2023 package are excluded because the state pays for them.</t>
        </is>
      </c>
      <c r="J125" s="4" t="inlineStr">
        <is>
          <t>Free-market analyses column</t>
        </is>
      </c>
      <c r="K125" s="4" t="inlineStr">
        <is>
          <t>https://commonsenseinstituteus.org/iowa/research/iowa-leads-the-nation-in-property-tax-relief-ranking-state-reforms-of-the-past-decade/</t>
        </is>
      </c>
    </row>
    <row r="126" ht="64" customHeight="1">
      <c r="A126" s="13" t="inlineStr">
        <is>
          <t>Iowa</t>
        </is>
      </c>
      <c r="B126" s="4" t="inlineStr">
        <is>
          <t>Analysis</t>
        </is>
      </c>
      <c r="C126" s="4" t="inlineStr">
        <is>
          <t>State group</t>
        </is>
      </c>
      <c r="D126" s="4" t="inlineStr">
        <is>
          <t>Common Sense Institute Iowa</t>
        </is>
      </c>
      <c r="E126" s="4" t="n"/>
      <c r="F126" s="15" t="inlineStr">
        <is>
          <t>Iowa’s Largest Property Tax Reform in Decades Changes the U.S. Tax Burden Map</t>
        </is>
      </c>
      <c r="G126" s="4" t="inlineStr">
        <is>
          <t>June 5, 2026</t>
        </is>
      </c>
      <c r="H126" s="4" t="inlineStr">
        <is>
          <t>2026-06-05</t>
        </is>
      </c>
      <c r="I126" s="4" t="inlineStr">
        <is>
          <t>Projects that SF 2472 and HF 718 move Iowa from the 20th to the 29th most burdened state for local taxes by FY2033, with a sharp drop in FY2028 and FY2029; the cut needed to make Iowa a median property tax state in FY2033 falls from $1.61 billion to $810 million, and the new homestead exemption is worth about $300 million a year.</t>
        </is>
      </c>
      <c r="J126" s="4" t="inlineStr">
        <is>
          <t>Free-market analyses column</t>
        </is>
      </c>
      <c r="K126" s="4" t="inlineStr">
        <is>
          <t>https://commonsenseinstituteus.org/iowa/research/taxes-and-fees/iowas-largest-property-tax-reform-in-decades-changes-the-us-tax-burden-map/</t>
        </is>
      </c>
    </row>
    <row r="127" ht="64" customHeight="1">
      <c r="A127" s="13" t="inlineStr">
        <is>
          <t>Iowa</t>
        </is>
      </c>
      <c r="B127" s="4" t="inlineStr">
        <is>
          <t>Analysis</t>
        </is>
      </c>
      <c r="C127" s="4" t="inlineStr">
        <is>
          <t>State group</t>
        </is>
      </c>
      <c r="D127" s="4" t="inlineStr">
        <is>
          <t>ITR Foundation</t>
        </is>
      </c>
      <c r="E127" s="4" t="n"/>
      <c r="F127" s="15" t="inlineStr">
        <is>
          <t>Taxpayers Come First as Iowa Wraps Up 2026 Legislative Session</t>
        </is>
      </c>
      <c r="G127" s="4" t="inlineStr">
        <is>
          <t>May 8, 2026</t>
        </is>
      </c>
      <c r="H127" s="4" t="inlineStr">
        <is>
          <t>2026-05-08</t>
        </is>
      </c>
      <c r="I127" s="4" t="inlineStr">
        <is>
          <t>The governor and House Republicans sought a 2% "hard" cap while Senate Republicans proposed a 2% "soft" cap indexed to inflation that could have reached 5%; the final law caps many local levies at 2%, replaces the homestead credit with a 10% exemption ($5,500 minimum, $20,000 maximum, inflation-adjusted) and is projected to save more than $4 billion over six years.</t>
        </is>
      </c>
      <c r="J127" s="4" t="inlineStr">
        <is>
          <t>Free-market analyses column</t>
        </is>
      </c>
      <c r="K127" s="4" t="inlineStr">
        <is>
          <t>https://itrfoundation.org/taxpayers-come-first-as-iowa-wraps-up-2026-legislative-session/</t>
        </is>
      </c>
    </row>
    <row r="128" ht="94" customHeight="1">
      <c r="A128" s="13" t="inlineStr">
        <is>
          <t>Iowa</t>
        </is>
      </c>
      <c r="B128" s="4" t="inlineStr">
        <is>
          <t>Analysis</t>
        </is>
      </c>
      <c r="C128" s="4" t="inlineStr">
        <is>
          <t>State group</t>
        </is>
      </c>
      <c r="D128" s="4" t="inlineStr">
        <is>
          <t>Iowans for Tax Relief</t>
        </is>
      </c>
      <c r="E128" s="4" t="n"/>
      <c r="F128" s="15" t="inlineStr">
        <is>
          <t>New Law Puts Limits on Property Tax Levies in Iowa</t>
        </is>
      </c>
      <c r="G128" s="4" t="inlineStr">
        <is>
          <t>May 4, 2026</t>
        </is>
      </c>
      <c r="H128" s="4" t="inlineStr">
        <is>
          <t>2026-05-04</t>
        </is>
      </c>
      <c r="I128" s="4" t="inlineStr">
        <is>
          <t>Calls SF 2472's 2% cap on city and county collections "very meaningful" but short of the hard across-the-board cap ITR sought: city debt service, unified law enforcement, insurance and employee benefits levies stay uncapped, new construction does not count, and "some local governments will exploit any available loopholes." The school foundation levy falls from $5.40 to $4.90, new TIF districts get a 23-year sunset, and the final bill left out the gas tax and local option sales tax increases in earlier Senate versions.</t>
        </is>
      </c>
      <c r="J128" s="4" t="inlineStr">
        <is>
          <t>Free-market analyses column</t>
        </is>
      </c>
      <c r="K128" s="4" t="inlineStr">
        <is>
          <t>https://itrfoundation.org/new-law-puts-limits-on-property-tax-levies-in-iowa/</t>
        </is>
      </c>
    </row>
    <row r="129" ht="49" customHeight="1">
      <c r="A129" s="13" t="inlineStr">
        <is>
          <t>Iowa</t>
        </is>
      </c>
      <c r="B129" s="4" t="inlineStr">
        <is>
          <t>Analysis</t>
        </is>
      </c>
      <c r="C129" s="4" t="inlineStr">
        <is>
          <t>State group</t>
        </is>
      </c>
      <c r="D129" s="4" t="inlineStr">
        <is>
          <t>ITR Foundation</t>
        </is>
      </c>
      <c r="E129" s="4" t="n"/>
      <c r="F129" s="15" t="inlineStr">
        <is>
          <t>From Waterloo to Keokuk: Where Property Taxes Hit Hardest in Iowa</t>
        </is>
      </c>
      <c r="G129" s="4" t="inlineStr">
        <is>
          <t>Sept. 5, 2025</t>
        </is>
      </c>
      <c r="H129" s="4" t="inlineStr">
        <is>
          <t>2025-09-05</t>
        </is>
      </c>
      <c r="I129" s="4" t="inlineStr">
        <is>
          <t>Across Iowa's 100 largest cities the effective property tax rate on the median home averaged 1.8% (2023 consolidated levies), from under 1.3% in Eldridge and Le Mars to 2.1% in Waterloo and 2.4% in Keokuk; calls for "a firm limit on how fast local governments can grow their budgets."</t>
        </is>
      </c>
      <c r="J129" s="4" t="inlineStr">
        <is>
          <t>Free-market analyses column</t>
        </is>
      </c>
      <c r="K129" s="4" t="inlineStr">
        <is>
          <t>https://itrfoundation.org/from-waterloo-to-keokuk-where-property-taxes-hit-hardest-in-iowa/</t>
        </is>
      </c>
    </row>
    <row r="130" ht="109" customHeight="1">
      <c r="A130" s="13" t="inlineStr">
        <is>
          <t>Iowa</t>
        </is>
      </c>
      <c r="B130" s="4" t="inlineStr">
        <is>
          <t>Analysis</t>
        </is>
      </c>
      <c r="C130" s="4" t="inlineStr">
        <is>
          <t>State group</t>
        </is>
      </c>
      <c r="D130" s="4" t="inlineStr">
        <is>
          <t>ITR Foundation</t>
        </is>
      </c>
      <c r="E130" s="4" t="inlineStr">
        <is>
          <t>John Hendrickson</t>
        </is>
      </c>
      <c r="F130" s="15" t="inlineStr">
        <is>
          <t>Does Iowa Really Have a Truth-in-Taxation Law?</t>
        </is>
      </c>
      <c r="G130" s="4" t="inlineStr">
        <is>
          <t>July 17, 2025</t>
        </is>
      </c>
      <c r="H130" s="4" t="inlineStr">
        <is>
          <t>2025-07-17</t>
        </is>
      </c>
      <c r="I130" s="4" t="inlineStr">
        <is>
          <t>Holds up Utah's 1985 law as the gold standard: each taxing entity gets the prior year's revenue plus new growth, and a levy above the certified rate requires mailed notice to every taxpayer and a recorded vote at a public hearing. Iowa has at best the transparency and accountability parts of the model: its 2019 and 2023 laws added hearings with a supermajority vote for budget growth above 2% and mailed budget statements, which officials called misleading because of their hypothetical $100,000 home with a 10% assessment increase. It calls for a revenue-driven limit or a levy cap with Minnesota- or Utah-style notices, and warns against using state General Fund dollars to lower local rates.</t>
        </is>
      </c>
      <c r="J130" s="4" t="inlineStr">
        <is>
          <t>Free-market analyses column</t>
        </is>
      </c>
      <c r="K130" s="4" t="inlineStr">
        <is>
          <t>https://itrfoundation.org/does-iowa-really-have-a-truth-in-taxation-law/</t>
        </is>
      </c>
    </row>
    <row r="131" ht="64" customHeight="1">
      <c r="A131" s="13" t="inlineStr">
        <is>
          <t>Iowa</t>
        </is>
      </c>
      <c r="B131" s="4" t="inlineStr">
        <is>
          <t>Analysis</t>
        </is>
      </c>
      <c r="C131" s="4" t="inlineStr">
        <is>
          <t>State group</t>
        </is>
      </c>
      <c r="D131" s="4" t="inlineStr">
        <is>
          <t>Common Sense Institute Iowa</t>
        </is>
      </c>
      <c r="E131" s="4" t="inlineStr">
        <is>
          <t>Ben Murrey and Andrzej Wieciorkowski</t>
        </is>
      </c>
      <c r="F131" s="15" t="inlineStr">
        <is>
          <t>Property Tax Reform: Targeting Iowa’s High Local Tax Burden</t>
        </is>
      </c>
      <c r="G131" s="4" t="inlineStr">
        <is>
          <t>April 9, 2025</t>
        </is>
      </c>
      <c r="H131" s="4" t="inlineStr">
        <is>
          <t>2025-04-09</t>
        </is>
      </c>
      <c r="I131" s="4" t="inlineStr">
        <is>
          <t>Full report ranking Iowa 11th most burdensome for local property taxes and 19th for total local taxes; on the current trend property tax revenue grows 2.63% a year, and holding growth to 2% would bring Iowa to the U.S. median by 2033. It prefers that path to a one-time $400 million cut, which it calls "a rug pull for local governments."</t>
        </is>
      </c>
      <c r="J131" s="4" t="inlineStr">
        <is>
          <t>Free-market analyses column</t>
        </is>
      </c>
      <c r="K131" s="4" t="inlineStr">
        <is>
          <t>https://commonsenseinstituteus.org/iowa/research/taxes-and-fees/property-tax-reform-targeting-iowas-high-local-tax-burden/</t>
        </is>
      </c>
    </row>
    <row r="132" ht="49" customHeight="1">
      <c r="A132" s="13" t="inlineStr">
        <is>
          <t>Iowa</t>
        </is>
      </c>
      <c r="B132" s="4" t="inlineStr">
        <is>
          <t>Analysis</t>
        </is>
      </c>
      <c r="C132" s="4" t="inlineStr">
        <is>
          <t>National group</t>
        </is>
      </c>
      <c r="D132" s="4" t="inlineStr">
        <is>
          <t>Tax Foundation</t>
        </is>
      </c>
      <c r="E132" s="4" t="inlineStr">
        <is>
          <t>Jared Walczak</t>
        </is>
      </c>
      <c r="F132" s="15" t="inlineStr">
        <is>
          <t>Iowa Proposal to Rein in Property Taxes Misses the Mark</t>
        </is>
      </c>
      <c r="G132" s="4" t="inlineStr">
        <is>
          <t>Jan. 19, 2023</t>
        </is>
      </c>
      <c r="H132" s="4" t="inlineStr">
        <is>
          <t>2023-01-19</t>
        </is>
      </c>
      <c r="I132" s="4" t="inlineStr">
        <is>
          <t>Argues HF 1's assessment limit follows California's Proposition 13 and would shift costs to newer, younger homeowners; recommends a county-level levy limit requiring voter approval for collections to grow above a set amount, with New York and Massachusetts as models.</t>
        </is>
      </c>
      <c r="J132" s="4" t="inlineStr">
        <is>
          <t>Free-market analyses column</t>
        </is>
      </c>
      <c r="K132" s="4" t="inlineStr">
        <is>
          <t>https://taxfoundation.org/blog/iowa-property-tax-reform/</t>
        </is>
      </c>
    </row>
    <row r="133" ht="34" customHeight="1">
      <c r="A133" s="13" t="inlineStr">
        <is>
          <t>Kansas</t>
        </is>
      </c>
      <c r="B133" s="4" t="inlineStr">
        <is>
          <t>Analysis</t>
        </is>
      </c>
      <c r="C133" s="4" t="inlineStr">
        <is>
          <t>State group</t>
        </is>
      </c>
      <c r="D133" s="4" t="inlineStr">
        <is>
          <t>Kansas Policy Institute</t>
        </is>
      </c>
      <c r="E133" s="4" t="n"/>
      <c r="F133" s="15" t="inlineStr">
        <is>
          <t>Cities and counties have more than $6 billion in cash reserves, including $1.8 billion tucked away in non-budgeted funds</t>
        </is>
      </c>
      <c r="G133" s="4" t="inlineStr">
        <is>
          <t>Sept. 23, 2026</t>
        </is>
      </c>
      <c r="H133" s="4" t="inlineStr">
        <is>
          <t>2026-09-23</t>
        </is>
      </c>
      <c r="I133" s="4" t="inlineStr">
        <is>
          <t>Counties and Class A cities held 73% of a year's spending in reserve at the start of 2024, a little more than twice the 36% school-district average, which it ties to excessive property taxation.</t>
        </is>
      </c>
      <c r="J133" s="4" t="inlineStr">
        <is>
          <t>Free-market analyses column</t>
        </is>
      </c>
      <c r="K133" s="4" t="inlineStr">
        <is>
          <t>https://kansaspolicy.org/6-billion-cash-reserves-1-8-billion-non-budgeted/</t>
        </is>
      </c>
    </row>
    <row r="134" ht="64" customHeight="1">
      <c r="A134" s="13" t="inlineStr">
        <is>
          <t>Kansas</t>
        </is>
      </c>
      <c r="B134" s="4" t="inlineStr">
        <is>
          <t>Analysis</t>
        </is>
      </c>
      <c r="C134" s="4" t="inlineStr">
        <is>
          <t>State group</t>
        </is>
      </c>
      <c r="D134" s="4" t="inlineStr">
        <is>
          <t>Kansas Policy Institute</t>
        </is>
      </c>
      <c r="E134" s="4" t="inlineStr">
        <is>
          <t>Dave Trabert</t>
        </is>
      </c>
      <c r="F134" s="15" t="inlineStr">
        <is>
          <t>Examining the issues and options for property tax relief in Kansas</t>
        </is>
      </c>
      <c r="G134" s="4" t="inlineStr">
        <is>
          <t>policy paper, Sept. 1, 2026</t>
        </is>
      </c>
      <c r="H134" s="4" t="inlineStr">
        <is>
          <t>2026-09-01</t>
        </is>
      </c>
      <c r="I134" s="4" t="inlineStr">
        <is>
          <t>Full paper on the forces driving Kansas property tax increases and why none of the limit options became law in 2026; finds Kansas ag land's taxable value rose 89% from 2012 to 2024 while Oklahoma's 5% assessment limit held it to 9%, so Kansas ag property taxes rose 91% against 17% in Oklahoma. Says "the property appraisal and appeal system needs a complete overhaul."</t>
        </is>
      </c>
      <c r="J134" s="4" t="inlineStr">
        <is>
          <t>Free-market analyses column</t>
        </is>
      </c>
      <c r="K134" s="4" t="inlineStr">
        <is>
          <t>https://kansaspolicy.org/examining-issues-options-property-tax-relief/</t>
        </is>
      </c>
    </row>
    <row r="135" ht="94" customHeight="1">
      <c r="A135" s="13" t="inlineStr">
        <is>
          <t>Kansas</t>
        </is>
      </c>
      <c r="B135" s="4" t="inlineStr">
        <is>
          <t>Analysis</t>
        </is>
      </c>
      <c r="C135" s="4" t="inlineStr">
        <is>
          <t>State group</t>
        </is>
      </c>
      <c r="D135" s="4" t="inlineStr">
        <is>
          <t>Kansas Policy Institute</t>
        </is>
      </c>
      <c r="E135" s="4" t="inlineStr">
        <is>
          <t>Dave Trabert</t>
        </is>
      </c>
      <c r="F135" s="15" t="inlineStr">
        <is>
          <t>Options to eliminate property taxes</t>
        </is>
      </c>
      <c r="G135" s="4" t="inlineStr">
        <is>
          <t>July 16, 2026</t>
        </is>
      </c>
      <c r="H135" s="4" t="inlineStr">
        <is>
          <t>2026-07-16</t>
        </is>
      </c>
      <c r="I135" s="4" t="inlineStr">
        <is>
          <t>Weighs replacing $7 billion in statewide property taxes and warns "Simply increasing one tax to offset the reduction or elimination of another has little impact on the overall tax burden"; replacing $2.9 billion in education property taxes (K-12, community colleges and other schools) would push the state sales tax from 6.5% to 11.9%. Recommends consolidating local services first: Kansas has 1,994 cities, counties and townships averaging 1,493 residents, and staffing at the national average would mean about 37,000 fewer local employees and $2.8 billion in savings.</t>
        </is>
      </c>
      <c r="J135" s="4" t="inlineStr">
        <is>
          <t>Free-market analyses column</t>
        </is>
      </c>
      <c r="K135" s="4" t="inlineStr">
        <is>
          <t>https://kansaspolicy.org/options-to-eliminate-property-taxes/</t>
        </is>
      </c>
    </row>
    <row r="136" ht="34" customHeight="1">
      <c r="A136" s="13" t="inlineStr">
        <is>
          <t>Kansas</t>
        </is>
      </c>
      <c r="B136" s="4" t="inlineStr">
        <is>
          <t>Analysis</t>
        </is>
      </c>
      <c r="C136" s="4" t="inlineStr">
        <is>
          <t>State group</t>
        </is>
      </c>
      <c r="D136" s="4" t="inlineStr">
        <is>
          <t>Kansas Policy Institute</t>
        </is>
      </c>
      <c r="E136" s="4" t="n"/>
      <c r="F136" s="15" t="inlineStr">
        <is>
          <t>Affordability issue #1: Property tax increases far exceed most Kansans' change in personal income</t>
        </is>
      </c>
      <c r="G136" s="4" t="inlineStr">
        <is>
          <t>June 22, 2026</t>
        </is>
      </c>
      <c r="H136" s="4" t="inlineStr">
        <is>
          <t>2026-06-22</t>
        </is>
      </c>
      <c r="I136" s="4" t="inlineStr">
        <is>
          <t>Average taxable home value up 40% over four years and the average property tax bill up 31%, while real per-capita income fell 1%; the gap tops 50 points in 15 counties.</t>
        </is>
      </c>
      <c r="J136" s="4" t="inlineStr">
        <is>
          <t>Free-market analyses column</t>
        </is>
      </c>
      <c r="K136" s="4" t="inlineStr">
        <is>
          <t>https://kansaspolicy.org/affordability-issue-property-tax-increases/</t>
        </is>
      </c>
    </row>
    <row r="137" ht="49" customHeight="1">
      <c r="A137" s="13" t="inlineStr">
        <is>
          <t>Kansas</t>
        </is>
      </c>
      <c r="B137" s="4" t="inlineStr">
        <is>
          <t>Analysis</t>
        </is>
      </c>
      <c r="C137" s="4" t="inlineStr">
        <is>
          <t>Legislators &amp; officials</t>
        </is>
      </c>
      <c r="D137" s="4" t="inlineStr">
        <is>
          <t>Kansas House Speaker Dan Hawkins (R)</t>
        </is>
      </c>
      <c r="E137" s="4" t="inlineStr">
        <is>
          <t>via WIBW</t>
        </is>
      </c>
      <c r="F137" s="15" t="inlineStr">
        <is>
          <t>Gov. Kelly vetoes property tax protest bill, Kansas House Speaker responds</t>
        </is>
      </c>
      <c r="G137" s="4" t="inlineStr">
        <is>
          <t>April 27, 2026</t>
        </is>
      </c>
      <c r="H137" s="4" t="inlineStr">
        <is>
          <t>2026-04-27</t>
        </is>
      </c>
      <c r="I137" s="4" t="inlineStr">
        <is>
          <t>Called the vetoed HB 2043, a 3%-or-inflation cap enforced by protest petition, "a straightforward reform that empowered taxpayers by allowing them to push back when property tax collections grow faster than families can afford."</t>
        </is>
      </c>
      <c r="J137" s="4" t="inlineStr">
        <is>
          <t>Free-market analyses column</t>
        </is>
      </c>
      <c r="K137" s="4" t="inlineStr">
        <is>
          <t>https://www.wibw.com/2026/04/27/gov-kelly-vetoes-property-tax-protest-bill-kansas-house-speaker-responds/</t>
        </is>
      </c>
    </row>
    <row r="138" ht="64" customHeight="1">
      <c r="A138" s="13" t="inlineStr">
        <is>
          <t>Kansas</t>
        </is>
      </c>
      <c r="B138" s="4" t="inlineStr">
        <is>
          <t>Analysis</t>
        </is>
      </c>
      <c r="C138" s="4" t="inlineStr">
        <is>
          <t>National group</t>
        </is>
      </c>
      <c r="D138" s="4" t="inlineStr">
        <is>
          <t>Tax Foundation</t>
        </is>
      </c>
      <c r="E138" s="4" t="inlineStr">
        <is>
          <t>Katherine Loughead</t>
        </is>
      </c>
      <c r="F138" s="15" t="inlineStr">
        <is>
          <t>Kansas Property Tax Reform Should Prioritize Neutrality and Minimize Economic Distortions</t>
        </is>
      </c>
      <c r="G138" s="4" t="inlineStr">
        <is>
          <t>March 18, 2026</t>
        </is>
      </c>
      <c r="H138" s="4" t="inlineStr">
        <is>
          <t>2026-03-18</t>
        </is>
      </c>
      <c r="I138" s="4" t="inlineStr">
        <is>
          <t>Argues SCR 1616's 3% assessment limit would open wide gaps between assessed and market value and disadvantage buyers of newer homes; calls HB 2745's 3% levy limit the sounder structure, but more permissive than many states' limits because it exempts schools and a budget over the limit takes effect unless 5% of voters sign a protest petition within 30 days.</t>
        </is>
      </c>
      <c r="J138" s="4" t="inlineStr">
        <is>
          <t>Free-market analyses column</t>
        </is>
      </c>
      <c r="K138" s="4" t="inlineStr">
        <is>
          <t>https://taxfoundation.org/blog/kansas-property-tax-reform/</t>
        </is>
      </c>
    </row>
    <row r="139" ht="64" customHeight="1">
      <c r="A139" s="13" t="inlineStr">
        <is>
          <t>Kansas</t>
        </is>
      </c>
      <c r="B139" s="4" t="inlineStr">
        <is>
          <t>Analysis</t>
        </is>
      </c>
      <c r="C139" s="4" t="inlineStr">
        <is>
          <t>State group</t>
        </is>
      </c>
      <c r="D139" s="4" t="inlineStr">
        <is>
          <t>Kansas Policy Institute</t>
        </is>
      </c>
      <c r="E139" s="4" t="n"/>
      <c r="F139" s="15" t="inlineStr">
        <is>
          <t>National group praises Kansas revenue-neutral system, says more must be done</t>
        </is>
      </c>
      <c r="G139" s="4" t="inlineStr">
        <is>
          <t>Feb. 25, 2026</t>
        </is>
      </c>
      <c r="H139" s="4" t="inlineStr">
        <is>
          <t>2026-02-25</t>
        </is>
      </c>
      <c r="I139" s="4" t="inlineStr">
        <is>
          <t>Reports that ALEC calls the Kansas revenue-neutral truth-in-taxation system "the gold standard of state property tax transparency" and has adopted it as model policy; ALEC president Jonathan Williams says 62% of Kansas taxing authorities did not increase property taxes in 2024 and blames "local government overspending."</t>
        </is>
      </c>
      <c r="J139" s="4" t="inlineStr">
        <is>
          <t>Free-market analyses column</t>
        </is>
      </c>
      <c r="K139" s="4" t="inlineStr">
        <is>
          <t>https://kansaspolicy.org/alec-praises-revenue-neutral-says-more-is-needed/</t>
        </is>
      </c>
    </row>
    <row r="140" ht="79" customHeight="1">
      <c r="A140" s="13" t="inlineStr">
        <is>
          <t>Kansas</t>
        </is>
      </c>
      <c r="B140" s="4" t="inlineStr">
        <is>
          <t>Analysis</t>
        </is>
      </c>
      <c r="C140" s="4" t="inlineStr">
        <is>
          <t>State group</t>
        </is>
      </c>
      <c r="D140" s="4" t="inlineStr">
        <is>
          <t>Kansas Policy Institute</t>
        </is>
      </c>
      <c r="E140" s="4" t="inlineStr">
        <is>
          <t>Dave Trabert</t>
        </is>
      </c>
      <c r="F140" s="15" t="inlineStr">
        <is>
          <t>Revenue-neutral law is helping; additional property tax reform is needed</t>
        </is>
      </c>
      <c r="G140" s="4" t="inlineStr">
        <is>
          <t>Sept. 2, 2025</t>
        </is>
      </c>
      <c r="H140" s="4" t="inlineStr">
        <is>
          <t>2025-09-02</t>
        </is>
      </c>
      <c r="I140" s="4" t="inlineStr">
        <is>
          <t>Nearly two-thirds of taxing entities (62%) held the revenue-neutral rate under the 2021 law, up from more than 50% in its first year, while average appraised home values rose more than 30% in three years; Wyandotte County raised residential property taxes 42% and Linn County 45%. Backs a fixed annual cap on taxable assessed value across real estate classes and lists voter approval at an August election for increases above the lesser of inflation or 4% among options.</t>
        </is>
      </c>
      <c r="J140" s="4" t="inlineStr">
        <is>
          <t>Free-market analyses column</t>
        </is>
      </c>
      <c r="K140" s="4" t="inlineStr">
        <is>
          <t>https://kansaspolicy.org/revenue-neutral-helps-more-tax-reform-needed/</t>
        </is>
      </c>
    </row>
    <row r="141" ht="49" customHeight="1">
      <c r="A141" s="13" t="inlineStr">
        <is>
          <t>Kansas</t>
        </is>
      </c>
      <c r="B141" s="4" t="inlineStr">
        <is>
          <t>Analysis</t>
        </is>
      </c>
      <c r="C141" s="4" t="inlineStr">
        <is>
          <t>State group</t>
        </is>
      </c>
      <c r="D141" s="4" t="inlineStr">
        <is>
          <t>Americans for Prosperity-Kansas</t>
        </is>
      </c>
      <c r="E141" s="4" t="n"/>
      <c r="F141" s="15" t="inlineStr">
        <is>
          <t>Americans for Prosperity-Kansas Issues Statement on School Bond Property Tax Vote</t>
        </is>
      </c>
      <c r="G141" s="4" t="inlineStr">
        <is>
          <t>Feb. 25, 2025</t>
        </is>
      </c>
      <c r="H141" s="4" t="inlineStr">
        <is>
          <t>2025-02-25</t>
        </is>
      </c>
      <c r="I141" s="4" t="inlineStr">
        <is>
          <t>AFP-KS used mail, digital ads and its grassroots base to oppose the Wichita USD 259 school bond, which voters rejected; State Director Elizabeth Patton said families should not face "unaffordable property tax hikes" and called for budget accountability and property tax reform.</t>
        </is>
      </c>
      <c r="J141" s="4" t="inlineStr">
        <is>
          <t>Free-market analyses column</t>
        </is>
      </c>
      <c r="K141" s="4" t="inlineStr">
        <is>
          <t>https://americansforprosperity.org/press-release/americans-for-prosperity-kansas-issues-statement-on-school-bond-property-tax-vote/</t>
        </is>
      </c>
    </row>
    <row r="142" ht="64" customHeight="1">
      <c r="A142" s="13" t="inlineStr">
        <is>
          <t>Kentucky</t>
        </is>
      </c>
      <c r="B142" s="4" t="inlineStr">
        <is>
          <t>Analysis</t>
        </is>
      </c>
      <c r="C142" s="4" t="inlineStr">
        <is>
          <t>Legislators &amp; officials</t>
        </is>
      </c>
      <c r="D142" s="4" t="inlineStr">
        <is>
          <t>Kentucky Senate Majority (Republican) Communications</t>
        </is>
      </c>
      <c r="E142" s="4" t="n"/>
      <c r="F142" s="15" t="inlineStr">
        <is>
          <t>Boswell bill strengthening taxpayer protections passes Senate</t>
        </is>
      </c>
      <c r="G142" s="4" t="inlineStr">
        <is>
          <t>March 11, 2026</t>
        </is>
      </c>
      <c r="H142" s="4" t="inlineStr">
        <is>
          <t>2026-03-11</t>
        </is>
      </c>
      <c r="I142" s="4" t="inlineStr">
        <is>
          <t>SB 41 by Sen. Gary Boswell would put most local tax increases above 4% over compensating-rate revenue to a recall vote, with the lower compensating rate taking effect automatically if voters reject the increase; Boswell: "Taxpayers deserve a meaningful voice when government proposes significant increases in property taxes."</t>
        </is>
      </c>
      <c r="J142" s="4" t="inlineStr">
        <is>
          <t>Free-market analyses column</t>
        </is>
      </c>
      <c r="K142" s="4" t="inlineStr">
        <is>
          <t>https://kysenaterepublicans.com/press-releases/2026/4/8/boswell-bill-strengthening-taxpayer-protections-passes-senate</t>
        </is>
      </c>
    </row>
    <row r="143" ht="94" customHeight="1">
      <c r="A143" s="13" t="inlineStr">
        <is>
          <t>Kentucky</t>
        </is>
      </c>
      <c r="B143" s="4" t="inlineStr">
        <is>
          <t>Analysis</t>
        </is>
      </c>
      <c r="C143" s="4" t="inlineStr">
        <is>
          <t>State group</t>
        </is>
      </c>
      <c r="D143" s="4" t="inlineStr">
        <is>
          <t>Bluegrass Institute</t>
        </is>
      </c>
      <c r="E143" s="4" t="inlineStr">
        <is>
          <t>Levi Anderson and Caleb O. Brown</t>
        </is>
      </c>
      <c r="F143" s="15" t="inlineStr">
        <is>
          <t>KY's flawed property tax system allows silent increases</t>
        </is>
      </c>
      <c r="G143" s="4" t="inlineStr">
        <is>
          <t>January 26, 2026</t>
        </is>
      </c>
      <c r="H143" s="4" t="inlineStr">
        <is>
          <t>2026-01-26</t>
        </is>
      </c>
      <c r="I143" s="4" t="inlineStr">
        <is>
          <t>Rising assessments (at least 30% in reassessed Louisville neighborhoods; six straight years above 5% in Daviess County) let taxing bodies collect more without raising rates, as in Shelby County, and state law lets local governments raise revenue up to 4% a year without voter involvement, which compounds to a nearly 22% hike over five years. Urges Utah-style truth in taxation, where a certified rate holds revenue flat and any increase comes only after public notice, and asks lawmakers to eliminate the automatic 4% allowance.</t>
        </is>
      </c>
      <c r="J143" s="4" t="inlineStr">
        <is>
          <t>Free-market analyses column</t>
        </is>
      </c>
      <c r="K143" s="4" t="inlineStr">
        <is>
          <t>https://www.bluegrassinstitute.org/kys-flawed-property-tax-system-allows-silent-increases/</t>
        </is>
      </c>
    </row>
    <row r="144" ht="64" customHeight="1">
      <c r="A144" s="13" t="inlineStr">
        <is>
          <t>Kentucky</t>
        </is>
      </c>
      <c r="B144" s="4" t="inlineStr">
        <is>
          <t>Analysis</t>
        </is>
      </c>
      <c r="C144" s="4" t="inlineStr">
        <is>
          <t>National group</t>
        </is>
      </c>
      <c r="D144" s="4" t="inlineStr">
        <is>
          <t>Tax Foundation</t>
        </is>
      </c>
      <c r="E144" s="4" t="n"/>
      <c r="F144" s="15" t="inlineStr">
        <is>
          <t>Aligning Kentucky's Tax Code for Growth</t>
        </is>
      </c>
      <c r="G144" s="4" t="inlineStr">
        <is>
          <t>November 30, 2021</t>
        </is>
      </c>
      <c r="H144" s="4" t="inlineStr">
        <is>
          <t>2021-11-30</t>
        </is>
      </c>
      <c r="I144" s="4" t="inlineStr">
        <is>
          <t>Finds Kentucky's real property tax collections modest "due in large part to rate and levy limits that have been in place for decades," while taxes on inventory, machinery and equipment add complexity and distortion. Recommends repealing the inventory tax, a de minimis exemption for tangible personal property and replacing the local recall provision with voter ratification of increases above the cap.</t>
        </is>
      </c>
      <c r="J144" s="4" t="inlineStr">
        <is>
          <t>Free-market analyses column</t>
        </is>
      </c>
      <c r="K144" s="4" t="inlineStr">
        <is>
          <t>https://taxfoundation.org/research/all/state/kentucky-tax-reform/</t>
        </is>
      </c>
    </row>
    <row r="145" ht="30" customHeight="1">
      <c r="A145" s="13" t="inlineStr">
        <is>
          <t>Kentucky</t>
        </is>
      </c>
      <c r="B145" s="4" t="inlineStr">
        <is>
          <t>Checked: no report since 2021</t>
        </is>
      </c>
      <c r="C145" s="4" t="inlineStr">
        <is>
          <t>State group</t>
        </is>
      </c>
      <c r="D145" s="4" t="inlineStr">
        <is>
          <t>KYFREE</t>
        </is>
      </c>
      <c r="E145" s="4" t="n"/>
      <c r="F145" s="4" t="inlineStr">
        <is>
          <t>(no report found)</t>
        </is>
      </c>
      <c r="G145" s="4" t="n"/>
      <c r="H145" s="4" t="n"/>
      <c r="I145" s="4" t="inlineStr">
        <is>
          <t>KYFREE (State Policy Network associate): no property tax report since 2021 was found.</t>
        </is>
      </c>
      <c r="J145" s="4" t="inlineStr">
        <is>
          <t>Free-market analyses column</t>
        </is>
      </c>
      <c r="K145" s="4" t="n"/>
    </row>
    <row r="146" ht="94" customHeight="1">
      <c r="A146" s="13" t="inlineStr">
        <is>
          <t>Louisiana</t>
        </is>
      </c>
      <c r="B146" s="4" t="inlineStr">
        <is>
          <t>Analysis</t>
        </is>
      </c>
      <c r="C146" s="4" t="inlineStr">
        <is>
          <t>State group</t>
        </is>
      </c>
      <c r="D146" s="4" t="inlineStr">
        <is>
          <t>Pelican Institute</t>
        </is>
      </c>
      <c r="E146" s="4" t="n"/>
      <c r="F146" s="15" t="inlineStr">
        <is>
          <t>Pelican Institute's Guide to the Fall 2026 Constitutional Amendments</t>
        </is>
      </c>
      <c r="G146" s="4" t="inlineStr">
        <is>
          <t>September 23, 2026</t>
        </is>
      </c>
      <c r="H146" s="4" t="inlineStr">
        <is>
          <t>2026-09-23</t>
        </is>
      </c>
      <c r="I146" s="4" t="inlineStr">
        <is>
          <t>Backs Amendment 2 on the Nov. 3 ballot, which lets local taxing authorities return to their voter-approved maximum millage after voluntarily lowering it, because the current roll-forward tied to the four-year reappraisal cycle pushes them to tax at the maximum "for the sake of not losing the ability to do so later on." Opposes the property tax carve-outs (Amendments 1, 6, 9 and 10, including raising the senior and disabled assessment-freeze income limit from $100,000 to $150,000), saying targeted exemptions narrow the base and shift the burden to everyone else.</t>
        </is>
      </c>
      <c r="J146" s="4" t="inlineStr">
        <is>
          <t>Free-market analyses column</t>
        </is>
      </c>
      <c r="K146" s="4" t="inlineStr">
        <is>
          <t>https://pelicanpolicy.org/local-government/fall2026constitutionalamendments/</t>
        </is>
      </c>
    </row>
    <row r="147" ht="79" customHeight="1">
      <c r="A147" s="13" t="inlineStr">
        <is>
          <t>Louisiana</t>
        </is>
      </c>
      <c r="B147" s="4" t="inlineStr">
        <is>
          <t>Analysis</t>
        </is>
      </c>
      <c r="C147" s="4" t="inlineStr">
        <is>
          <t>State group</t>
        </is>
      </c>
      <c r="D147" s="4" t="inlineStr">
        <is>
          <t>Pelican Institute</t>
        </is>
      </c>
      <c r="E147" s="4" t="n"/>
      <c r="F147" s="15" t="inlineStr">
        <is>
          <t>YES on Constitutional Amendment 4: Begin to End the Inventory Tax</t>
        </is>
      </c>
      <c r="G147" s="4" t="inlineStr">
        <is>
          <t>March 30, 2026</t>
        </is>
      </c>
      <c r="H147" s="4" t="inlineStr">
        <is>
          <t>2026-03-30</t>
        </is>
      </c>
      <c r="I147" s="4" t="inlineStr">
        <is>
          <t>Louisiana is one of the few states that taxes business inventory as property, so the tax grows with expansion regardless of profit; the state's inventory tax credit, offered for 35 years, shifts the cost to the state budget and is "essentially a state taxpayer subsidy to local government in the most expensive way possible." Urged letting parishes reduce or exempt inventory; voters rejected the amendment on May 16, 2026.</t>
        </is>
      </c>
      <c r="J147" s="4" t="inlineStr">
        <is>
          <t>Free-market analyses column</t>
        </is>
      </c>
      <c r="K147" s="4" t="inlineStr">
        <is>
          <t>https://pelicanpolicy.org/local-government/amendment4/</t>
        </is>
      </c>
    </row>
    <row r="148" ht="49" customHeight="1">
      <c r="A148" s="13" t="inlineStr">
        <is>
          <t>Louisiana</t>
        </is>
      </c>
      <c r="B148" s="4" t="inlineStr">
        <is>
          <t>Analysis</t>
        </is>
      </c>
      <c r="C148" s="4" t="inlineStr">
        <is>
          <t>State group</t>
        </is>
      </c>
      <c r="D148" s="4" t="inlineStr">
        <is>
          <t>Pelican Institute</t>
        </is>
      </c>
      <c r="E148" s="4" t="n"/>
      <c r="F148" s="15" t="inlineStr">
        <is>
          <t>Fiscal Discipline: The Key to Lasting Tax Relief in Louisiana</t>
        </is>
      </c>
      <c r="G148" s="4" t="inlineStr">
        <is>
          <t>January 8, 2026</t>
        </is>
      </c>
      <c r="H148" s="4" t="inlineStr">
        <is>
          <t>2026-01-08</t>
        </is>
      </c>
      <c r="I148" s="4" t="inlineStr">
        <is>
          <t>Calls for a government growth limit tying state spending to population and inflation so tax relief lasts, along with ending the personal income tax and giving parishes the option to exempt business inventory from property tax.</t>
        </is>
      </c>
      <c r="J148" s="4" t="inlineStr">
        <is>
          <t>Free-market analyses column</t>
        </is>
      </c>
      <c r="K148" s="4" t="inlineStr">
        <is>
          <t>https://pelicanpolicy.org/tax-budget/fiscal-discipline-the-key-to-lasting-tax-relief-in-louisiana/</t>
        </is>
      </c>
    </row>
    <row r="149" ht="49" customHeight="1">
      <c r="A149" s="13" t="inlineStr">
        <is>
          <t>Louisiana</t>
        </is>
      </c>
      <c r="B149" s="4" t="inlineStr">
        <is>
          <t>Analysis</t>
        </is>
      </c>
      <c r="C149" s="4" t="inlineStr">
        <is>
          <t>State group</t>
        </is>
      </c>
      <c r="D149" s="4" t="inlineStr">
        <is>
          <t>Pelican Institute</t>
        </is>
      </c>
      <c r="E149" s="4" t="n"/>
      <c r="F149" s="15" t="inlineStr">
        <is>
          <t>Proposed Constitutional Amendment 2: Driving Greater Economic Prosperity for Louisiana</t>
        </is>
      </c>
      <c r="G149" s="4" t="inlineStr">
        <is>
          <t>March 25, 2025</t>
        </is>
      </c>
      <c r="H149" s="4" t="inlineStr">
        <is>
          <t>2025-03-25</t>
        </is>
      </c>
      <c r="I149" s="4" t="inlineStr">
        <is>
          <t>Backed the 2025 fiscal overhaul, which would have let local governments opt out of taxing business inventory if the sheriff, school board and parish authority agree, kept the homestead exemption and barred property tax on prescription drugs; voters rejected it March 29, 2025.</t>
        </is>
      </c>
      <c r="J149" s="4" t="inlineStr">
        <is>
          <t>Free-market analyses column</t>
        </is>
      </c>
      <c r="K149" s="4" t="inlineStr">
        <is>
          <t>https://pelicanpolicy.org/tax-budget/proposed-constitutional-amendment-2-driving-greater-economic-prosperity-for-louisiana/</t>
        </is>
      </c>
    </row>
    <row r="150" ht="64" customHeight="1">
      <c r="A150" s="13" t="inlineStr">
        <is>
          <t>Louisiana</t>
        </is>
      </c>
      <c r="B150" s="4" t="inlineStr">
        <is>
          <t>Analysis</t>
        </is>
      </c>
      <c r="C150" s="4" t="inlineStr">
        <is>
          <t>National group</t>
        </is>
      </c>
      <c r="D150" s="4" t="inlineStr">
        <is>
          <t>Tax Foundation</t>
        </is>
      </c>
      <c r="E150" s="4" t="inlineStr">
        <is>
          <t>Manish Bhatt</t>
        </is>
      </c>
      <c r="F150" s="15" t="inlineStr">
        <is>
          <t>Louisiana Considers Eliminating Corporate Franchise and Inventory Taxes</t>
        </is>
      </c>
      <c r="G150" s="4" t="inlineStr">
        <is>
          <t>May 25, 2023</t>
        </is>
      </c>
      <c r="H150" s="4" t="inlineStr">
        <is>
          <t>2023-05-25</t>
        </is>
      </c>
      <c r="I150" s="4" t="inlineStr">
        <is>
          <t>Calls inventory taxes "highly distortionary" and finds that phasing out the inventory tax would lift Louisiana's property tax ranking on the State Business Tax Climate Index from 23rd to 12th, and from 23rd to 4th combined with franchise tax repeal; repeal is "far better than relying on an offset like the ITEP."</t>
        </is>
      </c>
      <c r="J150" s="4" t="inlineStr">
        <is>
          <t>Free-market analyses column</t>
        </is>
      </c>
      <c r="K150" s="4" t="inlineStr">
        <is>
          <t>https://taxfoundation.org/blog/louisiana-franchise-tax-reform/</t>
        </is>
      </c>
    </row>
    <row r="151" ht="64" customHeight="1">
      <c r="A151" s="13" t="inlineStr">
        <is>
          <t>Louisiana</t>
        </is>
      </c>
      <c r="B151" s="4" t="inlineStr">
        <is>
          <t>Analysis</t>
        </is>
      </c>
      <c r="C151" s="4" t="inlineStr">
        <is>
          <t>State group</t>
        </is>
      </c>
      <c r="D151" s="4" t="inlineStr">
        <is>
          <t>Pelican Institute</t>
        </is>
      </c>
      <c r="E151" s="4" t="n"/>
      <c r="F151" s="15" t="inlineStr">
        <is>
          <t>Bringing Home the Bacon: The Relationship Between State and Local Government</t>
        </is>
      </c>
      <c r="G151" s="4" t="inlineStr">
        <is>
          <t>March 22, 2023</t>
        </is>
      </c>
      <c r="H151" s="4" t="inlineStr">
        <is>
          <t>2023-03-22</t>
        </is>
      </c>
      <c r="I151" s="4" t="inlineStr">
        <is>
          <t>The state spends billions a year on local functions, including $90 million in constitutionally required revenue sharing distributed by number of homestead exemptions and over $4 billion through the school funding formula; these transfers take about 38% of the state general fund available for appropriation. Urges shifting the burden back to local governments so taxpayers can weigh in where the money is spent.</t>
        </is>
      </c>
      <c r="J151" s="4" t="inlineStr">
        <is>
          <t>Free-market analyses column</t>
        </is>
      </c>
      <c r="K151" s="4" t="inlineStr">
        <is>
          <t>https://pelicanpolicy.org/tax-budget/bringing-home-the-bacon-the-relationship-between-state-and-local-government/</t>
        </is>
      </c>
    </row>
    <row r="152" ht="49" customHeight="1">
      <c r="A152" s="13" t="inlineStr">
        <is>
          <t>Louisiana</t>
        </is>
      </c>
      <c r="B152" s="4" t="inlineStr">
        <is>
          <t>Cited elsewhere in the matrix</t>
        </is>
      </c>
      <c r="C152" s="4" t="inlineStr">
        <is>
          <t>National group</t>
        </is>
      </c>
      <c r="D152" s="4" t="inlineStr">
        <is>
          <t>Tax Foundation</t>
        </is>
      </c>
      <c r="E152" s="4" t="n"/>
      <c r="F152" s="15" t="inlineStr">
        <is>
          <t>State Tax Ballot Measures to Watch in 2026</t>
        </is>
      </c>
      <c r="G152" s="4" t="inlineStr">
        <is>
          <t>Oct. 7, 2026</t>
        </is>
      </c>
      <c r="H152" s="4" t="inlineStr">
        <is>
          <t>2026-10-07</t>
        </is>
      </c>
      <c r="I152" s="4" t="inlineStr">
        <is>
          <t>The $75,000 homestead exemption, the 10% residential ratio, the reassessment rollback and voter-approved, time-limited millages keep homestead taxes low (Tax Foundation ranks Louisiana's property tax 22nd), but roll-forwards and new millages keep pushing bills up.</t>
        </is>
      </c>
      <c r="J152" s="4" t="inlineStr">
        <is>
          <t>Source URLs and Loopholes &amp; has it worked?</t>
        </is>
      </c>
      <c r="K152" s="4" t="inlineStr">
        <is>
          <t>https://taxfoundation.org/research/state-tax/2026-state-tax-ballot-measures/</t>
        </is>
      </c>
    </row>
    <row r="153" ht="30" customHeight="1">
      <c r="A153" s="13" t="inlineStr">
        <is>
          <t>Louisiana</t>
        </is>
      </c>
      <c r="B153" s="4" t="inlineStr">
        <is>
          <t>Checked: no report since 2021</t>
        </is>
      </c>
      <c r="C153" s="4" t="inlineStr">
        <is>
          <t>State group</t>
        </is>
      </c>
      <c r="D153" s="4" t="inlineStr">
        <is>
          <t>Louisiana Family Forum</t>
        </is>
      </c>
      <c r="E153" s="4" t="n"/>
      <c r="F153" s="4" t="inlineStr">
        <is>
          <t>(no report found)</t>
        </is>
      </c>
      <c r="G153" s="4" t="n"/>
      <c r="H153" s="4" t="n"/>
      <c r="I153" s="4" t="inlineStr">
        <is>
          <t>Louisiana Family Forum (State Policy Network associate): no property tax report since 2021 was found.</t>
        </is>
      </c>
      <c r="J153" s="4" t="inlineStr">
        <is>
          <t>Free-market analyses column</t>
        </is>
      </c>
      <c r="K153" s="4" t="n"/>
    </row>
    <row r="154" ht="64" customHeight="1">
      <c r="A154" s="13" t="inlineStr">
        <is>
          <t>Maine</t>
        </is>
      </c>
      <c r="B154" s="4" t="inlineStr">
        <is>
          <t>Analysis</t>
        </is>
      </c>
      <c r="C154" s="4" t="inlineStr">
        <is>
          <t>Legislators &amp; officials</t>
        </is>
      </c>
      <c r="D154" s="4" t="inlineStr">
        <is>
          <t>Maine Senate Republicans</t>
        </is>
      </c>
      <c r="E154" s="4" t="inlineStr">
        <is>
          <t>Sen. Bruce Bickford</t>
        </is>
      </c>
      <c r="F154" s="15" t="inlineStr">
        <is>
          <t>Maine can’t become more affordable by taking more from taxpayers</t>
        </is>
      </c>
      <c r="G154" s="4" t="inlineStr">
        <is>
          <t>Sept. 11, 2026</t>
        </is>
      </c>
      <c r="H154" s="4" t="inlineStr">
        <is>
          <t>2026-09-11</t>
        </is>
      </c>
      <c r="I154" s="4" t="inlineStr">
        <is>
          <t>The state budget topped $12 billion, 40% more than five years ago, and property taxes are "out of control despite record payments being sent to municipalities" through revenue sharing; a bipartisan bill raising the homestead exemption from $25,000 to $50,000 won unanimous support in both chambers but was not funded and died at adjournment.</t>
        </is>
      </c>
      <c r="J154" s="4" t="inlineStr">
        <is>
          <t>Free-market analyses column</t>
        </is>
      </c>
      <c r="K154" s="4" t="inlineStr">
        <is>
          <t>https://mesenategop.com/2026/09/11/maine-cant-become-more-affordable-by-taking-more-from-taxpayers/</t>
        </is>
      </c>
    </row>
    <row r="155" ht="79" customHeight="1">
      <c r="A155" s="13" t="inlineStr">
        <is>
          <t>Maine</t>
        </is>
      </c>
      <c r="B155" s="4" t="inlineStr">
        <is>
          <t>Analysis</t>
        </is>
      </c>
      <c r="C155" s="4" t="inlineStr">
        <is>
          <t>State group</t>
        </is>
      </c>
      <c r="D155" s="4" t="inlineStr">
        <is>
          <t>Maine Policy Institute</t>
        </is>
      </c>
      <c r="E155" s="4" t="inlineStr">
        <is>
          <t>Montana Towers</t>
        </is>
      </c>
      <c r="F155" s="15" t="inlineStr">
        <is>
          <t>Maine's Teacher Salary Mandate Comes at Taxpayers' Expense</t>
        </is>
      </c>
      <c r="G155" s="4" t="inlineStr">
        <is>
          <t>Aug. 28, 2026</t>
        </is>
      </c>
      <c r="H155" s="4" t="inlineStr">
        <is>
          <t>2026-08-28</t>
        </is>
      </c>
      <c r="I155" s="4" t="inlineStr">
        <is>
          <t>The 2026 supplemental budget's statewide teacher minimum salary ($45,000 in 2027-28, rising to $50,000 in 2029-30) lands on a property tax burden ranked fifth in the nation, with about 68% of property taxes going to education (Maine Municipal Association, 2016) and $1.29 billion, almost all from property taxes, to be raised locally for schools in 2026-27. Argues any additional state aid should come with spending restraint and safeguards ensuring it lowers local property tax commitments.</t>
        </is>
      </c>
      <c r="J155" s="4" t="inlineStr">
        <is>
          <t>Free-market analyses column</t>
        </is>
      </c>
      <c r="K155" s="4" t="inlineStr">
        <is>
          <t>https://mainepolicy.org/maine-teacher-salary-mandate/</t>
        </is>
      </c>
    </row>
    <row r="156" ht="49" customHeight="1">
      <c r="A156" s="13" t="inlineStr">
        <is>
          <t>Maine</t>
        </is>
      </c>
      <c r="B156" s="4" t="inlineStr">
        <is>
          <t>Analysis</t>
        </is>
      </c>
      <c r="C156" s="4" t="inlineStr">
        <is>
          <t>State group</t>
        </is>
      </c>
      <c r="D156" s="4" t="inlineStr">
        <is>
          <t>Maine Policy Institute</t>
        </is>
      </c>
      <c r="E156" s="4" t="inlineStr">
        <is>
          <t>Harris Van Pate</t>
        </is>
      </c>
      <c r="F156" s="15" t="inlineStr">
        <is>
          <t>The Good, Bad, and Ugly of 2nd Session Bill Requests</t>
        </is>
      </c>
      <c r="G156" s="4" t="inlineStr">
        <is>
          <t>Oct. 27, 2025</t>
        </is>
      </c>
      <c r="H156" s="4" t="inlineStr">
        <is>
          <t>2025-10-27</t>
        </is>
      </c>
      <c r="I156" s="4" t="inlineStr">
        <is>
          <t>Backed LR 2740 to reestablish levy limits for large towns as guardrails on the growth of local government, which the Legislative Council rejected 4-6; opposed tripling the homestead exemption (rejected 1-9) as shifting property taxes from one household to the next.</t>
        </is>
      </c>
      <c r="J156" s="4" t="inlineStr">
        <is>
          <t>Free-market analyses column</t>
        </is>
      </c>
      <c r="K156" s="4" t="inlineStr">
        <is>
          <t>https://mainepolicy.org/the-good-bad-and-ugly-of-2nd-session-bill-requests/</t>
        </is>
      </c>
    </row>
    <row r="157" ht="49" customHeight="1">
      <c r="A157" s="13" t="inlineStr">
        <is>
          <t>Maine</t>
        </is>
      </c>
      <c r="B157" s="4" t="inlineStr">
        <is>
          <t>Analysis</t>
        </is>
      </c>
      <c r="C157" s="4" t="inlineStr">
        <is>
          <t>State group</t>
        </is>
      </c>
      <c r="D157" s="4" t="inlineStr">
        <is>
          <t>Maine Policy Institute</t>
        </is>
      </c>
      <c r="E157" s="4" t="inlineStr">
        <is>
          <t>Harris Van Pate</t>
        </is>
      </c>
      <c r="F157" s="15" t="inlineStr">
        <is>
          <t>Testimony in Support of LD 542: “An Act Regarding Municipal Property Tax Levy Limits”</t>
        </is>
      </c>
      <c r="G157" s="4" t="inlineStr">
        <is>
          <t>March 17, 2025</t>
        </is>
      </c>
      <c r="H157" s="4" t="inlineStr">
        <is>
          <t>2025-03-17</t>
        </is>
      </c>
      <c r="I157" s="4" t="inlineStr">
        <is>
          <t>Maine's property tax burden is among the highest in the nation; repealing the LD 1 levy limit in 2024 "removed an essential safeguard, allowing local budgets to grow at unsustainable rates," a problem worsened by municipal revenue sharing policies; urges restoring the limit. The bill died in May 2025.</t>
        </is>
      </c>
      <c r="J157" s="4" t="inlineStr">
        <is>
          <t>Free-market analyses column</t>
        </is>
      </c>
      <c r="K157" s="4" t="inlineStr">
        <is>
          <t>https://legislature.maine.gov/testimony/resources/SLG20250317Van%20Pate133864749170285597.pdf</t>
        </is>
      </c>
    </row>
    <row r="158" ht="49" customHeight="1">
      <c r="A158" s="13" t="inlineStr">
        <is>
          <t>Maine</t>
        </is>
      </c>
      <c r="B158" s="4" t="inlineStr">
        <is>
          <t>Analysis</t>
        </is>
      </c>
      <c r="C158" s="4" t="inlineStr">
        <is>
          <t>Legislators &amp; officials</t>
        </is>
      </c>
      <c r="D158" s="4" t="inlineStr">
        <is>
          <t>Maine Senate Republicans</t>
        </is>
      </c>
      <c r="E158" s="4" t="inlineStr">
        <is>
          <t>Rep. David Haggan</t>
        </is>
      </c>
      <c r="F158" s="15" t="inlineStr">
        <is>
          <t>Property taxes are becoming an existential threat to Maine’s homeowners</t>
        </is>
      </c>
      <c r="G158" s="4" t="inlineStr">
        <is>
          <t>Sept. 2, 2024</t>
        </is>
      </c>
      <c r="H158" s="4" t="inlineStr">
        <is>
          <t>2024-09-02</t>
        </is>
      </c>
      <c r="I158" s="4" t="inlineStr">
        <is>
          <t>Republican radio address: the state now funds 55% of school budgets and shares more revenue with towns than ever, yet "towns and cities simply took the money and ran"; cites 2024 increases of 6% in Portland, 9% in Lewiston and Gorham and 13% in Westbrook, and faults the LD 2102 repeal.</t>
        </is>
      </c>
      <c r="J158" s="4" t="inlineStr">
        <is>
          <t>Free-market analyses column</t>
        </is>
      </c>
      <c r="K158" s="4" t="inlineStr">
        <is>
          <t>https://mesenategop.com/2024/09/02/property-taxes-are-becoming-an-existential-threat-to-maines-homeowners/</t>
        </is>
      </c>
    </row>
    <row r="159" ht="49" customHeight="1">
      <c r="A159" s="13" t="inlineStr">
        <is>
          <t>Maine</t>
        </is>
      </c>
      <c r="B159" s="4" t="inlineStr">
        <is>
          <t>Analysis</t>
        </is>
      </c>
      <c r="C159" s="4" t="inlineStr">
        <is>
          <t>Legislators &amp; officials</t>
        </is>
      </c>
      <c r="D159" s="4" t="inlineStr">
        <is>
          <t>Maine House Republicans</t>
        </is>
      </c>
      <c r="E159" s="4" t="inlineStr">
        <is>
          <t>Assistant Republican Leader Rep. Amy Arata</t>
        </is>
      </c>
      <c r="F159" s="15" t="inlineStr">
        <is>
          <t>LD 2102 WILL RAISE PROPERTY TAXES</t>
        </is>
      </c>
      <c r="G159" s="4" t="inlineStr">
        <is>
          <t>March 16, 2024</t>
        </is>
      </c>
      <c r="H159" s="4" t="inlineStr">
        <is>
          <t>2024-03-16</t>
        </is>
      </c>
      <c r="I159" s="4" t="inlineStr">
        <is>
          <t>Testimony opposing the levy limit repeal; defends the LD 1 limit as a 2005 bipartisan compromise that ties property tax growth to average personal income growth plus new property: "taxes should not increase faster than your income does."</t>
        </is>
      </c>
      <c r="J159" s="4" t="inlineStr">
        <is>
          <t>Free-market analyses column</t>
        </is>
      </c>
      <c r="K159" s="4" t="inlineStr">
        <is>
          <t>https://mainehousegop.org/newsroom/ld-2102-will-raise-property-taxes/</t>
        </is>
      </c>
    </row>
    <row r="160" ht="79" customHeight="1">
      <c r="A160" s="13" t="inlineStr">
        <is>
          <t>Maine</t>
        </is>
      </c>
      <c r="B160" s="4" t="inlineStr">
        <is>
          <t>Analysis</t>
        </is>
      </c>
      <c r="C160" s="4" t="inlineStr">
        <is>
          <t>State group</t>
        </is>
      </c>
      <c r="D160" s="4" t="inlineStr">
        <is>
          <t>Maine Policy Institute</t>
        </is>
      </c>
      <c r="E160" s="4" t="inlineStr">
        <is>
          <t>Jacob Posik</t>
        </is>
      </c>
      <c r="F160" s="15" t="inlineStr">
        <is>
          <t>Testimony: Protecting Property Taxpayers from Unsustainable Increases (LD 2102)</t>
        </is>
      </c>
      <c r="G160" s="4" t="inlineStr">
        <is>
          <t>Feb. 22, 2024</t>
        </is>
      </c>
      <c r="H160" s="4" t="inlineStr">
        <is>
          <t>2024-02-22</t>
        </is>
      </c>
      <c r="I160" s="4" t="inlineStr">
        <is>
          <t>Called LD 2102 "perhaps the most harmful bill admitted into the Legislature’s Second Session" and warned that repealing the municipal levy limit would bring "uncontrolled, runaway spending at the municipal level" with higher property taxes on seniors on fixed incomes. Notes towns could already exceed the limit with residents' consent at a referendum election and were in no funding emergency after millions in federal pandemic aid.</t>
        </is>
      </c>
      <c r="J160" s="4" t="inlineStr">
        <is>
          <t>Free-market analyses column</t>
        </is>
      </c>
      <c r="K160" s="4" t="inlineStr">
        <is>
          <t>https://mainepolicy.org/testimonies/testimony-protecting-property-taxpayers-from-unsustainable-increases-ld-2102/</t>
        </is>
      </c>
    </row>
    <row r="161" ht="79" customHeight="1">
      <c r="A161" s="13" t="inlineStr">
        <is>
          <t>Maine</t>
        </is>
      </c>
      <c r="B161" s="4" t="inlineStr">
        <is>
          <t>Analysis</t>
        </is>
      </c>
      <c r="C161" s="4" t="inlineStr">
        <is>
          <t>State group</t>
        </is>
      </c>
      <c r="D161" s="4" t="inlineStr">
        <is>
          <t>Maine Policy Institute</t>
        </is>
      </c>
      <c r="E161" s="4" t="inlineStr">
        <is>
          <t>Libby Palanza</t>
        </is>
      </c>
      <c r="F161" s="15" t="inlineStr">
        <is>
          <t>Property tax stabilization program shifts burden to state taxpayers</t>
        </is>
      </c>
      <c r="G161" s="4" t="inlineStr">
        <is>
          <t>July 25, 2022</t>
        </is>
      </c>
      <c r="H161" s="4" t="inlineStr">
        <is>
          <t>2022-07-25</t>
        </is>
      </c>
      <c r="I161" s="4" t="inlineStr">
        <is>
          <t>The LD 290 senior property tax freeze has no income eligibility requirement, and about 16% of Mainers could qualify. The fiscal note projects state reimbursements to towns of $2.6 million in FY 2023, $7 million in FY 2024 and $14 million in FY 2025, a cost passed along to other state taxpayers. Argues "Smarter municipal spending would help reduce the property tax burden across the board," pointing to school administrative spending, and favors charitable aid for seniors in need.</t>
        </is>
      </c>
      <c r="J161" s="4" t="inlineStr">
        <is>
          <t>Free-market analyses column</t>
        </is>
      </c>
      <c r="K161" s="4" t="inlineStr">
        <is>
          <t>https://mainepolicy.org/property-tax-stabilization-program-shifts-burden-to-state-taxpayers/</t>
        </is>
      </c>
    </row>
    <row r="162" ht="64" customHeight="1">
      <c r="A162" s="13" t="inlineStr">
        <is>
          <t>Maryland</t>
        </is>
      </c>
      <c r="B162" s="4" t="inlineStr">
        <is>
          <t>Analysis</t>
        </is>
      </c>
      <c r="C162" s="4" t="inlineStr">
        <is>
          <t>Local group</t>
        </is>
      </c>
      <c r="D162" s="4" t="inlineStr">
        <is>
          <t>Committee to Control Montgomery County Spending (taxpayer ballot committee)</t>
        </is>
      </c>
      <c r="E162" s="4" t="inlineStr">
        <is>
          <t>statement as covered in</t>
        </is>
      </c>
      <c r="F162" s="15" t="inlineStr">
        <is>
          <t>Stop the Spend Charter Amendment Fails</t>
        </is>
      </c>
      <c r="G162" s="4" t="inlineStr">
        <is>
          <t>Montgomery Perspective, Aug. 17, 2026</t>
        </is>
      </c>
      <c r="H162" s="4" t="inlineStr">
        <is>
          <t>2026-08-17</t>
        </is>
      </c>
      <c r="I162" s="4" t="inlineStr">
        <is>
          <t>The committee says its charter amendment "would have required unanimous County Council approval when annual County spending increased faster than inflation." The Board of Elections found 9,698 of 14,074 submitted signatures valid, short of the 10,000 needed, and the committee plans to collect again for the 2028 ballot.</t>
        </is>
      </c>
      <c r="J162" s="4" t="inlineStr">
        <is>
          <t>Free-market analyses column</t>
        </is>
      </c>
      <c r="K162" s="4" t="inlineStr">
        <is>
          <t>https://montgomeryperspective.com/2026/08/17/stop-the-spend-charter-amendment-fails/</t>
        </is>
      </c>
    </row>
    <row r="163" ht="49" customHeight="1">
      <c r="A163" s="13" t="inlineStr">
        <is>
          <t>Maryland</t>
        </is>
      </c>
      <c r="B163" s="4" t="inlineStr">
        <is>
          <t>Analysis</t>
        </is>
      </c>
      <c r="C163" s="4" t="inlineStr">
        <is>
          <t>Local group</t>
        </is>
      </c>
      <c r="D163" s="4" t="inlineStr">
        <is>
          <t>Committee to Control Montgomery County Spending (taxpayer ballot committee)</t>
        </is>
      </c>
      <c r="E163" s="4" t="n"/>
      <c r="F163" s="15" t="inlineStr">
        <is>
          <t>Stop the Spend Initiative Submits over 11,200 Signatures</t>
        </is>
      </c>
      <c r="G163" s="4" t="inlineStr">
        <is>
          <t>July 21, 2026</t>
        </is>
      </c>
      <c r="H163" s="4" t="inlineStr">
        <is>
          <t>2026-07-21</t>
        </is>
      </c>
      <c r="I163" s="4" t="inlineStr">
        <is>
          <t>Its proposed charter amendment would limit annual growth in overall county spending to the rate of inflation unless all members of the County Council vote to exceed the limit; the committee says "County spending rose over 44% in the past 8 years."</t>
        </is>
      </c>
      <c r="J163" s="4" t="inlineStr">
        <is>
          <t>Free-market analyses column</t>
        </is>
      </c>
      <c r="K163" s="4" t="inlineStr">
        <is>
          <t>https://montgomeryperspective.com/2026/07/22/will-stop-the-spend-get-on-the-ballot/</t>
        </is>
      </c>
    </row>
    <row r="164" ht="49" customHeight="1">
      <c r="A164" s="13" t="inlineStr">
        <is>
          <t>Maryland</t>
        </is>
      </c>
      <c r="B164" s="4" t="inlineStr">
        <is>
          <t>Analysis</t>
        </is>
      </c>
      <c r="C164" s="4" t="inlineStr">
        <is>
          <t>National group</t>
        </is>
      </c>
      <c r="D164" s="4" t="inlineStr">
        <is>
          <t>Tax Foundation</t>
        </is>
      </c>
      <c r="E164" s="4" t="n"/>
      <c r="F164" s="15" t="inlineStr">
        <is>
          <t>Two Virginia Income Tax Proposals Would Make the State Less Affordable</t>
        </is>
      </c>
      <c r="G164" s="4" t="inlineStr">
        <is>
          <t>Feb. 4, 2026</t>
        </is>
      </c>
      <c r="H164" s="4" t="inlineStr">
        <is>
          <t>2026-02-04</t>
        </is>
      </c>
      <c r="I164" s="4" t="inlineStr">
        <is>
          <t>In its regional comparison of combined top income tax rates, notes that Maryland adds local income taxes averaging 2.66% to the state rate (Kentucky 1.39%), the revenue source Maryland counties lean on beside the property tax.</t>
        </is>
      </c>
      <c r="J164" s="4" t="inlineStr">
        <is>
          <t>Free-market analyses column</t>
        </is>
      </c>
      <c r="K164" s="4" t="inlineStr">
        <is>
          <t>https://taxfoundation.org/blog/virginia-income-tax-proposals-2026/</t>
        </is>
      </c>
    </row>
    <row r="165" ht="64" customHeight="1">
      <c r="A165" s="13" t="inlineStr">
        <is>
          <t>Maryland</t>
        </is>
      </c>
      <c r="B165" s="4" t="inlineStr">
        <is>
          <t>Analysis</t>
        </is>
      </c>
      <c r="C165" s="4" t="inlineStr">
        <is>
          <t>Local group</t>
        </is>
      </c>
      <c r="D165" s="4" t="inlineStr">
        <is>
          <t>Renew Baltimore (taxpayer ballot committee)</t>
        </is>
      </c>
      <c r="E165" s="4" t="inlineStr">
        <is>
          <t>statement as covered in</t>
        </is>
      </c>
      <c r="F165" s="15" t="inlineStr">
        <is>
          <t>There will be no baby bonus and no property tax cut on Baltimore City ballot</t>
        </is>
      </c>
      <c r="G165" s="4" t="inlineStr">
        <is>
          <t>WYPR, Aug. 29, 2024</t>
        </is>
      </c>
      <c r="H165" s="4" t="inlineStr">
        <is>
          <t>2024-08-29</t>
        </is>
      </c>
      <c r="I165" s="4" t="inlineStr">
        <is>
          <t>Its charter amendment would have cut Baltimore's property tax rate, the highest in Maryland, from 2.248% to 1.2% over seven years. The Maryland Supreme Court upheld lower-court rulings that the measure conflicts with state law, and the group said the decision "denies the will of 23,542 Baltimore City residents who signed a petition."</t>
        </is>
      </c>
      <c r="J165" s="4" t="inlineStr">
        <is>
          <t>Free-market analyses column</t>
        </is>
      </c>
      <c r="K165" s="4" t="inlineStr">
        <is>
          <t>https://www.wypr.org/wypr-news/2024-08-29/there-will-be-no-baby-bonus-and-no-property-tax-cut-on-baltimore-city-ballot</t>
        </is>
      </c>
    </row>
    <row r="166" ht="34" customHeight="1">
      <c r="A166" s="13" t="inlineStr">
        <is>
          <t>Maryland</t>
        </is>
      </c>
      <c r="B166" s="4" t="inlineStr">
        <is>
          <t>Checked: no report since 2021</t>
        </is>
      </c>
      <c r="C166" s="4" t="inlineStr">
        <is>
          <t>State group</t>
        </is>
      </c>
      <c r="D166" s="4" t="inlineStr">
        <is>
          <t>Maryland Public Policy Institute</t>
        </is>
      </c>
      <c r="E166" s="4" t="n"/>
      <c r="F166" s="4" t="inlineStr">
        <is>
          <t>(no report found)</t>
        </is>
      </c>
      <c r="G166" s="4" t="n"/>
      <c r="H166" s="4" t="n"/>
      <c r="I166" s="4" t="inlineStr">
        <is>
          <t>Maryland Public Policy Institute (free-market think tank): no property tax report since 2021 was found in site and web searches.</t>
        </is>
      </c>
      <c r="J166" s="4" t="inlineStr">
        <is>
          <t>Free-market analyses column</t>
        </is>
      </c>
      <c r="K166" s="4" t="n"/>
    </row>
    <row r="167" ht="30" customHeight="1">
      <c r="A167" s="13" t="inlineStr">
        <is>
          <t>Maryland</t>
        </is>
      </c>
      <c r="B167" s="4" t="inlineStr">
        <is>
          <t>Checked: no report since 2021</t>
        </is>
      </c>
      <c r="C167" s="4" t="inlineStr">
        <is>
          <t>State group</t>
        </is>
      </c>
      <c r="D167" s="4" t="inlineStr">
        <is>
          <t>Free State Foundation</t>
        </is>
      </c>
      <c r="E167" s="4" t="n"/>
      <c r="F167" s="4" t="inlineStr">
        <is>
          <t>(no report found)</t>
        </is>
      </c>
      <c r="G167" s="4" t="n"/>
      <c r="H167" s="4" t="n"/>
      <c r="I167" s="4" t="inlineStr">
        <is>
          <t>Free State Foundation (State Policy Network associate): no property tax report since 2021 was found.</t>
        </is>
      </c>
      <c r="J167" s="4" t="inlineStr">
        <is>
          <t>Free-market analyses column</t>
        </is>
      </c>
      <c r="K167" s="4" t="n"/>
    </row>
    <row r="168" ht="34" customHeight="1">
      <c r="A168" s="13" t="inlineStr">
        <is>
          <t>Maryland</t>
        </is>
      </c>
      <c r="B168" s="4" t="inlineStr">
        <is>
          <t>Checked: no report since 2021</t>
        </is>
      </c>
      <c r="C168" s="4" t="inlineStr">
        <is>
          <t>State group</t>
        </is>
      </c>
      <c r="D168" s="4" t="inlineStr">
        <is>
          <t>Maryland Family Institute</t>
        </is>
      </c>
      <c r="E168" s="4" t="n"/>
      <c r="F168" s="4" t="inlineStr">
        <is>
          <t>(no report found)</t>
        </is>
      </c>
      <c r="G168" s="4" t="n"/>
      <c r="H168" s="4" t="n"/>
      <c r="I168" s="4" t="inlineStr">
        <is>
          <t>Maryland Family Institute (State Policy Network associate): no property tax report since 2021 was found.</t>
        </is>
      </c>
      <c r="J168" s="4" t="inlineStr">
        <is>
          <t>Free-market analyses column</t>
        </is>
      </c>
      <c r="K168" s="4" t="n"/>
    </row>
    <row r="169" ht="30" customHeight="1">
      <c r="A169" s="13" t="inlineStr">
        <is>
          <t>Maryland</t>
        </is>
      </c>
      <c r="B169" s="4" t="inlineStr">
        <is>
          <t>Checked: no report since 2021</t>
        </is>
      </c>
      <c r="C169" s="4" t="inlineStr">
        <is>
          <t>State group</t>
        </is>
      </c>
      <c r="D169" s="4" t="inlineStr">
        <is>
          <t>Americans for Prosperity-Maryland</t>
        </is>
      </c>
      <c r="E169" s="4" t="n"/>
      <c r="F169" s="4" t="inlineStr">
        <is>
          <t>(no report found)</t>
        </is>
      </c>
      <c r="G169" s="4" t="n"/>
      <c r="H169" s="4" t="n"/>
      <c r="I169" s="4" t="inlineStr">
        <is>
          <t>Americans for Prosperity-Maryland: no property tax item since 2021 was found in AFP's site search.</t>
        </is>
      </c>
      <c r="J169" s="4" t="inlineStr">
        <is>
          <t>Free-market analyses column</t>
        </is>
      </c>
      <c r="K169" s="4" t="n"/>
    </row>
    <row r="170" ht="64" customHeight="1">
      <c r="A170" s="13" t="inlineStr">
        <is>
          <t>Massachusetts</t>
        </is>
      </c>
      <c r="B170" s="4" t="inlineStr">
        <is>
          <t>Analysis</t>
        </is>
      </c>
      <c r="C170" s="4" t="inlineStr">
        <is>
          <t>State group</t>
        </is>
      </c>
      <c r="D170" s="4" t="inlineStr">
        <is>
          <t>Pioneer Institute (Pioneer New England Legal Foundation)</t>
        </is>
      </c>
      <c r="E170" s="4" t="n"/>
      <c r="F170" s="15" t="inlineStr">
        <is>
          <t>Pioneer Calls on MA Leaders to Probe Department Of Revenue’s Inaction</t>
        </is>
      </c>
      <c r="G170" s="4" t="inlineStr">
        <is>
          <t>Sept. 21, 2026</t>
        </is>
      </c>
      <c r="H170" s="4" t="inlineStr">
        <is>
          <t>2026-09-21</t>
        </is>
      </c>
      <c r="I170" s="4" t="inlineStr">
        <is>
          <t>Asks the Joint Committee on Revenue and the Secretary of Administration and Finance to find out why the Commissioner of Revenue declined to investigate evidence that Boston raised commercial assessments after owners appealed; the foundation showed him 59 such cases in 2025, and the city has since disclosed 150.</t>
        </is>
      </c>
      <c r="J170" s="4" t="inlineStr">
        <is>
          <t>Free-market analyses column</t>
        </is>
      </c>
      <c r="K170" s="4" t="inlineStr">
        <is>
          <t>https://pioneerinstitute.org/pioneer-calls-on-ma-leaders-to-probe-department-of-revenues-inaction/</t>
        </is>
      </c>
    </row>
    <row r="171" ht="64" customHeight="1">
      <c r="A171" s="13" t="inlineStr">
        <is>
          <t>Massachusetts</t>
        </is>
      </c>
      <c r="B171" s="4" t="inlineStr">
        <is>
          <t>Analysis</t>
        </is>
      </c>
      <c r="C171" s="4" t="inlineStr">
        <is>
          <t>State group</t>
        </is>
      </c>
      <c r="D171" s="4" t="inlineStr">
        <is>
          <t>Pioneer Institute (Pioneer New England Legal Foundation)</t>
        </is>
      </c>
      <c r="E171" s="4" t="n"/>
      <c r="F171" s="15" t="inlineStr">
        <is>
          <t>Pioneer New England Legal Foundation Urges DOR to Reopen Tax Assessments Probe After Boston Makes Initial Disclosure of 150 Properties Affected by Retaliatory Assessment Increases</t>
        </is>
      </c>
      <c r="G171" s="4" t="inlineStr">
        <is>
          <t>Aug. 18, 2026</t>
        </is>
      </c>
      <c r="H171" s="4" t="inlineStr">
        <is>
          <t>2026-08-18</t>
        </is>
      </c>
      <c r="I171" s="4" t="inlineStr">
        <is>
          <t>Alleges Boston systematically raised the assessed value of commercial properties whose owners appealed to the Appellate Tax Board, shifting more of the levy onto business owners and their tenants; its class action, filed in December 2025, survived the city's motion to dismiss in substantial part on May 11, 2026.</t>
        </is>
      </c>
      <c r="J171" s="4" t="inlineStr">
        <is>
          <t>Free-market analyses column</t>
        </is>
      </c>
      <c r="K171" s="4" t="inlineStr">
        <is>
          <t>https://pioneerinstitute.org/pioneer-new-england-legal-foundation-urges-dor-to-reopen-tax-assessments-probe-after-boston-makes-initial-disclosure-of-150-properties-affected-by-retaliatory-assessment-increases/</t>
        </is>
      </c>
    </row>
    <row r="172" ht="64" customHeight="1">
      <c r="A172" s="13" t="inlineStr">
        <is>
          <t>Massachusetts</t>
        </is>
      </c>
      <c r="B172" s="4" t="inlineStr">
        <is>
          <t>Analysis</t>
        </is>
      </c>
      <c r="C172" s="4" t="inlineStr">
        <is>
          <t>State group</t>
        </is>
      </c>
      <c r="D172" s="4" t="inlineStr">
        <is>
          <t>Fiscal Alliance Foundation</t>
        </is>
      </c>
      <c r="E172" s="4" t="inlineStr">
        <is>
          <t>Jared Walczak</t>
        </is>
      </c>
      <c r="F172" s="15" t="inlineStr">
        <is>
          <t>Rent control ballot measure would raise property taxes on homeowners</t>
        </is>
      </c>
      <c r="G172" s="4" t="inlineStr">
        <is>
          <t>June 4, 2026</t>
        </is>
      </c>
      <c r="H172" s="4" t="inlineStr">
        <is>
          <t>2026-06-04</t>
        </is>
      </c>
      <c r="I172" s="4" t="inlineStr">
        <is>
          <t>Finds the proposed statewide rent control initiative would add about $312 a year to the property tax on the median single-family home, and about $1,117 on the average Boston home, because controlled apartment buildings would be assessed lower and share a residential class with owner-occupied homes, so tax rates rise to keep levies whole.</t>
        </is>
      </c>
      <c r="J172" s="4" t="inlineStr">
        <is>
          <t>Free-market analyses column</t>
        </is>
      </c>
      <c r="K172" s="4" t="inlineStr">
        <is>
          <t>https://www.fiscalalliancefoundation.org/rent-control-property-taxes</t>
        </is>
      </c>
    </row>
    <row r="173" ht="79" customHeight="1">
      <c r="A173" s="13" t="inlineStr">
        <is>
          <t>Massachusetts</t>
        </is>
      </c>
      <c r="B173" s="4" t="inlineStr">
        <is>
          <t>Analysis</t>
        </is>
      </c>
      <c r="C173" s="4" t="inlineStr">
        <is>
          <t>State group</t>
        </is>
      </c>
      <c r="D173" s="4" t="inlineStr">
        <is>
          <t>Fiscal Alliance Foundation</t>
        </is>
      </c>
      <c r="E173" s="4" t="inlineStr">
        <is>
          <t>Jared Walczak</t>
        </is>
      </c>
      <c r="F173" s="15" t="inlineStr">
        <is>
          <t>Proposition 2½ saves homeowners thousands and remains a critical protection</t>
        </is>
      </c>
      <c r="G173" s="4" t="inlineStr">
        <is>
          <t>May 5, 2026</t>
        </is>
      </c>
      <c r="H173" s="4" t="inlineStr">
        <is>
          <t>2026-05-05</t>
        </is>
      </c>
      <c r="I173" s="4" t="inlineStr">
        <is>
          <t>The effective residential property tax rate is about 1.04%, down from 3.72% before the law; the median bill of about $6,896 would exceed $24,000 without it. Levies have still grown an average of 4.4% a year over two decades, 97 municipalities have never passed an override, and the study names thin state aid as the main source of local fiscal strain: aid at national norms would bring cities and towns $1.82 billion more.</t>
        </is>
      </c>
      <c r="J173" s="4" t="inlineStr">
        <is>
          <t>Free-market analyses column</t>
        </is>
      </c>
      <c r="K173" s="4" t="inlineStr">
        <is>
          <t>https://www.fiscalalliancefoundation.org/prop-2-5-study</t>
        </is>
      </c>
    </row>
    <row r="174" ht="49" customHeight="1">
      <c r="A174" s="13" t="inlineStr">
        <is>
          <t>Massachusetts</t>
        </is>
      </c>
      <c r="B174" s="4" t="inlineStr">
        <is>
          <t>Analysis</t>
        </is>
      </c>
      <c r="C174" s="4" t="inlineStr">
        <is>
          <t>State group</t>
        </is>
      </c>
      <c r="D174" s="4" t="inlineStr">
        <is>
          <t>Massachusetts Fiscal Alliance (State Policy Network associate)</t>
        </is>
      </c>
      <c r="E174" s="4" t="inlineStr">
        <is>
          <t>Citizens for Limited Taxation, the group behind Prop 2½, closed at the end of 2022 and handed its tax-limitation work to MassFiscal. Its undated action alert</t>
        </is>
      </c>
      <c r="F174" s="15" t="inlineStr">
        <is>
          <t>Defend Proposition 2 ½. Protect Taxpayers. Stop the Property Tax Grab.</t>
        </is>
      </c>
      <c r="G174" s="4" t="inlineStr">
        <is>
          <t>online by Jan. 22, 2026, its first archive.org capture</t>
        </is>
      </c>
      <c r="H174" s="4" t="inlineStr">
        <is>
          <t>2026-01-22</t>
        </is>
      </c>
      <c r="I174" s="4" t="inlineStr">
        <is>
          <t>, cites Mayor Wu's call for repeal and Massachusetts Municipal Association proposals to raise levy limits permanently and tie tax increases to inflation; it asks legislators to reject any effort to weaken, amend or repeal the law and to restore local aid.</t>
        </is>
      </c>
      <c r="J174" s="4" t="inlineStr">
        <is>
          <t>Free-market analyses column</t>
        </is>
      </c>
      <c r="K174" s="4" t="inlineStr">
        <is>
          <t>https://www.votervoice.net/MASSFISCAL/Campaigns/132431/Respond</t>
        </is>
      </c>
    </row>
    <row r="175" ht="64" customHeight="1">
      <c r="A175" s="13" t="inlineStr">
        <is>
          <t>Massachusetts</t>
        </is>
      </c>
      <c r="B175" s="4" t="inlineStr">
        <is>
          <t>Analysis</t>
        </is>
      </c>
      <c r="C175" s="4" t="inlineStr">
        <is>
          <t>State group</t>
        </is>
      </c>
      <c r="D175" s="4" t="inlineStr">
        <is>
          <t>Massachusetts Fiscal Alliance (State Policy Network associate)</t>
        </is>
      </c>
      <c r="E175" s="4" t="n"/>
      <c r="F175" s="15" t="inlineStr">
        <is>
          <t>The Push to Weaken Prop 2 ½</t>
        </is>
      </c>
      <c r="G175" s="4" t="inlineStr">
        <is>
          <t>Dec. 17, 2025</t>
        </is>
      </c>
      <c r="H175" s="4" t="inlineStr">
        <is>
          <t>2025-12-17</t>
        </is>
      </c>
      <c r="I175" s="4" t="inlineStr">
        <is>
          <t>Answers the Massachusetts Municipal Association's call for changes to the law, which the MMA says has become "too restrictive" for cities and towns; says Beacon Hill has underfunded local aid while state revenues soared, spending "nearly $1 billion a year" on the migrant crisis, and that the MMA should press to eliminate costly mandates such as prevailing wage and rigid climate rules.</t>
        </is>
      </c>
      <c r="J175" s="4" t="inlineStr">
        <is>
          <t>Free-market analyses column</t>
        </is>
      </c>
      <c r="K175" s="4" t="inlineStr">
        <is>
          <t>https://www.massfiscal.org/the_push_to_weaken_prop_2</t>
        </is>
      </c>
    </row>
    <row r="176" ht="64" customHeight="1">
      <c r="A176" s="13" t="inlineStr">
        <is>
          <t>Massachusetts</t>
        </is>
      </c>
      <c r="B176" s="4" t="inlineStr">
        <is>
          <t>Analysis</t>
        </is>
      </c>
      <c r="C176" s="4" t="inlineStr">
        <is>
          <t>National group</t>
        </is>
      </c>
      <c r="D176" s="4" t="inlineStr">
        <is>
          <t>Tax Foundation</t>
        </is>
      </c>
      <c r="E176" s="4" t="inlineStr">
        <is>
          <t>Nicole Fox</t>
        </is>
      </c>
      <c r="F176" s="15" t="inlineStr">
        <is>
          <t>Massachusetts Proposition 2½ Is Working</t>
        </is>
      </c>
      <c r="G176" s="4" t="inlineStr">
        <is>
          <t>Nov. 14, 2025</t>
        </is>
      </c>
      <c r="H176" s="4" t="inlineStr">
        <is>
          <t>2025-11-14</t>
        </is>
      </c>
      <c r="I176" s="4" t="inlineStr">
        <is>
          <t>Massachusetts still has the 6th-highest property tax collections per person and the 10th-highest as a share of income, but levy limits "tend to be the most structurally sound remedy," and bills would have risen much more without Prop 2½; written after Mayor Wu called for its repeal, it warns lawmakers against reopening the law.</t>
        </is>
      </c>
      <c r="J176" s="4" t="inlineStr">
        <is>
          <t>Free-market analyses column</t>
        </is>
      </c>
      <c r="K176" s="4" t="inlineStr">
        <is>
          <t>https://taxfoundation.org/research/all/state/massachusetts-property-tax-proposition-2-12/</t>
        </is>
      </c>
    </row>
    <row r="177" ht="64" customHeight="1">
      <c r="A177" s="13" t="inlineStr">
        <is>
          <t>Massachusetts</t>
        </is>
      </c>
      <c r="B177" s="4" t="inlineStr">
        <is>
          <t>Analysis</t>
        </is>
      </c>
      <c r="C177" s="4" t="inlineStr">
        <is>
          <t>State group</t>
        </is>
      </c>
      <c r="D177" s="4" t="inlineStr">
        <is>
          <t>Massachusetts Fiscal Alliance (State Policy Network associate)</t>
        </is>
      </c>
      <c r="E177" s="4" t="n"/>
      <c r="F177" s="15" t="inlineStr">
        <is>
          <t>MassFiscal Responds to Mayor Wu’s Call to Undermine Proposition 2½</t>
        </is>
      </c>
      <c r="G177" s="4" t="inlineStr">
        <is>
          <t>Sept. 23, 2025</t>
        </is>
      </c>
      <c r="H177" s="4" t="inlineStr">
        <is>
          <t>2025-09-23</t>
        </is>
      </c>
      <c r="I177" s="4" t="inlineStr">
        <is>
          <t>Answers Boston Mayor Michelle Wu's criticism of the law by noting that it already lets cities and towns ask voters for an override and that "Boston has never even attempted an override"; says the mayor should press Beacon Hill to return state revenue to cities and towns through local aid, after "over $1 billion a year" went to shelter costs in recent years.</t>
        </is>
      </c>
      <c r="J177" s="4" t="inlineStr">
        <is>
          <t>Free-market analyses column</t>
        </is>
      </c>
      <c r="K177" s="4" t="inlineStr">
        <is>
          <t>https://www.massfiscal.org/massfiscal_responds_to_mayor_wu_s_call_to_undermine_proposition_2</t>
        </is>
      </c>
    </row>
    <row r="178" ht="64" customHeight="1">
      <c r="A178" s="13" t="inlineStr">
        <is>
          <t>Massachusetts</t>
        </is>
      </c>
      <c r="B178" s="4" t="inlineStr">
        <is>
          <t>Analysis</t>
        </is>
      </c>
      <c r="C178" s="4" t="inlineStr">
        <is>
          <t>State group</t>
        </is>
      </c>
      <c r="D178" s="4" t="inlineStr">
        <is>
          <t>Pioneer Institute</t>
        </is>
      </c>
      <c r="E178" s="4" t="n"/>
      <c r="F178" s="15" t="inlineStr">
        <is>
          <t>Mayor Wu’s Commercial Property Tax Proposal: A Solution or a Snuff?</t>
        </is>
      </c>
      <c r="G178" s="4" t="inlineStr">
        <is>
          <t>April 2, 2024</t>
        </is>
      </c>
      <c r="H178" s="4" t="inlineStr">
        <is>
          <t>2024-04-02</t>
        </is>
      </c>
      <c r="I178" s="4" t="inlineStr">
        <is>
          <t>Wu's plan to lift Boston's commercial rate to 200% of the residential rate, above the 175% state cap, for a four-year phase-down could deter investment with office vacancy near 22%; commercial property already supplies 30% of city tax revenue, the highest share of any major U.S. city. Pioneer points to larger payments in lieu of taxes from tax-exempt owners and spending restraint.</t>
        </is>
      </c>
      <c r="J178" s="4" t="inlineStr">
        <is>
          <t>Free-market analyses column</t>
        </is>
      </c>
      <c r="K178" s="4" t="inlineStr">
        <is>
          <t>https://pioneerinstitute.org/mayor-wus-commercial-property-tax-proposal-a-solution-or-a-snuff/</t>
        </is>
      </c>
    </row>
    <row r="179" ht="34" customHeight="1">
      <c r="A179" s="13" t="inlineStr">
        <is>
          <t>Massachusetts</t>
        </is>
      </c>
      <c r="B179" s="4" t="inlineStr">
        <is>
          <t>Checked: no report since 2021</t>
        </is>
      </c>
      <c r="C179" s="4" t="inlineStr">
        <is>
          <t>State group</t>
        </is>
      </c>
      <c r="D179" s="4" t="inlineStr">
        <is>
          <t>American Institute for Economic Research</t>
        </is>
      </c>
      <c r="E179" s="4" t="n"/>
      <c r="F179" s="4" t="inlineStr">
        <is>
          <t>(no report found)</t>
        </is>
      </c>
      <c r="G179" s="4" t="n"/>
      <c r="H179" s="4" t="n"/>
      <c r="I179" s="4" t="inlineStr">
        <is>
          <t>American Institute for Economic Research (State Policy Network associate): no Massachusetts property tax report since 2021 was found.</t>
        </is>
      </c>
      <c r="J179" s="4" t="inlineStr">
        <is>
          <t>Free-market analyses column</t>
        </is>
      </c>
      <c r="K179" s="4" t="n"/>
    </row>
    <row r="180" ht="30" customHeight="1">
      <c r="A180" s="13" t="inlineStr">
        <is>
          <t>Massachusetts</t>
        </is>
      </c>
      <c r="B180" s="4" t="inlineStr">
        <is>
          <t>Checked: no report since 2021</t>
        </is>
      </c>
      <c r="C180" s="4" t="inlineStr">
        <is>
          <t>State group</t>
        </is>
      </c>
      <c r="D180" s="4" t="inlineStr">
        <is>
          <t>Reformers Academy</t>
        </is>
      </c>
      <c r="E180" s="4" t="n"/>
      <c r="F180" s="4" t="inlineStr">
        <is>
          <t>(no report found)</t>
        </is>
      </c>
      <c r="G180" s="4" t="n"/>
      <c r="H180" s="4" t="n"/>
      <c r="I180" s="4" t="inlineStr">
        <is>
          <t>Reformers Academy (State Policy Network associate): no property tax report since 2021 was found.</t>
        </is>
      </c>
      <c r="J180" s="4" t="inlineStr">
        <is>
          <t>Free-market analyses column</t>
        </is>
      </c>
      <c r="K180" s="4" t="n"/>
    </row>
    <row r="181" ht="49" customHeight="1">
      <c r="A181" s="13" t="inlineStr">
        <is>
          <t>Massachusetts</t>
        </is>
      </c>
      <c r="B181" s="4" t="inlineStr">
        <is>
          <t>Checked: no report since 2021</t>
        </is>
      </c>
      <c r="C181" s="4" t="inlineStr">
        <is>
          <t>State group</t>
        </is>
      </c>
      <c r="D181" s="4" t="inlineStr">
        <is>
          <t>Beacon Hill Institute</t>
        </is>
      </c>
      <c r="E181" s="4" t="n"/>
      <c r="F181" s="4" t="inlineStr">
        <is>
          <t>(no report found)</t>
        </is>
      </c>
      <c r="G181" s="4" t="n"/>
      <c r="H181" s="4" t="n"/>
      <c r="I181" s="4" t="inlineStr">
        <is>
          <t>Beacon Hill Institute: no property tax report since 2021 was found. Its site has shown a web host's account-suspension page since at least Aug. 15, 2025 (archive.org captures), and its last archived homepage (July 9, 2025) lists only 2021 and 2022 studies on other topics.</t>
        </is>
      </c>
      <c r="J181" s="4" t="inlineStr">
        <is>
          <t>Free-market analyses column</t>
        </is>
      </c>
      <c r="K181" s="4" t="n"/>
    </row>
    <row r="182" ht="64" customHeight="1">
      <c r="A182" s="13" t="inlineStr">
        <is>
          <t>Michigan</t>
        </is>
      </c>
      <c r="B182" s="4" t="inlineStr">
        <is>
          <t>Analysis</t>
        </is>
      </c>
      <c r="C182" s="4" t="inlineStr">
        <is>
          <t>State group</t>
        </is>
      </c>
      <c r="D182" s="4" t="inlineStr">
        <is>
          <t>Mackinac Center for Public Policy</t>
        </is>
      </c>
      <c r="E182" s="4" t="inlineStr">
        <is>
          <t>Michael J. Reitz</t>
        </is>
      </c>
      <c r="F182" s="15" t="inlineStr">
        <is>
          <t>Michigan’s local tax votes shouldn’t happen when turnout is lowest</t>
        </is>
      </c>
      <c r="G182" s="4" t="inlineStr">
        <is>
          <t>Sept. 29, 2026</t>
        </is>
      </c>
      <c r="H182" s="4" t="inlineStr">
        <is>
          <t>2026-09-29</t>
        </is>
      </c>
      <c r="I182" s="4" t="inlineStr">
        <is>
          <t>Local governments put 900 tax proposals before voters on Aug. 4, 2026, and 842 passed, costing taxpayers $1.11 billion; since 2016, 87% of local tax proposals passed in off-cycle elections against 82% in November, and 58% of the 6,553 proposals since 2020 came in August. Calls for restricting local tax elections to November.</t>
        </is>
      </c>
      <c r="J182" s="4" t="inlineStr">
        <is>
          <t>Free-market analyses column</t>
        </is>
      </c>
      <c r="K182" s="4" t="inlineStr">
        <is>
          <t>https://www.mackinac.org/blog/2026/michigans-local-tax-votes-shouldnt-happen-when-turnout-is-lowest</t>
        </is>
      </c>
    </row>
    <row r="183" ht="49" customHeight="1">
      <c r="A183" s="13" t="inlineStr">
        <is>
          <t>Michigan</t>
        </is>
      </c>
      <c r="B183" s="4" t="inlineStr">
        <is>
          <t>Analysis</t>
        </is>
      </c>
      <c r="C183" s="4" t="inlineStr">
        <is>
          <t>Legislators &amp; officials</t>
        </is>
      </c>
      <c r="D183" s="4" t="inlineStr">
        <is>
          <t>Michigan Senate Republicans</t>
        </is>
      </c>
      <c r="E183" s="4" t="inlineStr">
        <is>
          <t>Senate Republican Leader Aric Nesbitt</t>
        </is>
      </c>
      <c r="F183" s="15" t="inlineStr">
        <is>
          <t>Nesbitt bill would eliminate state property tax</t>
        </is>
      </c>
      <c r="G183" s="4" t="inlineStr">
        <is>
          <t>June 11, 2026</t>
        </is>
      </c>
      <c r="H183" s="4" t="inlineStr">
        <is>
          <t>2026-06-11</t>
        </is>
      </c>
      <c r="I183" s="4" t="inlineStr">
        <is>
          <t>Senate Bill 1039 would repeal the statewide 6-mill property tax; Nesbitt says the $3 billion it raises could be absorbed through more responsible budgeting, noting the state budget has grown by $30 billion over eight years.</t>
        </is>
      </c>
      <c r="J183" s="4" t="inlineStr">
        <is>
          <t>Free-market analyses column</t>
        </is>
      </c>
      <c r="K183" s="4" t="inlineStr">
        <is>
          <t>https://www.senatoraricnesbitt.com/nesbitt-bill-would-eliminate-state-property-tax/</t>
        </is>
      </c>
    </row>
    <row r="184" ht="49" customHeight="1">
      <c r="A184" s="13" t="inlineStr">
        <is>
          <t>Michigan</t>
        </is>
      </c>
      <c r="B184" s="4" t="inlineStr">
        <is>
          <t>Analysis</t>
        </is>
      </c>
      <c r="C184" s="4" t="inlineStr">
        <is>
          <t>State group</t>
        </is>
      </c>
      <c r="D184" s="4" t="inlineStr">
        <is>
          <t>Mackinac Center for Public Policy</t>
        </is>
      </c>
      <c r="E184" s="4" t="inlineStr">
        <is>
          <t>James M. Hohman</t>
        </is>
      </c>
      <c r="F184" s="15" t="inlineStr">
        <is>
          <t>A look at Michigan’s property tax</t>
        </is>
      </c>
      <c r="G184" s="4" t="inlineStr">
        <is>
          <t>June 2, 2026</t>
        </is>
      </c>
      <c r="H184" s="4" t="inlineStr">
        <is>
          <t>2026-06-02</t>
        </is>
      </c>
      <c r="I184" s="4" t="inlineStr">
        <is>
          <t>State and local governments collected $21.6 billion in property taxes in 2025, up from $20.3 billion in 2024, and 22% more after inflation than the $12.8 billion collected in 2013; the state's 6 mills raised $3.0 billion. Owners' rates are 27% above the national average, the 14th highest.</t>
        </is>
      </c>
      <c r="J184" s="4" t="inlineStr">
        <is>
          <t>Free-market analyses column</t>
        </is>
      </c>
      <c r="K184" s="4" t="inlineStr">
        <is>
          <t>https://www.mackinac.org/blog/2026/a-look-at-michigans-property-tax</t>
        </is>
      </c>
    </row>
    <row r="185" ht="64" customHeight="1">
      <c r="A185" s="13" t="inlineStr">
        <is>
          <t>Michigan</t>
        </is>
      </c>
      <c r="B185" s="4" t="inlineStr">
        <is>
          <t>Analysis</t>
        </is>
      </c>
      <c r="C185" s="4" t="inlineStr">
        <is>
          <t>Legislators &amp; officials</t>
        </is>
      </c>
      <c r="D185" s="4" t="inlineStr">
        <is>
          <t>Michigan House Republicans</t>
        </is>
      </c>
      <c r="E185" s="4" t="inlineStr">
        <is>
          <t>Rep. Ron Robinson</t>
        </is>
      </c>
      <c r="F185" s="15" t="inlineStr">
        <is>
          <t>Rep. Robinson secures House approval of major property tax relief plan lowering costs for Michigan families</t>
        </is>
      </c>
      <c r="G185" s="4" t="inlineStr">
        <is>
          <t>May 22, 2026</t>
        </is>
      </c>
      <c r="H185" s="4" t="inlineStr">
        <is>
          <t>2026-05-22</t>
        </is>
      </c>
      <c r="I185" s="4" t="inlineStr">
        <is>
          <t>After House passage, says the package would eliminate the state portion of property taxes, the real estate transfer tax, the pop-up tax on sale and personal property taxes on business equipment, and roll back utility rates by $1 billion, saving the average family about $1,400 a year in property taxes and energy bills; the bills went to the Senate.</t>
        </is>
      </c>
      <c r="J185" s="4" t="inlineStr">
        <is>
          <t>Free-market analyses column</t>
        </is>
      </c>
      <c r="K185" s="4" t="inlineStr">
        <is>
          <t>https://gophouse.org/posts/rep-robinson-secures-house-approval-of-major-property-tax-relief-plan-lowering-costs-for-michigan-families</t>
        </is>
      </c>
    </row>
    <row r="186" ht="64" customHeight="1">
      <c r="A186" s="13" t="inlineStr">
        <is>
          <t>Michigan</t>
        </is>
      </c>
      <c r="B186" s="4" t="inlineStr">
        <is>
          <t>Analysis</t>
        </is>
      </c>
      <c r="C186" s="4" t="inlineStr">
        <is>
          <t>State group</t>
        </is>
      </c>
      <c r="D186" s="4" t="inlineStr">
        <is>
          <t>Mackinac Center for Public Policy</t>
        </is>
      </c>
      <c r="E186" s="4" t="inlineStr">
        <is>
          <t>James M. Hohman</t>
        </is>
      </c>
      <c r="F186" s="15" t="inlineStr">
        <is>
          <t>Some Detroiters pay high property taxes, others don’t</t>
        </is>
      </c>
      <c r="G186" s="4" t="inlineStr">
        <is>
          <t>May 12, 2026</t>
        </is>
      </c>
      <c r="H186" s="4" t="inlineStr">
        <is>
          <t>2026-05-12</t>
        </is>
      </c>
      <c r="I186" s="4" t="inlineStr">
        <is>
          <t>Detroit has the highest property tax rate among the 50 largest U.S. cities (median homeowner 3.02% of home value), and uncapping on sale means long-time owners pay little while buyers pay far more: one home taxed about $300 a year before its March 2026 sale faced an estimated $10,000 afterward. Calls for reforms.</t>
        </is>
      </c>
      <c r="J186" s="4" t="inlineStr">
        <is>
          <t>Free-market analyses column</t>
        </is>
      </c>
      <c r="K186" s="4" t="inlineStr">
        <is>
          <t>https://www.mackinac.org/blog/2026/some-detroiters-pay-high-property-taxes-others-dont</t>
        </is>
      </c>
    </row>
    <row r="187" ht="49" customHeight="1">
      <c r="A187" s="13" t="inlineStr">
        <is>
          <t>Michigan</t>
        </is>
      </c>
      <c r="B187" s="4" t="inlineStr">
        <is>
          <t>Analysis</t>
        </is>
      </c>
      <c r="C187" s="4" t="inlineStr">
        <is>
          <t>Legislators &amp; officials</t>
        </is>
      </c>
      <c r="D187" s="4" t="inlineStr">
        <is>
          <t>Michigan House Republicans</t>
        </is>
      </c>
      <c r="E187" s="4" t="inlineStr">
        <is>
          <t>Rep. Karl Bohnak</t>
        </is>
      </c>
      <c r="F187" s="15" t="inlineStr">
        <is>
          <t>Rep. Bohnak announces monumental $5 billion state property tax relief plan</t>
        </is>
      </c>
      <c r="G187" s="4" t="inlineStr">
        <is>
          <t>April 22, 2026</t>
        </is>
      </c>
      <c r="H187" s="4" t="inlineStr">
        <is>
          <t>2026-04-22</t>
        </is>
      </c>
      <c r="I187" s="4" t="inlineStr">
        <is>
          <t>The HELP UP plan would eliminate all state-collected property taxes, saving the average homeowner about $900, exempt business personal property such as machinery and computers, and repeal the state transfer tax on home sales, saving the buyer of an average home about $2,250.</t>
        </is>
      </c>
      <c r="J187" s="4" t="inlineStr">
        <is>
          <t>Free-market analyses column</t>
        </is>
      </c>
      <c r="K187" s="4" t="inlineStr">
        <is>
          <t>https://gophouse.org/posts/rep-bohnak-announces-monumental-5-billion-state-property-tax-relief-plan</t>
        </is>
      </c>
    </row>
    <row r="188" ht="64" customHeight="1">
      <c r="A188" s="13" t="inlineStr">
        <is>
          <t>Michigan</t>
        </is>
      </c>
      <c r="B188" s="4" t="inlineStr">
        <is>
          <t>Analysis</t>
        </is>
      </c>
      <c r="C188" s="4" t="inlineStr">
        <is>
          <t>State group</t>
        </is>
      </c>
      <c r="D188" s="4" t="inlineStr">
        <is>
          <t>Mackinac Center for Public Policy</t>
        </is>
      </c>
      <c r="E188" s="4" t="inlineStr">
        <is>
          <t>Jared Walczak</t>
        </is>
      </c>
      <c r="F188" s="15" t="inlineStr">
        <is>
          <t>Senior discount won’t solve Michigan’s property tax problem</t>
        </is>
      </c>
      <c r="G188" s="4" t="inlineStr">
        <is>
          <t>Feb. 11, 2026</t>
        </is>
      </c>
      <c r="H188" s="4" t="inlineStr">
        <is>
          <t>2026-02-11</t>
        </is>
      </c>
      <c r="I188" s="4" t="inlineStr">
        <is>
          <t>Opposes Gov. Whitmer's proposed senior refunds of up to 10% and calls for lower rates for everyone; owners' effective rates are 27% above the national average, and Headlee has failed to hold rates down because it exempts the State Education Tax and bond millages, local governments have "routinely turned to bonding" and special assessment districts are "designed to avoid Headlee tax reductions."</t>
        </is>
      </c>
      <c r="J188" s="4" t="inlineStr">
        <is>
          <t>Free-market analyses column</t>
        </is>
      </c>
      <c r="K188" s="4" t="inlineStr">
        <is>
          <t>https://www.mackinac.org/blog/2026/senior-discount-wont-solve-michigans-property-tax-problem</t>
        </is>
      </c>
    </row>
    <row r="189" ht="49" customHeight="1">
      <c r="A189" s="13" t="inlineStr">
        <is>
          <t>Michigan</t>
        </is>
      </c>
      <c r="B189" s="4" t="inlineStr">
        <is>
          <t>Cited elsewhere in the matrix</t>
        </is>
      </c>
      <c r="C189" s="4" t="inlineStr">
        <is>
          <t>State group</t>
        </is>
      </c>
      <c r="D189" s="4" t="inlineStr">
        <is>
          <t>Mackinac Center for Public Policy</t>
        </is>
      </c>
      <c r="E189" s="4" t="n"/>
      <c r="F189" s="15" t="inlineStr">
        <is>
          <t>Voters can lower their own property taxes under Michigan rules</t>
        </is>
      </c>
      <c r="G189" s="4" t="n"/>
      <c r="H189" s="4" t="n"/>
      <c r="I189" s="4" t="inlineStr">
        <is>
          <t>Census FY2022 state property tax revenue: about $2.5 billion; the Mackinac Center puts the 2025 yield at $3.0 billion. Local officials often pick the lower-turnout dates outside November (Mackinac Center, Feb. 16, 2026).</t>
        </is>
      </c>
      <c r="J189" s="4" t="inlineStr">
        <is>
          <t>Source URLs and statewide, november, use_restrictions, Loopholes &amp; has it worked?</t>
        </is>
      </c>
      <c r="K189" s="4" t="inlineStr">
        <is>
          <t>https://www.mackinac.org/blog/2026/voters-can-lower-their-own-property-taxes-under-michigan-rules</t>
        </is>
      </c>
    </row>
    <row r="190" ht="30" customHeight="1">
      <c r="A190" s="13" t="inlineStr">
        <is>
          <t>Michigan</t>
        </is>
      </c>
      <c r="B190" s="4" t="inlineStr">
        <is>
          <t>Checked: no report since 2021</t>
        </is>
      </c>
      <c r="C190" s="4" t="inlineStr">
        <is>
          <t>State group</t>
        </is>
      </c>
      <c r="D190" s="4" t="inlineStr">
        <is>
          <t>Acton Institute</t>
        </is>
      </c>
      <c r="E190" s="4" t="n"/>
      <c r="F190" s="4" t="inlineStr">
        <is>
          <t>(no report found)</t>
        </is>
      </c>
      <c r="G190" s="4" t="n"/>
      <c r="H190" s="4" t="n"/>
      <c r="I190" s="4" t="inlineStr">
        <is>
          <t>Acton Institute (State Policy Network associate): no Michigan property tax report since 2021 was found.</t>
        </is>
      </c>
      <c r="J190" s="4" t="inlineStr">
        <is>
          <t>Free-market analyses column</t>
        </is>
      </c>
      <c r="K190" s="4" t="n"/>
    </row>
    <row r="191" ht="30" customHeight="1">
      <c r="A191" s="13" t="inlineStr">
        <is>
          <t>Michigan</t>
        </is>
      </c>
      <c r="B191" s="4" t="inlineStr">
        <is>
          <t>Checked: no report since 2021</t>
        </is>
      </c>
      <c r="C191" s="4" t="inlineStr">
        <is>
          <t>State group</t>
        </is>
      </c>
      <c r="D191" s="4" t="inlineStr">
        <is>
          <t>The College Fix</t>
        </is>
      </c>
      <c r="E191" s="4" t="n"/>
      <c r="F191" s="4" t="inlineStr">
        <is>
          <t>(no report found)</t>
        </is>
      </c>
      <c r="G191" s="4" t="n"/>
      <c r="H191" s="4" t="n"/>
      <c r="I191" s="4" t="inlineStr">
        <is>
          <t>The College Fix (State Policy Network associate): no Michigan property tax report since 2021 was found.</t>
        </is>
      </c>
      <c r="J191" s="4" t="inlineStr">
        <is>
          <t>Free-market analyses column</t>
        </is>
      </c>
      <c r="K191" s="4" t="n"/>
    </row>
    <row r="192" ht="79" customHeight="1">
      <c r="A192" s="13" t="inlineStr">
        <is>
          <t>Minnesota</t>
        </is>
      </c>
      <c r="B192" s="4" t="inlineStr">
        <is>
          <t>Analysis</t>
        </is>
      </c>
      <c r="C192" s="4" t="inlineStr">
        <is>
          <t>State group</t>
        </is>
      </c>
      <c r="D192" s="4" t="inlineStr">
        <is>
          <t>Center of the American Experiment</t>
        </is>
      </c>
      <c r="E192" s="4" t="inlineStr">
        <is>
          <t>John Phelan</t>
        </is>
      </c>
      <c r="F192" s="15" t="inlineStr">
        <is>
          <t>How the DFL trifecta hiked property taxes and hit affordability</t>
        </is>
      </c>
      <c r="G192" s="4" t="inlineStr">
        <is>
          <t>Sept. 28, 2026</t>
        </is>
      </c>
      <c r="H192" s="4" t="inlineStr">
        <is>
          <t>2026-09-28</t>
        </is>
      </c>
      <c r="I192" s="4" t="inlineStr">
        <is>
          <t>Lists 2027 preliminary levy increases across the state, including St. Paul's 6.8% maximum and Dakota County's 18.5%, after a $1 billion ($164 per person) statewide increase in 2026; blames unfunded state mandates passed by the 2023-2024 DFL trifecta, such as paid family and medical leave and a child welfare law that Dakota County says adds more than $4 million in costs, and calls for a limit on unfunded mandates.</t>
        </is>
      </c>
      <c r="J192" s="4" t="inlineStr">
        <is>
          <t>Free-market analyses column</t>
        </is>
      </c>
      <c r="K192" s="4" t="inlineStr">
        <is>
          <t>https://www.americanexperiment.org/how-the-dfl-trifecta-hiked-property-taxes-and-hit-affordability/</t>
        </is>
      </c>
    </row>
    <row r="193" ht="64" customHeight="1">
      <c r="A193" s="13" t="inlineStr">
        <is>
          <t>Minnesota</t>
        </is>
      </c>
      <c r="B193" s="4" t="inlineStr">
        <is>
          <t>Analysis</t>
        </is>
      </c>
      <c r="C193" s="4" t="inlineStr">
        <is>
          <t>State group</t>
        </is>
      </c>
      <c r="D193" s="4" t="inlineStr">
        <is>
          <t>Center of the American Experiment</t>
        </is>
      </c>
      <c r="E193" s="4" t="inlineStr">
        <is>
          <t>John Phelan</t>
        </is>
      </c>
      <c r="F193" s="15" t="inlineStr">
        <is>
          <t>As property taxes surge again, hammering affordability, it's time for Minnesotans to say 'Taxed Enough Already'</t>
        </is>
      </c>
      <c r="G193" s="4" t="inlineStr">
        <is>
          <t>Aug. 17, 2026</t>
        </is>
      </c>
      <c r="H193" s="4" t="inlineStr">
        <is>
          <t>2026-08-17</t>
        </is>
      </c>
      <c r="I193" s="4" t="inlineStr">
        <is>
          <t>Reports Minneapolis Mayor Frey's proposed 11.3% levy increase for 2027 ($409 a year on a median home), after city levy growth averaging 7.7% a year since 2018 against 3.9% annual income growth in Hennepin County and 3.3% inflation; argues "the spending is the problem" and calls for capping the growth of government spending.</t>
        </is>
      </c>
      <c r="J193" s="4" t="inlineStr">
        <is>
          <t>Free-market analyses column</t>
        </is>
      </c>
      <c r="K193" s="4" t="inlineStr">
        <is>
          <t>https://www.americanexperiment.org/as-property-taxes-surge-again-hammering-affordability-its-time-for-minnesotans-to-say-taxed-enough-already/</t>
        </is>
      </c>
    </row>
    <row r="194" ht="64" customHeight="1">
      <c r="A194" s="13" t="inlineStr">
        <is>
          <t>Minnesota</t>
        </is>
      </c>
      <c r="B194" s="4" t="inlineStr">
        <is>
          <t>Analysis</t>
        </is>
      </c>
      <c r="C194" s="4" t="inlineStr">
        <is>
          <t>State group</t>
        </is>
      </c>
      <c r="D194" s="4" t="inlineStr">
        <is>
          <t>Center of the American Experiment</t>
        </is>
      </c>
      <c r="E194" s="4" t="inlineStr">
        <is>
          <t>John Phelan</t>
        </is>
      </c>
      <c r="F194" s="15" t="inlineStr">
        <is>
          <t>Property taxes: The spending is the problem</t>
        </is>
      </c>
      <c r="G194" s="4" t="inlineStr">
        <is>
          <t>April 7, 2026</t>
        </is>
      </c>
      <c r="H194" s="4" t="inlineStr">
        <is>
          <t>2026-04-07</t>
        </is>
      </c>
      <c r="I194" s="4" t="inlineStr">
        <is>
          <t>Uses hypothetical city tables to argue that higher valuations alone leave a bill unchanged because the levy is spread over a larger base at a lower rate, while a bigger city budget raises the same $1,333 bill to $2,000; says "the increase in local government spending" is the cause and higher assessments let governments fund it without raising rates by the full amount.</t>
        </is>
      </c>
      <c r="J194" s="4" t="inlineStr">
        <is>
          <t>Free-market analyses column</t>
        </is>
      </c>
      <c r="K194" s="4" t="inlineStr">
        <is>
          <t>https://www.americanexperiment.org/property-taxes-the-spending-is-the-problem/</t>
        </is>
      </c>
    </row>
    <row r="195" ht="79" customHeight="1">
      <c r="A195" s="13" t="inlineStr">
        <is>
          <t>Minnesota</t>
        </is>
      </c>
      <c r="B195" s="4" t="inlineStr">
        <is>
          <t>Analysis</t>
        </is>
      </c>
      <c r="C195" s="4" t="inlineStr">
        <is>
          <t>State group</t>
        </is>
      </c>
      <c r="D195" s="4" t="inlineStr">
        <is>
          <t>Center of the American Experiment</t>
        </is>
      </c>
      <c r="E195" s="4" t="inlineStr">
        <is>
          <t>John Phelan</t>
        </is>
      </c>
      <c r="F195" s="15" t="inlineStr">
        <is>
          <t>Republican plan to restrain property tax hikes will help with affordability</t>
        </is>
      </c>
      <c r="G195" s="4" t="inlineStr">
        <is>
          <t>March 4, 2026</t>
        </is>
      </c>
      <c r="H195" s="4" t="inlineStr">
        <is>
          <t>2026-03-04</t>
        </is>
      </c>
      <c r="I195" s="4" t="inlineStr">
        <is>
          <t>Cites 2026 levy increases of 7.79% in Hennepin County and 9.4% in Anoka County, Hennepin's $40 million-plus for "disparity elimination," and about $300,000 a year in unfunded mandate costs at Triton Schools; backs Sen. Michael Kreun's bill to cap levy growth in localities over 2,500 people at inflation plus 50% of population growth, with larger increases going to voters, and likens it to the Center's North Dakota proposal to cap local spending growth at inflation.</t>
        </is>
      </c>
      <c r="J195" s="4" t="inlineStr">
        <is>
          <t>Free-market analyses column</t>
        </is>
      </c>
      <c r="K195" s="4" t="inlineStr">
        <is>
          <t>https://www.americanexperiment.org/republican-plan-to-restrain-property-tax-hikes-will-help-with-affordability/</t>
        </is>
      </c>
    </row>
    <row r="196" ht="64" customHeight="1">
      <c r="A196" s="13" t="inlineStr">
        <is>
          <t>Minnesota</t>
        </is>
      </c>
      <c r="B196" s="4" t="inlineStr">
        <is>
          <t>Analysis</t>
        </is>
      </c>
      <c r="C196" s="4" t="inlineStr">
        <is>
          <t>Legislators &amp; officials</t>
        </is>
      </c>
      <c r="D196" s="4" t="inlineStr">
        <is>
          <t>Minnesota Senate Republicans</t>
        </is>
      </c>
      <c r="E196" s="4" t="n"/>
      <c r="F196" s="15" t="inlineStr">
        <is>
          <t>Senate Republicans propose 'Tax Relief that Makes a Difference'</t>
        </is>
      </c>
      <c r="G196" s="4" t="inlineStr">
        <is>
          <t>March 2, 2026</t>
        </is>
      </c>
      <c r="H196" s="4" t="inlineStr">
        <is>
          <t>2026-03-02</t>
        </is>
      </c>
      <c r="I196" s="4" t="inlineStr">
        <is>
          <t>Sen. Michael Kreun's bill would cap property taxes for cities and counties over 2,500 residents at the rate of inflation plus 50% of population growth, with increases above the cap allowed only with voter approval; the caucus ties the prior year's increase of "as much as a billion dollars" to state mandates and spending, citing about 250 mayors who called for fiscal restraint.</t>
        </is>
      </c>
      <c r="J196" s="4" t="inlineStr">
        <is>
          <t>Free-market analyses column</t>
        </is>
      </c>
      <c r="K196" s="4" t="inlineStr">
        <is>
          <t>https://www.mnsenaterepublicans.com/senate-republicans-propose-tax-relief-that-makes-a-difference/</t>
        </is>
      </c>
    </row>
    <row r="197" ht="64" customHeight="1">
      <c r="A197" s="13" t="inlineStr">
        <is>
          <t>Minnesota</t>
        </is>
      </c>
      <c r="B197" s="4" t="inlineStr">
        <is>
          <t>Analysis</t>
        </is>
      </c>
      <c r="C197" s="4" t="inlineStr">
        <is>
          <t>State group</t>
        </is>
      </c>
      <c r="D197" s="4" t="inlineStr">
        <is>
          <t>Alpha News (State Policy Network associate)</t>
        </is>
      </c>
      <c r="E197" s="4" t="inlineStr">
        <is>
          <t>Luke Sprinkel</t>
        </is>
      </c>
      <c r="F197" s="15" t="inlineStr">
        <is>
          <t>Local governments raising property taxes as poll finds 60% are very concerned about increases</t>
        </is>
      </c>
      <c r="G197" s="4" t="inlineStr">
        <is>
          <t>Dec. 23, 2025</t>
        </is>
      </c>
      <c r="H197" s="4" t="inlineStr">
        <is>
          <t>2025-12-23</t>
        </is>
      </c>
      <c r="I197" s="4" t="inlineStr">
        <is>
          <t>An Alpha News/RMG Research poll of 800 registered voters (Dec. 10-16, 2025) found 60% very concerned about rising property taxes and 27% somewhat concerned; reports 2026 levy increases of 7.79% in Hennepin County and 8.25% in Ramsey County, and a letter from 98 mayors saying local increases "stem directly from state policies, mandates, and cost shifts."</t>
        </is>
      </c>
      <c r="J197" s="4" t="inlineStr">
        <is>
          <t>Free-market analyses column</t>
        </is>
      </c>
      <c r="K197" s="4" t="inlineStr">
        <is>
          <t>https://alphanews.org/local-governments-raising-property-taxes-as-poll-finds-60-are-very-concerned-about-increases/</t>
        </is>
      </c>
    </row>
    <row r="198" ht="64" customHeight="1">
      <c r="A198" s="13" t="inlineStr">
        <is>
          <t>Minnesota</t>
        </is>
      </c>
      <c r="B198" s="4" t="inlineStr">
        <is>
          <t>Analysis</t>
        </is>
      </c>
      <c r="C198" s="4" t="inlineStr">
        <is>
          <t>State group</t>
        </is>
      </c>
      <c r="D198" s="4" t="inlineStr">
        <is>
          <t>Center of the American Experiment</t>
        </is>
      </c>
      <c r="E198" s="4" t="inlineStr">
        <is>
          <t>John Phelan</t>
        </is>
      </c>
      <c r="F198" s="15" t="inlineStr">
        <is>
          <t>Tanking commercial property values in downtown Minneapolis push up residential property taxes</t>
        </is>
      </c>
      <c r="G198" s="4" t="inlineStr">
        <is>
          <t>March 27, 2025</t>
        </is>
      </c>
      <c r="H198" s="4" t="inlineStr">
        <is>
          <t>2025-03-27</t>
        </is>
      </c>
      <c r="I198" s="4" t="inlineStr">
        <is>
          <t>Reports that Minneapolis property values fell about 1% for a second straight year, with downtown commercial values down 9.5% and core office buildings down about 22%, so homeowners now carry more than 53% of the city's tax capacity, a share up 6% since 2020; says this is the budget squeeze the Center had predicted for Minneapolis and St. Paul.</t>
        </is>
      </c>
      <c r="J198" s="4" t="inlineStr">
        <is>
          <t>Free-market analyses column</t>
        </is>
      </c>
      <c r="K198" s="4" t="inlineStr">
        <is>
          <t>https://www.americanexperiment.org/tanking-commercial-property-values-in-downtown-minneapolis-push-up-residential-property-taxes/</t>
        </is>
      </c>
    </row>
    <row r="199" ht="64" customHeight="1">
      <c r="A199" s="13" t="inlineStr">
        <is>
          <t>Minnesota</t>
        </is>
      </c>
      <c r="B199" s="4" t="inlineStr">
        <is>
          <t>Analysis</t>
        </is>
      </c>
      <c r="C199" s="4" t="inlineStr">
        <is>
          <t>State group</t>
        </is>
      </c>
      <c r="D199" s="4" t="inlineStr">
        <is>
          <t>Opportunity for All Kids (State Policy Network associate)</t>
        </is>
      </c>
      <c r="E199" s="4" t="inlineStr">
        <is>
          <t>Annie Holmquist</t>
        </is>
      </c>
      <c r="F199" s="15" t="inlineStr">
        <is>
          <t>Rochester's Proposed Referendum Shows It's Time to Start Spending Smarter When It Comes to Education</t>
        </is>
      </c>
      <c r="G199" s="4" t="inlineStr">
        <is>
          <t>May 16, 2024</t>
        </is>
      </c>
      <c r="H199" s="4" t="inlineStr">
        <is>
          <t>2024-05-16</t>
        </is>
      </c>
      <c r="I199" s="4" t="inlineStr">
        <is>
          <t>Faults Rochester Public Schools for weighing a $19.4 million levy referendum months after voters rejected a $100 million one, noting the district spends $20,494 per student while 61% of 10th graders read proficiently and 39% of 11th graders are proficient in math; urges education savings accounts as the better use of education dollars.</t>
        </is>
      </c>
      <c r="J199" s="4" t="inlineStr">
        <is>
          <t>Free-market analyses column</t>
        </is>
      </c>
      <c r="K199" s="4" t="inlineStr">
        <is>
          <t>https://oakmn.org/rochesters-proposed-referendum-shows-its-time-to-start-spending-smarter-when-it-comes-to-education/</t>
        </is>
      </c>
    </row>
    <row r="200" ht="49" customHeight="1">
      <c r="A200" s="13" t="inlineStr">
        <is>
          <t>Minnesota</t>
        </is>
      </c>
      <c r="B200" s="4" t="inlineStr">
        <is>
          <t>Analysis</t>
        </is>
      </c>
      <c r="C200" s="4" t="inlineStr">
        <is>
          <t>State group</t>
        </is>
      </c>
      <c r="D200" s="4" t="inlineStr">
        <is>
          <t>Freedom Foundation of Minnesota</t>
        </is>
      </c>
      <c r="E200" s="4" t="n"/>
      <c r="F200" s="15" t="inlineStr">
        <is>
          <t>Minnesota Legislature Takes Away Taxpayer's Right to Vote</t>
        </is>
      </c>
      <c r="G200" s="4" t="inlineStr">
        <is>
          <t>April 14, 2024</t>
        </is>
      </c>
      <c r="H200" s="4" t="inlineStr">
        <is>
          <t>2024-04-14</t>
        </is>
      </c>
      <c r="I200" s="4" t="inlineStr">
        <is>
          <t>Objects to the 2023 law letting school boards renew an expiring operating referendum once without an election, which it says means "one vote could raise taxes for the local school district for 10 years"; reprints Star Tribune reporting that boards may renew only at the amount and length voters approved.</t>
        </is>
      </c>
      <c r="J200" s="4" t="inlineStr">
        <is>
          <t>Free-market analyses column</t>
        </is>
      </c>
      <c r="K200" s="4" t="inlineStr">
        <is>
          <t>https://freedomfoundationofminnesota.com/minnesota-legislature-takes-away-taxpayers-right-to-vote/</t>
        </is>
      </c>
    </row>
    <row r="201" ht="30" customHeight="1">
      <c r="A201" s="13" t="inlineStr">
        <is>
          <t>Minnesota</t>
        </is>
      </c>
      <c r="B201" s="4" t="inlineStr">
        <is>
          <t>Checked: no report since 2021</t>
        </is>
      </c>
      <c r="C201" s="4" t="inlineStr">
        <is>
          <t>State group</t>
        </is>
      </c>
      <c r="D201" s="4" t="inlineStr">
        <is>
          <t>Upper Midwest Law Center</t>
        </is>
      </c>
      <c r="E201" s="4" t="n"/>
      <c r="F201" s="4" t="inlineStr">
        <is>
          <t>(no report found)</t>
        </is>
      </c>
      <c r="G201" s="4" t="n"/>
      <c r="H201" s="4" t="n"/>
      <c r="I201" s="4" t="inlineStr">
        <is>
          <t>Upper Midwest Law Center (State Policy Network associate): no property tax report since 2021 was found.</t>
        </is>
      </c>
      <c r="J201" s="4" t="inlineStr">
        <is>
          <t>Free-market analyses column</t>
        </is>
      </c>
      <c r="K201" s="4" t="n"/>
    </row>
    <row r="202" ht="34" customHeight="1">
      <c r="A202" s="13" t="inlineStr">
        <is>
          <t>Minnesota</t>
        </is>
      </c>
      <c r="B202" s="4" t="inlineStr">
        <is>
          <t>Checked: no report since 2021</t>
        </is>
      </c>
      <c r="C202" s="4" t="inlineStr">
        <is>
          <t>State group</t>
        </is>
      </c>
      <c r="D202" s="4" t="inlineStr">
        <is>
          <t>Citizens' Council for Health Freedom</t>
        </is>
      </c>
      <c r="E202" s="4" t="n"/>
      <c r="F202" s="4" t="inlineStr">
        <is>
          <t>(no report found)</t>
        </is>
      </c>
      <c r="G202" s="4" t="n"/>
      <c r="H202" s="4" t="n"/>
      <c r="I202" s="4" t="inlineStr">
        <is>
          <t>Citizens' Council for Health Freedom (State Policy Network associate): no property tax report since 2021 was found.</t>
        </is>
      </c>
      <c r="J202" s="4" t="inlineStr">
        <is>
          <t>Free-market analyses column</t>
        </is>
      </c>
      <c r="K202" s="4" t="n"/>
    </row>
    <row r="203" ht="64" customHeight="1">
      <c r="A203" s="13" t="inlineStr">
        <is>
          <t>Minnesota</t>
        </is>
      </c>
      <c r="B203" s="4" t="inlineStr">
        <is>
          <t>Checked: no report since 2021</t>
        </is>
      </c>
      <c r="C203" s="4" t="inlineStr">
        <is>
          <t>State group</t>
        </is>
      </c>
      <c r="D203" s="4" t="inlineStr">
        <is>
          <t>Taxpayers League of Minnesota</t>
        </is>
      </c>
      <c r="E203" s="4" t="n"/>
      <c r="F203" s="4" t="inlineStr">
        <is>
          <t>(no report found)</t>
        </is>
      </c>
      <c r="G203" s="4" t="n"/>
      <c r="H203" s="4" t="n"/>
      <c r="I203" s="4" t="inlineStr">
        <is>
          <t>Taxpayers League of Minnesota (state taxpayer association): no property tax item since 2021 was found, and the group could not be checked at a current site. Its domain, taxpayersleague.org, now serves an unrelated lottery site; archive.org captures show the League's own site was still online in June 2025 with no posts newer than 2018, and web searches found no successor site.</t>
        </is>
      </c>
      <c r="J203" s="4" t="inlineStr">
        <is>
          <t>Free-market analyses column</t>
        </is>
      </c>
      <c r="K203" s="4" t="n"/>
    </row>
    <row r="204" ht="79" customHeight="1">
      <c r="A204" s="13" t="inlineStr">
        <is>
          <t>Mississippi</t>
        </is>
      </c>
      <c r="B204" s="4" t="inlineStr">
        <is>
          <t>Analysis</t>
        </is>
      </c>
      <c r="C204" s="4" t="inlineStr">
        <is>
          <t>State group</t>
        </is>
      </c>
      <c r="D204" s="4" t="inlineStr">
        <is>
          <t>Magnolia Tribune (State Policy Network associate)</t>
        </is>
      </c>
      <c r="E204" s="4" t="inlineStr">
        <is>
          <t>Jeremy Pittari</t>
        </is>
      </c>
      <c r="F204" s="15" t="inlineStr">
        <is>
          <t>House lawmakers exploring ways to cut Mississippi property taxes, car tag fees</t>
        </is>
      </c>
      <c r="G204" s="4" t="inlineStr">
        <is>
          <t>Sept. 18, 2026</t>
        </is>
      </c>
      <c r="H204" s="4" t="inlineStr">
        <is>
          <t>2026-09-18</t>
        </is>
      </c>
      <c r="I204" s="4" t="inlineStr">
        <is>
          <t>Reports that the House Select Committee on Property Tax is weighing cuts to the $1.2 billion in homestead property taxes that counties, cities and school districts collect each year and to car tag fees; co-chair Rep. Trey Lamar (R) says lawmakers must either cut local government or find replacement revenue, points to the same car tag costing $2,000 in one county and $300 in another, and wants better property tax notices. Bills could follow when the Legislature reconvenes in January.</t>
        </is>
      </c>
      <c r="J204" s="4" t="inlineStr">
        <is>
          <t>Free-market analyses column</t>
        </is>
      </c>
      <c r="K204" s="4" t="inlineStr">
        <is>
          <t>https://magnoliatribune.com/2026/09/18/house-lawmakers-exploring-ways-to-cut-mississippi-property-taxes-car-tag-fees/</t>
        </is>
      </c>
    </row>
    <row r="205" ht="64" customHeight="1">
      <c r="A205" s="13" t="inlineStr">
        <is>
          <t>Mississippi</t>
        </is>
      </c>
      <c r="B205" s="4" t="inlineStr">
        <is>
          <t>Analysis</t>
        </is>
      </c>
      <c r="C205" s="4" t="inlineStr">
        <is>
          <t>State group</t>
        </is>
      </c>
      <c r="D205" s="4" t="inlineStr">
        <is>
          <t>Mississippi Center for Public Policy (State Policy Network affiliate)</t>
        </is>
      </c>
      <c r="E205" s="4" t="inlineStr">
        <is>
          <t>Douglas Carswell</t>
        </is>
      </c>
      <c r="F205" s="15" t="inlineStr">
        <is>
          <t>Want to know how your tax money is spent?</t>
        </is>
      </c>
      <c r="G205" s="4" t="inlineStr">
        <is>
          <t>June 28, 2026</t>
        </is>
      </c>
      <c r="H205" s="4" t="inlineStr">
        <is>
          <t>2026-06-28</t>
        </is>
      </c>
      <c r="I205" s="4" t="inlineStr">
        <is>
          <t>Clarion Ledger column introducing the Center's free TaxToolMS calculator, which splits a household's estimated tax bill by level of government and estimates its car tag; says neighbors across the state line pay about half as much to tag a similar car and that, with bills in plain view, legislators "might think twice before spending more."</t>
        </is>
      </c>
      <c r="J205" s="4" t="inlineStr">
        <is>
          <t>Free-market analyses column</t>
        </is>
      </c>
      <c r="K205" s="4" t="inlineStr">
        <is>
          <t>https://mspolicy.org/Clarion-Ledger.pdf</t>
        </is>
      </c>
    </row>
    <row r="206" ht="79" customHeight="1">
      <c r="A206" s="13" t="inlineStr">
        <is>
          <t>Mississippi</t>
        </is>
      </c>
      <c r="B206" s="4" t="inlineStr">
        <is>
          <t>Analysis</t>
        </is>
      </c>
      <c r="C206" s="4" t="inlineStr">
        <is>
          <t>Legislators &amp; officials</t>
        </is>
      </c>
      <c r="D206" s="4" t="inlineStr">
        <is>
          <t>Mississippi Office of the State Auditor (Auditor Shad White, R)</t>
        </is>
      </c>
      <c r="E206" s="4" t="inlineStr">
        <is>
          <t>Logan Reeves</t>
        </is>
      </c>
      <c r="F206" s="15" t="inlineStr">
        <is>
          <t>A Review of Car Tag Prices Across Mississippi</t>
        </is>
      </c>
      <c r="G206" s="4" t="inlineStr">
        <is>
          <t>Jan. 5, 2026</t>
        </is>
      </c>
      <c r="H206" s="4" t="inlineStr">
        <is>
          <t>2026-01-05</t>
        </is>
      </c>
      <c r="I206" s="4" t="inlineStr">
        <is>
          <t>Cites a news report ranking Mississippi's vehicle taxes and fees second-highest in the nation, often approaching or exceeding $1,000 a year, and finds most of the price coming from local ad valorem property taxes on an assessed value of 30% of a vehicle's true value; median millage is 119.3 for county residents and 153.4 inside cities, and Clarksdale's 226.28 mills is more than double Coahoma County's 102.27. Calls on the Legislature to require counties to publish accurate tax rates online.</t>
        </is>
      </c>
      <c r="J206" s="4" t="inlineStr">
        <is>
          <t>Free-market analyses column</t>
        </is>
      </c>
      <c r="K206" s="4" t="inlineStr">
        <is>
          <t>https://www.osa.ms.gov/sites/default/files/osa/files/reports/25A%20Review%20of%20Car%20Tag%20Prices%20Across%20Mississippi.pdf</t>
        </is>
      </c>
    </row>
    <row r="207" ht="49" customHeight="1">
      <c r="A207" s="13" t="inlineStr">
        <is>
          <t>Mississippi</t>
        </is>
      </c>
      <c r="B207" s="4" t="inlineStr">
        <is>
          <t>Analysis</t>
        </is>
      </c>
      <c r="C207" s="4" t="inlineStr">
        <is>
          <t>State group</t>
        </is>
      </c>
      <c r="D207" s="4" t="inlineStr">
        <is>
          <t>Magnolia Tribune</t>
        </is>
      </c>
      <c r="E207" s="4" t="inlineStr">
        <is>
          <t>Frank Corder</t>
        </is>
      </c>
      <c r="F207" s="15" t="inlineStr">
        <is>
          <t>Are property taxes going up in Mississippi?</t>
        </is>
      </c>
      <c r="G207" s="4" t="inlineStr">
        <is>
          <t>July 29, 2025</t>
        </is>
      </c>
      <c r="H207" s="4" t="inlineStr">
        <is>
          <t>2025-07-29</t>
        </is>
      </c>
      <c r="I207" s="4" t="inlineStr">
        <is>
          <t>DeSoto County's assessor said the county had been assessing at about 56% of market value and moved toward at least 85% for tax year 2025; the Department of Revenue said it issued no new directive and that the 85% figure is an assessment ratio standard in place since at least 2007.</t>
        </is>
      </c>
      <c r="J207" s="4" t="inlineStr">
        <is>
          <t>Free-market analyses column</t>
        </is>
      </c>
      <c r="K207" s="4" t="inlineStr">
        <is>
          <t>https://magnoliatribune.com/2025/07/29/are-property-taxes-going-up-in-mississippi/</t>
        </is>
      </c>
    </row>
    <row r="208" ht="34" customHeight="1">
      <c r="A208" s="13" t="inlineStr">
        <is>
          <t>Mississippi</t>
        </is>
      </c>
      <c r="B208" s="4" t="inlineStr">
        <is>
          <t>Analysis</t>
        </is>
      </c>
      <c r="C208" s="4" t="inlineStr">
        <is>
          <t>National group</t>
        </is>
      </c>
      <c r="D208" s="4" t="inlineStr">
        <is>
          <t>Tax Foundation (national)</t>
        </is>
      </c>
      <c r="E208" s="4" t="n"/>
      <c r="F208" s="15" t="inlineStr">
        <is>
          <t>Property Tax Limitation Regimes: A Primer</t>
        </is>
      </c>
      <c r="G208" s="4" t="inlineStr">
        <is>
          <t>updated April 2, 2025</t>
        </is>
      </c>
      <c r="H208" s="4" t="inlineStr">
        <is>
          <t>2025-04-02</t>
        </is>
      </c>
      <c r="I208" s="4" t="inlineStr">
        <is>
          <t>Its table credits Mississippi with a levy limit only, and it explains that levy limits restrain total revenue growth while leaving room for rates and individual bills to change.</t>
        </is>
      </c>
      <c r="J208" s="4" t="inlineStr">
        <is>
          <t>Free-market analyses column</t>
        </is>
      </c>
      <c r="K208" s="4" t="inlineStr">
        <is>
          <t>https://taxfoundation.org/research/all/state/property-tax-limitation-regimes-primer/</t>
        </is>
      </c>
    </row>
    <row r="209" ht="79" customHeight="1">
      <c r="A209" s="13" t="inlineStr">
        <is>
          <t>Mississippi</t>
        </is>
      </c>
      <c r="B209" s="4" t="inlineStr">
        <is>
          <t>Analysis</t>
        </is>
      </c>
      <c r="C209" s="4" t="inlineStr">
        <is>
          <t>State group</t>
        </is>
      </c>
      <c r="D209" s="4" t="inlineStr">
        <is>
          <t>Magnolia Tribune</t>
        </is>
      </c>
      <c r="E209" s="4" t="inlineStr">
        <is>
          <t>Sid Salter</t>
        </is>
      </c>
      <c r="F209" s="15" t="inlineStr">
        <is>
          <t>Will state legislative leaders join growing national trend toward property tax limits?</t>
        </is>
      </c>
      <c r="G209" s="4" t="inlineStr">
        <is>
          <t>Aug. 21, 2024</t>
        </is>
      </c>
      <c r="H209" s="4" t="inlineStr">
        <is>
          <t>2024-08-21</t>
        </is>
      </c>
      <c r="I209" s="4" t="inlineStr">
        <is>
          <t>Says property tax seldom enters Mississippi's tax-cut debates because local governments control it, credits the 1934 move to a first-in-the-nation retail sales tax with keeping property taxes low, and cites a figure that personal property made up 29.4% of the tax base in 2021, the highest share among states that classify it; asks whether "a showdown on property tax relief" is near as other states move toward limits.</t>
        </is>
      </c>
      <c r="J209" s="4" t="inlineStr">
        <is>
          <t>Free-market analyses column</t>
        </is>
      </c>
      <c r="K209" s="4" t="inlineStr">
        <is>
          <t>https://magnoliatribune.com/2024/08/21/will-state-legislative-leaders-join-growing-national-trend-toward-property-tax-limits/</t>
        </is>
      </c>
    </row>
    <row r="210" ht="64" customHeight="1">
      <c r="A210" s="13" t="inlineStr">
        <is>
          <t>Mississippi</t>
        </is>
      </c>
      <c r="B210" s="4" t="inlineStr">
        <is>
          <t>Analysis</t>
        </is>
      </c>
      <c r="C210" s="4" t="inlineStr">
        <is>
          <t>State group</t>
        </is>
      </c>
      <c r="D210" s="4" t="inlineStr">
        <is>
          <t>Magnolia Tribune</t>
        </is>
      </c>
      <c r="E210" s="4" t="inlineStr">
        <is>
          <t>Bill Crawford</t>
        </is>
      </c>
      <c r="F210" s="15" t="inlineStr">
        <is>
          <t>Cut school taxes to provide tax relief</t>
        </is>
      </c>
      <c r="G210" s="4" t="inlineStr">
        <is>
          <t>May 26, 2024</t>
        </is>
      </c>
      <c r="H210" s="4" t="inlineStr">
        <is>
          <t>2024-05-26</t>
        </is>
      </c>
      <c r="I210" s="4" t="inlineStr">
        <is>
          <t>Urges Speaker Jason White to put property taxes ahead of income and grocery tax cuts, noting that school millage rates often exceed city and county general rates and that the new school funding formula sets a minimum local contribution of 28 mills in most districts; proposes phasing out that local match and requiring local governments to phase down school taxes.</t>
        </is>
      </c>
      <c r="J210" s="4" t="inlineStr">
        <is>
          <t>Free-market analyses column</t>
        </is>
      </c>
      <c r="K210" s="4" t="inlineStr">
        <is>
          <t>https://magnoliatribune.com/2024/05/26/cut-school-taxes-to-provide-tax-relief/</t>
        </is>
      </c>
    </row>
    <row r="211" ht="34" customHeight="1">
      <c r="A211" s="13" t="inlineStr">
        <is>
          <t>Mississippi</t>
        </is>
      </c>
      <c r="B211" s="4" t="inlineStr">
        <is>
          <t>Checked: no report since 2021</t>
        </is>
      </c>
      <c r="C211" s="4" t="inlineStr">
        <is>
          <t>State group</t>
        </is>
      </c>
      <c r="D211" s="4" t="inlineStr">
        <is>
          <t>Empower Mississippi Foundation</t>
        </is>
      </c>
      <c r="E211" s="4" t="n"/>
      <c r="F211" s="4" t="inlineStr">
        <is>
          <t>(no report found)</t>
        </is>
      </c>
      <c r="G211" s="4" t="n"/>
      <c r="H211" s="4" t="n"/>
      <c r="I211" s="4" t="inlineStr">
        <is>
          <t>Empower Mississippi Foundation (State Policy Network affiliate): no property tax report since 2021 was found.</t>
        </is>
      </c>
      <c r="J211" s="4" t="inlineStr">
        <is>
          <t>Free-market analyses column</t>
        </is>
      </c>
      <c r="K211" s="4" t="n"/>
    </row>
    <row r="212" ht="30" customHeight="1">
      <c r="A212" s="13" t="inlineStr">
        <is>
          <t>Mississippi</t>
        </is>
      </c>
      <c r="B212" s="4" t="inlineStr">
        <is>
          <t>Checked: no report since 2021</t>
        </is>
      </c>
      <c r="C212" s="4" t="inlineStr">
        <is>
          <t>State group</t>
        </is>
      </c>
      <c r="D212" s="4" t="inlineStr">
        <is>
          <t>American Dream Legal</t>
        </is>
      </c>
      <c r="E212" s="4" t="n"/>
      <c r="F212" s="4" t="inlineStr">
        <is>
          <t>(no report found)</t>
        </is>
      </c>
      <c r="G212" s="4" t="n"/>
      <c r="H212" s="4" t="n"/>
      <c r="I212" s="4" t="inlineStr">
        <is>
          <t>American Dream Legal (State Policy Network associate): no property tax report since 2021 was found.</t>
        </is>
      </c>
      <c r="J212" s="4" t="inlineStr">
        <is>
          <t>Free-market analyses column</t>
        </is>
      </c>
      <c r="K212" s="4" t="n"/>
    </row>
    <row r="213" ht="79" customHeight="1">
      <c r="A213" s="13" t="inlineStr">
        <is>
          <t>Missouri</t>
        </is>
      </c>
      <c r="B213" s="4" t="inlineStr">
        <is>
          <t>Analysis</t>
        </is>
      </c>
      <c r="C213" s="4" t="inlineStr">
        <is>
          <t>State group</t>
        </is>
      </c>
      <c r="D213" s="4" t="inlineStr">
        <is>
          <t>Show-Me Institute</t>
        </is>
      </c>
      <c r="E213" s="4" t="inlineStr">
        <is>
          <t>David Stokes</t>
        </is>
      </c>
      <c r="F213" s="15" t="inlineStr">
        <is>
          <t>Why County Tax Increases Can Be Tricky</t>
        </is>
      </c>
      <c r="G213" s="4" t="inlineStr">
        <is>
          <t>September 18, 2026</t>
        </is>
      </c>
      <c r="H213" s="4" t="inlineStr">
        <is>
          <t>2026-09-18</t>
        </is>
      </c>
      <c r="I213" s="4" t="inlineStr">
        <is>
          <t>St. Louis County Executive Sam Page asked the county council to raise the property tax rate without a vote of the people to avoid cuts that would fall mostly on the county police; Stokes argues the increase would tax all one million county residents to pay for police who mostly serve the 300,000 people of unincorporated St. Louis County, and points to the utility (franchise) tax that applies only in unincorporated areas as the fairer option if more revenue is needed.</t>
        </is>
      </c>
      <c r="J213" s="4" t="inlineStr">
        <is>
          <t>Free-market analyses column</t>
        </is>
      </c>
      <c r="K213" s="4" t="inlineStr">
        <is>
          <t>https://showmeinstitute.org/article/economy/why-county-tax-increases-can-be-tricky/</t>
        </is>
      </c>
    </row>
    <row r="214" ht="79" customHeight="1">
      <c r="A214" s="13" t="inlineStr">
        <is>
          <t>Missouri</t>
        </is>
      </c>
      <c r="B214" s="4" t="inlineStr">
        <is>
          <t>Analysis</t>
        </is>
      </c>
      <c r="C214" s="4" t="inlineStr">
        <is>
          <t>State group</t>
        </is>
      </c>
      <c r="D214" s="4" t="inlineStr">
        <is>
          <t>Show-Me Institute</t>
        </is>
      </c>
      <c r="E214" s="4" t="inlineStr">
        <is>
          <t>David Stokes</t>
        </is>
      </c>
      <c r="F214" s="15" t="inlineStr">
        <is>
          <t>The Wrong Way to Fix Property Taxes</t>
        </is>
      </c>
      <c r="G214" s="4" t="inlineStr">
        <is>
          <t>March 20, 2026</t>
        </is>
      </c>
      <c r="H214" s="4" t="inlineStr">
        <is>
          <t>2026-03-20</t>
        </is>
      </c>
      <c r="I214" s="4" t="inlineStr">
        <is>
          <t>Opposes the April 2026 votes in Webster, Christian, Lawrence and Dade counties to bar any property tax increase from reassessment, arguing the change would make schools more dependent on state aid and Missouri more dependent on taxes that harm growth more than property taxes; it notes Nixa schools are 54% locally funded and Marshfield schools 46%, against 80% or more for St. Louis County districts, and cites California's Proposition 13.</t>
        </is>
      </c>
      <c r="J214" s="4" t="inlineStr">
        <is>
          <t>Free-market analyses column</t>
        </is>
      </c>
      <c r="K214" s="4" t="inlineStr">
        <is>
          <t>https://showmeinstitute.org/article/taxes/the-wrong-way-to-fix-property-taxes-2/</t>
        </is>
      </c>
    </row>
    <row r="215" ht="94" customHeight="1">
      <c r="A215" s="13" t="inlineStr">
        <is>
          <t>Missouri</t>
        </is>
      </c>
      <c r="B215" s="4" t="inlineStr">
        <is>
          <t>Analysis</t>
        </is>
      </c>
      <c r="C215" s="4" t="inlineStr">
        <is>
          <t>State group</t>
        </is>
      </c>
      <c r="D215" s="4" t="inlineStr">
        <is>
          <t>Show-Me Institute</t>
        </is>
      </c>
      <c r="E215" s="4" t="inlineStr">
        <is>
          <t>David Stokes</t>
        </is>
      </c>
      <c r="F215" s="15" t="inlineStr">
        <is>
          <t>Senate Joint Resolution 111 and Property Taxes</t>
        </is>
      </c>
      <c r="G215" s="4" t="inlineStr">
        <is>
          <t>February 18, 2026</t>
        </is>
      </c>
      <c r="H215" s="4" t="inlineStr">
        <is>
          <t>2026-02-18</t>
        </is>
      </c>
      <c r="I215" s="4" t="inlineStr">
        <is>
          <t>Senate testimony backing SJR 111's repeal of the Kansas City 33 School District's exemption from rate rollbacks, the only one among thousands of Missouri taxing districts: the district kept its rate unchanged when its assessed value rose 24% in 2023 and cut it ten cents (2%) in 2025 against an assessment increase over 9%. It also asks lawmakers to bring debt service levies under the rollback rules, citing dozens of 2025 shifts such as Wright City R-II, which cut its general fund rate 39 cents and raised its debt service rate by the same amount.</t>
        </is>
      </c>
      <c r="J215" s="4" t="inlineStr">
        <is>
          <t>Free-market analyses column</t>
        </is>
      </c>
      <c r="K215" s="4" t="inlineStr">
        <is>
          <t>https://showmeinstitute.org/wp-content/uploads/2026/02/20260218-Property-Taxes-SJR-111-Stokes.pdf</t>
        </is>
      </c>
    </row>
    <row r="216" ht="94" customHeight="1">
      <c r="A216" s="13" t="inlineStr">
        <is>
          <t>Missouri</t>
        </is>
      </c>
      <c r="B216" s="4" t="inlineStr">
        <is>
          <t>Analysis</t>
        </is>
      </c>
      <c r="C216" s="4" t="inlineStr">
        <is>
          <t>State group</t>
        </is>
      </c>
      <c r="D216" s="4" t="inlineStr">
        <is>
          <t>Show-Me Institute</t>
        </is>
      </c>
      <c r="E216" s="4" t="inlineStr">
        <is>
          <t>David Stokes</t>
        </is>
      </c>
      <c r="F216" s="15" t="inlineStr">
        <is>
          <t>Property Tax Reform</t>
        </is>
      </c>
      <c r="G216" s="4" t="inlineStr">
        <is>
          <t>November 12, 2025</t>
        </is>
      </c>
      <c r="H216" s="4" t="inlineStr">
        <is>
          <t>2025-11-12</t>
        </is>
      </c>
      <c r="I216" s="4" t="inlineStr">
        <is>
          <t>Blueprint for Missouri chapter arguing that the 2023 senior freeze option and the 2025 special session changes shrink the tax base and will push up rates on commercial and multi-family property, special sales taxes and state income tax support for schools. It recommends ending the Kansas City 33 rollback exemption, requiring personal property rates to roll back (or phasing those taxes out), ending the livestock tax (about $10 million a year statewide), repealing or amending the senior freeze laws and reassessing homes from county sale averages by property class.</t>
        </is>
      </c>
      <c r="J216" s="4" t="inlineStr">
        <is>
          <t>Free-market analyses column</t>
        </is>
      </c>
      <c r="K216" s="4" t="inlineStr">
        <is>
          <t>https://showmeinstitute.org/publication/economy/property-tax-reform-2/</t>
        </is>
      </c>
    </row>
    <row r="217" ht="79" customHeight="1">
      <c r="A217" s="13" t="inlineStr">
        <is>
          <t>Missouri</t>
        </is>
      </c>
      <c r="B217" s="4" t="inlineStr">
        <is>
          <t>Analysis</t>
        </is>
      </c>
      <c r="C217" s="4" t="inlineStr">
        <is>
          <t>State group</t>
        </is>
      </c>
      <c r="D217" s="4" t="inlineStr">
        <is>
          <t>Show-Me Institute</t>
        </is>
      </c>
      <c r="E217" s="4" t="inlineStr">
        <is>
          <t>David Stokes</t>
        </is>
      </c>
      <c r="F217" s="15" t="inlineStr">
        <is>
          <t>Senate Bill 3 and Property Tax Adjustments</t>
        </is>
      </c>
      <c r="G217" s="4" t="inlineStr">
        <is>
          <t>June 10, 2025</t>
        </is>
      </c>
      <c r="H217" s="4" t="inlineStr">
        <is>
          <t>2025-06-10</t>
        </is>
      </c>
      <c r="I217" s="4" t="inlineStr">
        <is>
          <t>Testimony to the House Economic Development Committee opposing SB 3's homestead caps and freezes: it argues they shrink the property tax base, push local governments toward service cuts or other taxes, shift the burden to new homeowners and raise uniformity questions under Mo. Const. art. X §3, citing California's Proposition 13 as a warning. It notes that Jackson County, with by far the worst recent assessment administration, falls outside the bill. "This is not what we need for Missouri."</t>
        </is>
      </c>
      <c r="J217" s="4" t="inlineStr">
        <is>
          <t>Free-market analyses column</t>
        </is>
      </c>
      <c r="K217" s="4" t="inlineStr">
        <is>
          <t>https://showmeinstitute.org/wp-content/uploads/2025/06/20250610-Property-Tax-SS.pdf</t>
        </is>
      </c>
    </row>
    <row r="218" ht="64" customHeight="1">
      <c r="A218" s="13" t="inlineStr">
        <is>
          <t>Missouri</t>
        </is>
      </c>
      <c r="B218" s="4" t="inlineStr">
        <is>
          <t>Analysis</t>
        </is>
      </c>
      <c r="C218" s="4" t="inlineStr">
        <is>
          <t>State group</t>
        </is>
      </c>
      <c r="D218" s="4" t="inlineStr">
        <is>
          <t>Show-Me Institute</t>
        </is>
      </c>
      <c r="E218" s="4" t="inlineStr">
        <is>
          <t>David Stokes</t>
        </is>
      </c>
      <c r="F218" s="15" t="inlineStr">
        <is>
          <t>Does the Hancock Amendment Mean Anything to Town and Country?</t>
        </is>
      </c>
      <c r="G218" s="4" t="inlineStr">
        <is>
          <t>November 22, 2024</t>
        </is>
      </c>
      <c r="H218" s="4" t="inlineStr">
        <is>
          <t>2024-11-22</t>
        </is>
      </c>
      <c r="I218" s="4" t="inlineStr">
        <is>
          <t>The St. Louis suburb imposed a 23-cent property tax (from zero) without a vote by relying on RSMo 137.073.5, which lets a government that voluntarily cut its rate below the ceiling raise it back; Stokes calls reinstating a rate unused for 27 years a violation of the spirit of the Hancock Amendment and asks the legislature to close the loophole.</t>
        </is>
      </c>
      <c r="J218" s="4" t="inlineStr">
        <is>
          <t>Free-market analyses column</t>
        </is>
      </c>
      <c r="K218" s="4" t="inlineStr">
        <is>
          <t>https://showmeinstitute.org/article/taxes/does-the-hancock-amendment-mean-anything-to-town-and-country/</t>
        </is>
      </c>
    </row>
    <row r="219" ht="30" customHeight="1">
      <c r="A219" s="13" t="inlineStr">
        <is>
          <t>Missouri</t>
        </is>
      </c>
      <c r="B219" s="4" t="inlineStr">
        <is>
          <t>Checked: no report since 2021</t>
        </is>
      </c>
      <c r="C219" s="4" t="inlineStr">
        <is>
          <t>State group</t>
        </is>
      </c>
      <c r="D219" s="4" t="inlineStr">
        <is>
          <t>True Charity</t>
        </is>
      </c>
      <c r="E219" s="4" t="n"/>
      <c r="F219" s="4" t="inlineStr">
        <is>
          <t>(no report found)</t>
        </is>
      </c>
      <c r="G219" s="4" t="n"/>
      <c r="H219" s="4" t="n"/>
      <c r="I219" s="4" t="inlineStr">
        <is>
          <t>True Charity (State Policy Network associate): no property tax report since 2021 was found.</t>
        </is>
      </c>
      <c r="J219" s="4" t="inlineStr">
        <is>
          <t>Free-market analyses column</t>
        </is>
      </c>
      <c r="K219" s="4" t="n"/>
    </row>
    <row r="220" ht="64" customHeight="1">
      <c r="A220" s="13" t="inlineStr">
        <is>
          <t>Montana</t>
        </is>
      </c>
      <c r="B220" s="4" t="inlineStr">
        <is>
          <t>Analysis</t>
        </is>
      </c>
      <c r="C220" s="4" t="inlineStr">
        <is>
          <t>State group</t>
        </is>
      </c>
      <c r="D220" s="4" t="inlineStr">
        <is>
          <t>Frontier Institute</t>
        </is>
      </c>
      <c r="E220" s="4" t="n"/>
      <c r="F220" s="15" t="inlineStr">
        <is>
          <t>Permanent Tax Relief Requires Limiting Government Budget Growth</t>
        </is>
      </c>
      <c r="G220" s="4" t="inlineStr">
        <is>
          <t>August 28, 2026</t>
        </is>
      </c>
      <c r="H220" s="4" t="inlineStr">
        <is>
          <t>2026-08-28</t>
        </is>
      </c>
      <c r="I220" s="4" t="inlineStr">
        <is>
          <t>It argues HB 231 and SB 542 created "a new progressive property tax system" tiered by value that favors primary residences and pushes more of the bill onto businesses, second homes and short-term rentals, while leaving spending growth untouched; it cites Missoula's new budget, which raises property tax revenue by $2.8 million, or 3.8%. "Permanent tax relief requires limiting the growth of government budgets."</t>
        </is>
      </c>
      <c r="J220" s="4" t="inlineStr">
        <is>
          <t>Free-market analyses column</t>
        </is>
      </c>
      <c r="K220" s="4" t="inlineStr">
        <is>
          <t>https://frontierinstitute.org/permanent-tax-relief-requires-limiting-government-budget-growth/</t>
        </is>
      </c>
    </row>
    <row r="221" ht="49" customHeight="1">
      <c r="A221" s="13" t="inlineStr">
        <is>
          <t>Montana</t>
        </is>
      </c>
      <c r="B221" s="4" t="inlineStr">
        <is>
          <t>Analysis</t>
        </is>
      </c>
      <c r="C221" s="4" t="inlineStr">
        <is>
          <t>State group</t>
        </is>
      </c>
      <c r="D221" s="4" t="inlineStr">
        <is>
          <t>Frontier Institute</t>
        </is>
      </c>
      <c r="E221" s="4" t="inlineStr">
        <is>
          <t>Kendall Cotton</t>
        </is>
      </c>
      <c r="F221" s="15" t="inlineStr">
        <is>
          <t>Eliminate Montana's $35 Million University Property Tax</t>
        </is>
      </c>
      <c r="G221" s="4" t="inlineStr">
        <is>
          <t>August 7, 2026</t>
        </is>
      </c>
      <c r="H221" s="4" t="inlineStr">
        <is>
          <t>2026-08-07</t>
        </is>
      </c>
      <c r="I221" s="4" t="inlineStr">
        <is>
          <t>Urges the 2027 Legislature to let the 6-mill university levy expire on Dec. 31, 2028 by not referring it to voters; the levy raises about $35 million a year, about 9-10% of state funding for the university system and about 1% of its operating budget.</t>
        </is>
      </c>
      <c r="J221" s="4" t="inlineStr">
        <is>
          <t>Free-market analyses column</t>
        </is>
      </c>
      <c r="K221" s="4" t="inlineStr">
        <is>
          <t>https://frontierinstitute.org/eliminate-montanas-35-million-university-property-tax/</t>
        </is>
      </c>
    </row>
    <row r="222" ht="79" customHeight="1">
      <c r="A222" s="13" t="inlineStr">
        <is>
          <t>Montana</t>
        </is>
      </c>
      <c r="B222" s="4" t="inlineStr">
        <is>
          <t>Analysis</t>
        </is>
      </c>
      <c r="C222" s="4" t="inlineStr">
        <is>
          <t>State group</t>
        </is>
      </c>
      <c r="D222" s="4" t="inlineStr">
        <is>
          <t>Frontier Institute</t>
        </is>
      </c>
      <c r="E222" s="4" t="n"/>
      <c r="F222" s="15" t="inlineStr">
        <is>
          <t>2026 Real Government Budgets</t>
        </is>
      </c>
      <c r="G222" s="4" t="inlineStr">
        <is>
          <t>June 16, 2026</t>
        </is>
      </c>
      <c r="H222" s="4" t="inlineStr">
        <is>
          <t>2026-06-16</t>
        </is>
      </c>
      <c r="I222" s="4" t="inlineStr">
        <is>
          <t>Full report measuring own-source revenue against chained CPI inflation: state and local governments collected a cumulative $6.85 billion more than inflation-paced growth would have allowed over the last decade, including $520.8 million for counties and $286.6 million for cities (FY2018-FY2024). Bozeman's own-source revenue grew 94.2%, Missoula's 62.8% and Billings' 43.0% from FY2018 to FY2024; Frontier calls for a cap on government budget growth at inflation with automatic refunds of overcollections.</t>
        </is>
      </c>
      <c r="J222" s="4" t="inlineStr">
        <is>
          <t>Free-market analyses column</t>
        </is>
      </c>
      <c r="K222" s="4" t="inlineStr">
        <is>
          <t>https://frontierinstitute.org/reports/2026-real-government-budgets/</t>
        </is>
      </c>
    </row>
    <row r="223" ht="79" customHeight="1">
      <c r="A223" s="13" t="inlineStr">
        <is>
          <t>Montana</t>
        </is>
      </c>
      <c r="B223" s="4" t="inlineStr">
        <is>
          <t>Analysis</t>
        </is>
      </c>
      <c r="C223" s="4" t="inlineStr">
        <is>
          <t>State group</t>
        </is>
      </c>
      <c r="D223" s="4" t="inlineStr">
        <is>
          <t>Frontier Institute</t>
        </is>
      </c>
      <c r="E223" s="4" t="inlineStr">
        <is>
          <t>Kendall Cotton</t>
        </is>
      </c>
      <c r="F223" s="15" t="inlineStr">
        <is>
          <t>More Property Tax Relief Needed</t>
        </is>
      </c>
      <c r="G223" s="4" t="inlineStr">
        <is>
          <t>April 14, 2026</t>
        </is>
      </c>
      <c r="H223" s="4" t="inlineStr">
        <is>
          <t>2026-04-14</t>
        </is>
      </c>
      <c r="I223" s="4" t="inlineStr">
        <is>
          <t>Argues the 2025 HB 231/SB 542 rate shifts redistributed the bill without cutting collections, which still rose about 5%, or $127 million, in 2026. Cotton backs Sen. Wylie Galt's draft BI-11 initiative, which would replace the statutory local revenue growth cap with a 2% per-parcel annual cap on taxes for existing owners, and welcomes the revised draft's tighter rule for voted levies above the cap, while calling for limits on the growth of state, school and local budgets.</t>
        </is>
      </c>
      <c r="J223" s="4" t="inlineStr">
        <is>
          <t>Free-market analyses column</t>
        </is>
      </c>
      <c r="K223" s="4" t="inlineStr">
        <is>
          <t>https://frontierinstitute.org/more-property-tax-relief-needed/</t>
        </is>
      </c>
    </row>
    <row r="224" ht="64" customHeight="1">
      <c r="A224" s="13" t="inlineStr">
        <is>
          <t>Montana</t>
        </is>
      </c>
      <c r="B224" s="4" t="inlineStr">
        <is>
          <t>Analysis</t>
        </is>
      </c>
      <c r="C224" s="4" t="inlineStr">
        <is>
          <t>State group</t>
        </is>
      </c>
      <c r="D224" s="4" t="inlineStr">
        <is>
          <t>Americans for Prosperity-Montana</t>
        </is>
      </c>
      <c r="E224" s="4" t="n"/>
      <c r="F224" s="15" t="inlineStr">
        <is>
          <t>AFP–Montana Launches Statewide Accountability Campaign on Property Taxes</t>
        </is>
      </c>
      <c r="G224" s="4" t="inlineStr">
        <is>
          <t>January 28, 2026</t>
        </is>
      </c>
      <c r="H224" s="4" t="inlineStr">
        <is>
          <t>2026-01-28</t>
        </is>
      </c>
      <c r="I224" s="4" t="inlineStr">
        <is>
          <t>Targets lawmakers who backed HB 231, which AFP says does nothing to control local spending, and points to TIF and TEDD districts that take over $100 million a year, including $25 million each in Gallatin and Flathead, $19 million in Missoula County and $15 million in Billings; it backed a Local Taxpayer Bill of Rights in 2023 and TIF reform in 2023 and 2025.</t>
        </is>
      </c>
      <c r="J224" s="4" t="inlineStr">
        <is>
          <t>Free-market analyses column</t>
        </is>
      </c>
      <c r="K224" s="4" t="inlineStr">
        <is>
          <t>https://americansforprosperity.org/press-release/afp-montana-launches-statewide-accountability-campaign-on-property-taxes/</t>
        </is>
      </c>
    </row>
    <row r="225" ht="49" customHeight="1">
      <c r="A225" s="13" t="inlineStr">
        <is>
          <t>Montana</t>
        </is>
      </c>
      <c r="B225" s="4" t="inlineStr">
        <is>
          <t>Analysis</t>
        </is>
      </c>
      <c r="C225" s="4" t="inlineStr">
        <is>
          <t>State group</t>
        </is>
      </c>
      <c r="D225" s="4" t="inlineStr">
        <is>
          <t>Montana Taxpayers Association</t>
        </is>
      </c>
      <c r="E225" s="4" t="inlineStr">
        <is>
          <t>Bob Story</t>
        </is>
      </c>
      <c r="F225" s="15" t="inlineStr">
        <is>
          <t>Revenue Interim Committee</t>
        </is>
      </c>
      <c r="G225" s="4" t="inlineStr">
        <is>
          <t>July 11, 2025</t>
        </is>
      </c>
      <c r="H225" s="4" t="inlineStr">
        <is>
          <t>2025-07-11</t>
        </is>
      </c>
      <c r="I225" s="4" t="inlineStr">
        <is>
          <t>Public comment showing the residential tax rate cut from 3.86% in 1996 to 0.76% in 2026 while the class 9 pipeline and utility rate stayed at 12%, almost 16 times the residential rate; it asks the committee to study the 16-class system and other ways to pay for services now funded by property taxes.</t>
        </is>
      </c>
      <c r="J225" s="4" t="inlineStr">
        <is>
          <t>Free-market analyses column</t>
        </is>
      </c>
      <c r="K225" s="4" t="inlineStr">
        <is>
          <t>https://archive.legmt.gov/content/Committees/Interim/2025-2026/RIC/Meetings/July_11_2025/4.3.MonTax%20public_comment.pdf</t>
        </is>
      </c>
    </row>
    <row r="226" ht="64" customHeight="1">
      <c r="A226" s="13" t="inlineStr">
        <is>
          <t>Montana</t>
        </is>
      </c>
      <c r="B226" s="4" t="inlineStr">
        <is>
          <t>Analysis</t>
        </is>
      </c>
      <c r="C226" s="4" t="inlineStr">
        <is>
          <t>State group</t>
        </is>
      </c>
      <c r="D226" s="4" t="inlineStr">
        <is>
          <t>Frontier Institute</t>
        </is>
      </c>
      <c r="E226" s="4" t="inlineStr">
        <is>
          <t>Kendall Cotton</t>
        </is>
      </c>
      <c r="F226" s="15" t="inlineStr">
        <is>
          <t>The One-Way Property Tax Ratchet</t>
        </is>
      </c>
      <c r="G226" s="4" t="inlineStr">
        <is>
          <t>February 19, 2025</t>
        </is>
      </c>
      <c r="H226" s="4" t="inlineStr">
        <is>
          <t>2025-02-19</t>
        </is>
      </c>
      <c r="I226" s="4" t="inlineStr">
        <is>
          <t>Backs the Property Tax Task Force bills to rein in voted levies: SB 204 (sunset voted levies every 10 years), SB 205 (minimum turnout and a higher threshold in low-turnout elections) and HB 20 (voted levies in dollars, which keeps them from growing with taxable value); it notes levy hikes are often approved by less than 25% of eligible voters.</t>
        </is>
      </c>
      <c r="J226" s="4" t="inlineStr">
        <is>
          <t>Free-market analyses column</t>
        </is>
      </c>
      <c r="K226" s="4" t="inlineStr">
        <is>
          <t>https://frontierinstitute.org/the-one-way-property-tax-ratchet/</t>
        </is>
      </c>
    </row>
    <row r="227" ht="154" customHeight="1">
      <c r="A227" s="13" t="inlineStr">
        <is>
          <t>Montana</t>
        </is>
      </c>
      <c r="B227" s="4" t="inlineStr">
        <is>
          <t>Cited elsewhere in the matrix</t>
        </is>
      </c>
      <c r="C227" s="4" t="inlineStr">
        <is>
          <t>State group</t>
        </is>
      </c>
      <c r="D227" s="4" t="inlineStr">
        <is>
          <t>Frontier Institute</t>
        </is>
      </c>
      <c r="E227" s="4" t="n"/>
      <c r="F227" s="15" t="inlineStr">
        <is>
          <t>The Latest Levy Report Card</t>
        </is>
      </c>
      <c r="G227" s="4" t="inlineStr">
        <is>
          <t>May 8, 2026</t>
        </is>
      </c>
      <c r="H227" s="4" t="inlineStr">
        <is>
          <t>2026-05-08</t>
        </is>
      </c>
      <c r="I227" s="4" t="inlineStr">
        <is>
          <t>The Frontier Institute puts school funding levies at over 50% of property taxes.
- Outside the limit: school district levies, voted levies and part of new construction value, and unused mills carry forward.
- Big cities: the Missoula City Council's 2026 budget raises property tax revenue by $2.8 million, or 3.8% (Frontier Institute, Aug. 28, 2026). Yellowstone County (Billings) voters are weighing a $175 million jail expansion this fall.
- Overrides: in the May 5, 2026 school levy elections some levies passed in Bozeman, Butte and Missoula, while voters rejected every levy in Helena and East Helena, Billings and Laurel and the Flathead Valley (Frontier Institute, May 8, 2026).
- Revenue shif</t>
        </is>
      </c>
      <c r="J227" s="4" t="inlineStr">
        <is>
          <t>Source URLs and Loopholes &amp; has it worked?, Recent reforms</t>
        </is>
      </c>
      <c r="K227" s="4" t="inlineStr">
        <is>
          <t>https://frontierinstitute.org/the-latest-levy-report-card/</t>
        </is>
      </c>
    </row>
    <row r="228" ht="34" customHeight="1">
      <c r="A228" s="13" t="inlineStr">
        <is>
          <t>Montana</t>
        </is>
      </c>
      <c r="B228" s="4" t="inlineStr">
        <is>
          <t>Checked: no report since 2021</t>
        </is>
      </c>
      <c r="C228" s="4" t="inlineStr">
        <is>
          <t>State group</t>
        </is>
      </c>
      <c r="D228" s="4" t="inlineStr">
        <is>
          <t>Mountain States Policy Center</t>
        </is>
      </c>
      <c r="E228" s="4" t="n"/>
      <c r="F228" s="4" t="inlineStr">
        <is>
          <t>(no report found)</t>
        </is>
      </c>
      <c r="G228" s="4" t="n"/>
      <c r="H228" s="4" t="n"/>
      <c r="I228" s="4" t="inlineStr">
        <is>
          <t>Mountain States Policy Center (State Policy Network affiliate): no Montana property tax report since 2021 was found.</t>
        </is>
      </c>
      <c r="J228" s="4" t="inlineStr">
        <is>
          <t>Free-market analyses column</t>
        </is>
      </c>
      <c r="K228" s="4" t="n"/>
    </row>
    <row r="229" ht="34" customHeight="1">
      <c r="A229" s="13" t="inlineStr">
        <is>
          <t>Montana</t>
        </is>
      </c>
      <c r="B229" s="4" t="inlineStr">
        <is>
          <t>Checked: no report since 2021</t>
        </is>
      </c>
      <c r="C229" s="4" t="inlineStr">
        <is>
          <t>State group</t>
        </is>
      </c>
      <c r="D229" s="4" t="inlineStr">
        <is>
          <t>PERC</t>
        </is>
      </c>
      <c r="E229" s="4" t="n"/>
      <c r="F229" s="4" t="inlineStr">
        <is>
          <t>(no report found)</t>
        </is>
      </c>
      <c r="G229" s="4" t="n"/>
      <c r="H229" s="4" t="n"/>
      <c r="I229" s="4" t="inlineStr">
        <is>
          <t>PERC (State Policy Network associate): no property tax report since 2021 was found; its work centers on conservation and property rights in land.</t>
        </is>
      </c>
      <c r="J229" s="4" t="inlineStr">
        <is>
          <t>Free-market analyses column</t>
        </is>
      </c>
      <c r="K229" s="4" t="n"/>
    </row>
    <row r="230" ht="49" customHeight="1">
      <c r="A230" s="13" t="inlineStr">
        <is>
          <t>Nebraska</t>
        </is>
      </c>
      <c r="B230" s="4" t="inlineStr">
        <is>
          <t>Analysis</t>
        </is>
      </c>
      <c r="C230" s="4" t="inlineStr">
        <is>
          <t>State group</t>
        </is>
      </c>
      <c r="D230" s="4" t="inlineStr">
        <is>
          <t>Common Sense Institute</t>
        </is>
      </c>
      <c r="E230" s="4" t="n"/>
      <c r="F230" s="15" t="inlineStr">
        <is>
          <t>Iowa Leads the Nation in Property Tax Relief: Ranking State Reforms of the Past Decade</t>
        </is>
      </c>
      <c r="G230" s="4" t="inlineStr">
        <is>
          <t>Aug. 6, 2026</t>
        </is>
      </c>
      <c r="H230" s="4" t="inlineStr">
        <is>
          <t>2026-08-06</t>
        </is>
      </c>
      <c r="I230" s="4" t="inlineStr">
        <is>
          <t>Estimates that LB 34 (2024) saved Nebraskans 0.09% of personal income and $998 per household over its first six years, fourth nationally on net savings per household (a ranking that excludes state-funded relief), behind Iowa's SF 2472, Indiana's SB 1 and Colorado's SB24-233.</t>
        </is>
      </c>
      <c r="J230" s="4" t="inlineStr">
        <is>
          <t>Free-market analyses column</t>
        </is>
      </c>
      <c r="K230" s="4" t="inlineStr">
        <is>
          <t>https://archive.commonsenseinstituteus.org/iowa/research/taxes-and-fees/iowa-leads-the-nation-in-property-tax-relief-ranking-state-reforms-of-the-past-decade</t>
        </is>
      </c>
    </row>
    <row r="231" ht="79" customHeight="1">
      <c r="A231" s="13" t="inlineStr">
        <is>
          <t>Nebraska</t>
        </is>
      </c>
      <c r="B231" s="4" t="inlineStr">
        <is>
          <t>Analysis</t>
        </is>
      </c>
      <c r="C231" s="4" t="inlineStr">
        <is>
          <t>State group</t>
        </is>
      </c>
      <c r="D231" s="4" t="inlineStr">
        <is>
          <t>Platte Institute</t>
        </is>
      </c>
      <c r="E231" s="4" t="inlineStr">
        <is>
          <t>Jared Walczak</t>
        </is>
      </c>
      <c r="F231" s="15" t="inlineStr">
        <is>
          <t>How Lincoln Raised Property Taxes Without Raising Rates</t>
        </is>
      </c>
      <c r="G231" s="4" t="inlineStr">
        <is>
          <t>July 8, 2026</t>
        </is>
      </c>
      <c r="H231" s="4" t="inlineStr">
        <is>
          <t>2026-07-08</t>
        </is>
      </c>
      <c r="I231" s="4" t="inlineStr">
        <is>
          <t>Lincoln kept its city rate flat apart from voter-approved stormwater bonds while taxable value rose from $35.5 billion to $38.5 billion, so the tax-funded budget grows from $284 million in FY2025 to $335 million planned for FY2028, an 18% rise; it notes that other Lancaster County taxing bodies cut their combined rate 6.9% in 2025 and that Grand Island trimmed rates seven years running to hold collections near $12.8 million.</t>
        </is>
      </c>
      <c r="J231" s="4" t="inlineStr">
        <is>
          <t>Free-market analyses column</t>
        </is>
      </c>
      <c r="K231" s="4" t="inlineStr">
        <is>
          <t>https://platteinstitute.org/how-lincoln-raised-property-taxes-without-raising-rates/</t>
        </is>
      </c>
    </row>
    <row r="232" ht="64" customHeight="1">
      <c r="A232" s="13" t="inlineStr">
        <is>
          <t>Nebraska</t>
        </is>
      </c>
      <c r="B232" s="4" t="inlineStr">
        <is>
          <t>Analysis</t>
        </is>
      </c>
      <c r="C232" s="4" t="inlineStr">
        <is>
          <t>State group</t>
        </is>
      </c>
      <c r="D232" s="4" t="inlineStr">
        <is>
          <t>Platte Institute</t>
        </is>
      </c>
      <c r="E232" s="4" t="inlineStr">
        <is>
          <t>Jim Vokal</t>
        </is>
      </c>
      <c r="F232" s="15" t="inlineStr">
        <is>
          <t>Nebraska's Property Tax 'Caps' Are Not the Same as Iowa's</t>
        </is>
      </c>
      <c r="G232" s="4" t="inlineStr">
        <is>
          <t>June 3, 2026</t>
        </is>
      </c>
      <c r="H232" s="4" t="inlineStr">
        <is>
          <t>2026-06-03</t>
        </is>
      </c>
      <c r="I232" s="4" t="inlineStr">
        <is>
          <t>Finds the LB 34 cap far weaker than Iowa's 2% limit on collections from existing property: it is indexed to a government spending measure (an allowable growth factor of about 5.7% in the past year, against consumer inflation of roughly 2.7% to 2.9%), carves out bonds, public safety, county attorneys and banked authority, and leaves school districts outside the new act.</t>
        </is>
      </c>
      <c r="J232" s="4" t="inlineStr">
        <is>
          <t>Free-market analyses column</t>
        </is>
      </c>
      <c r="K232" s="4" t="inlineStr">
        <is>
          <t>https://platteinstitute.org/nebraskas-property-tax-caps-are-not-the-same-as-iowas/</t>
        </is>
      </c>
    </row>
    <row r="233" ht="94" customHeight="1">
      <c r="A233" s="13" t="inlineStr">
        <is>
          <t>Nebraska</t>
        </is>
      </c>
      <c r="B233" s="4" t="inlineStr">
        <is>
          <t>Analysis</t>
        </is>
      </c>
      <c r="C233" s="4" t="inlineStr">
        <is>
          <t>State group</t>
        </is>
      </c>
      <c r="D233" s="4" t="inlineStr">
        <is>
          <t>Platte Institute</t>
        </is>
      </c>
      <c r="E233" s="4" t="n"/>
      <c r="F233" s="15" t="inlineStr">
        <is>
          <t>Policy Pathway for Principled Tax Reform</t>
        </is>
      </c>
      <c r="G233" s="4" t="inlineStr">
        <is>
          <t>January 20, 2026</t>
        </is>
      </c>
      <c r="H233" s="4" t="inlineStr">
        <is>
          <t>2026-01-20</t>
        </is>
      </c>
      <c r="I233" s="4" t="inlineStr">
        <is>
          <t>Full report: Nebraska has the fourth-highest property tax rate in the country, and its caps let taxes grow faster than incomes because school caps can be lifted by a school board vote, city and county public safety spending is exempt and growth is tied to government spending. It calls for one unified cap tied to inflation that only a referendum can override, automatic rate rollbacks when valuations rise, Truth in Taxation hearings held before budget decisions and triggered by the first dollar of increase, and repeal of the Educational Service Unit levy with the next $55 million of relief.</t>
        </is>
      </c>
      <c r="J233" s="4" t="inlineStr">
        <is>
          <t>Free-market analyses column</t>
        </is>
      </c>
      <c r="K233" s="4" t="inlineStr">
        <is>
          <t>https://files.platteinstitute.org/uploads/2026/01/FINAL-Policy-Pathway-for-Principled-Tax-Reform.pdf</t>
        </is>
      </c>
    </row>
    <row r="234" ht="79" customHeight="1">
      <c r="A234" s="13" t="inlineStr">
        <is>
          <t>Nebraska</t>
        </is>
      </c>
      <c r="B234" s="4" t="inlineStr">
        <is>
          <t>Analysis</t>
        </is>
      </c>
      <c r="C234" s="4" t="inlineStr">
        <is>
          <t>State group</t>
        </is>
      </c>
      <c r="D234" s="4" t="inlineStr">
        <is>
          <t>Platte Institute</t>
        </is>
      </c>
      <c r="E234" s="4" t="n"/>
      <c r="F234" s="15" t="inlineStr">
        <is>
          <t>Nebraska Property Taxes Keep Rising Despite Tax Caps</t>
        </is>
      </c>
      <c r="G234" s="4" t="inlineStr">
        <is>
          <t>September 25, 2025</t>
        </is>
      </c>
      <c r="H234" s="4" t="inlineStr">
        <is>
          <t>2025-09-25</t>
        </is>
      </c>
      <c r="I234" s="4" t="inlineStr">
        <is>
          <t>Uses a Douglas County Truth in Taxation notice: assessed value in Douglas County and the Omaha school district rose 5.25%, and Omaha Public Schools also raised its rate, for a 7.3% property tax increase against 2.9% inflation and 3.6% wage growth; one Omaha home's bill was set to rise 15.2%, from $8,263 to $9,519. It calls for one cap covering all local spending, held to about inflation unless voters approve more.</t>
        </is>
      </c>
      <c r="J234" s="4" t="inlineStr">
        <is>
          <t>Free-market analyses column</t>
        </is>
      </c>
      <c r="K234" s="4" t="inlineStr">
        <is>
          <t>https://platteinstitute.org/nebraska-property-taxes-keep-rising-despite-tax-caps/</t>
        </is>
      </c>
    </row>
    <row r="235" ht="64" customHeight="1">
      <c r="A235" s="13" t="inlineStr">
        <is>
          <t>Nebraska</t>
        </is>
      </c>
      <c r="B235" s="4" t="inlineStr">
        <is>
          <t>Analysis</t>
        </is>
      </c>
      <c r="C235" s="4" t="inlineStr">
        <is>
          <t>State group</t>
        </is>
      </c>
      <c r="D235" s="4" t="inlineStr">
        <is>
          <t>Platte Institute</t>
        </is>
      </c>
      <c r="E235" s="4" t="n"/>
      <c r="F235" s="15" t="inlineStr">
        <is>
          <t>How Nebraska Can Improve Truth-in-Taxation: Lessons from Utah's Property Tax Reform</t>
        </is>
      </c>
      <c r="G235" s="4" t="inlineStr">
        <is>
          <t>September 16, 2025</t>
        </is>
      </c>
      <c r="H235" s="4" t="inlineStr">
        <is>
          <t>2025-09-16</t>
        </is>
      </c>
      <c r="I235" s="4" t="inlineStr">
        <is>
          <t>Utah runs its truth-in-taxation notice, hearing and vote to exceed the rollback rate before budgets are adopted, while Nebraska holds its September hearings after key budget decisions and lets revenue rise beyond the prior year without triggering the process; Platte backs LB 575 (Sen. Robert Hallstrom) to fix both. "This provides a more transparent and accountable local governance system."</t>
        </is>
      </c>
      <c r="J235" s="4" t="inlineStr">
        <is>
          <t>Free-market analyses column</t>
        </is>
      </c>
      <c r="K235" s="4" t="inlineStr">
        <is>
          <t>https://platteinstitute.org/how-nebraska-can-improve-truth-in-taxation-lessons-from-utahs-property-tax-reform/</t>
        </is>
      </c>
    </row>
    <row r="236" ht="64" customHeight="1">
      <c r="A236" s="13" t="inlineStr">
        <is>
          <t>Nebraska</t>
        </is>
      </c>
      <c r="B236" s="4" t="inlineStr">
        <is>
          <t>Analysis</t>
        </is>
      </c>
      <c r="C236" s="4" t="inlineStr">
        <is>
          <t>State group</t>
        </is>
      </c>
      <c r="D236" s="4" t="inlineStr">
        <is>
          <t>Americans for Prosperity-Nebraska</t>
        </is>
      </c>
      <c r="E236" s="4" t="n"/>
      <c r="F236" s="15" t="inlineStr">
        <is>
          <t>AFP-Nebraska Response to Pillen Tax Plan Press Conference</t>
        </is>
      </c>
      <c r="G236" s="4" t="inlineStr">
        <is>
          <t>July 18, 2024</t>
        </is>
      </c>
      <c r="H236" s="4" t="inlineStr">
        <is>
          <t>2024-07-18</t>
        </is>
      </c>
      <c r="I236" s="4" t="inlineStr">
        <is>
          <t>Opposes Gov. Jim Pillen's plan to raise sales taxes statewide to buy down property taxes, heading into the 2024 special session, calling it the largest tax increase on Nebraskans in state history and a shift onto working- and middle-class families; AFP-NE had run two polls and a six-figure campaign against it.</t>
        </is>
      </c>
      <c r="J236" s="4" t="inlineStr">
        <is>
          <t>Free-market analyses column</t>
        </is>
      </c>
      <c r="K236" s="4" t="inlineStr">
        <is>
          <t>https://americansforprosperity.org/press-release/afp-nebraska-response-to-pillen-tax-plan-press-conference/</t>
        </is>
      </c>
    </row>
    <row r="237" ht="79" customHeight="1">
      <c r="A237" s="13" t="inlineStr">
        <is>
          <t>Nevada</t>
        </is>
      </c>
      <c r="B237" s="4" t="inlineStr">
        <is>
          <t>Analysis</t>
        </is>
      </c>
      <c r="C237" s="4" t="inlineStr">
        <is>
          <t>State group</t>
        </is>
      </c>
      <c r="D237" s="4" t="inlineStr">
        <is>
          <t>Nevada Taxpayers Association</t>
        </is>
      </c>
      <c r="E237" s="4" t="inlineStr">
        <is>
          <t>Becky Dutro</t>
        </is>
      </c>
      <c r="F237" s="15" t="inlineStr">
        <is>
          <t>Real Property Claim to Partial Abatement</t>
        </is>
      </c>
      <c r="G237" s="4" t="inlineStr">
        <is>
          <t>August 5, 2026</t>
        </is>
      </c>
      <c r="H237" s="4" t="inlineStr">
        <is>
          <t>2026-08-05</t>
        </is>
      </c>
      <c r="I237" s="4" t="inlineStr">
        <is>
          <t>Public comment to the Nevada Tax Commission supporting Regulation R098-26, which carries out AB 377 (2025), a bill the association backed: property tax cap eligibility information goes on the Declaration of Value form at recording, because buyers often do not know they must act to keep the correct cap abatement percentage after a title transfer. It says the change should cut repeat mailings and rebillings by county assessors and treasurers.</t>
        </is>
      </c>
      <c r="J237" s="4" t="inlineStr">
        <is>
          <t>Free-market analyses column</t>
        </is>
      </c>
      <c r="K237" s="4" t="inlineStr">
        <is>
          <t>https://tax.nv.gov/wp-content/uploads/2026/08/R098-26-Public-Comment-Nevada-Taxpayers-Assn.pdf</t>
        </is>
      </c>
    </row>
    <row r="238" ht="79" customHeight="1">
      <c r="A238" s="13" t="inlineStr">
        <is>
          <t>Nevada</t>
        </is>
      </c>
      <c r="B238" s="4" t="inlineStr">
        <is>
          <t>Analysis</t>
        </is>
      </c>
      <c r="C238" s="4" t="inlineStr">
        <is>
          <t>State group</t>
        </is>
      </c>
      <c r="D238" s="4" t="inlineStr">
        <is>
          <t>Nevada Policy (formerly Nevada Policy Research Institute)</t>
        </is>
      </c>
      <c r="E238" s="4" t="n"/>
      <c r="F238" s="15" t="inlineStr">
        <is>
          <t>Week 8 Under the Dome: Key Hearings &amp; Work Sessions</t>
        </is>
      </c>
      <c r="G238" s="4" t="inlineStr">
        <is>
          <t>March 25, 2025</t>
        </is>
      </c>
      <c r="H238" s="4" t="inlineStr">
        <is>
          <t>2025-03-25</t>
        </is>
      </c>
      <c r="I238" s="4" t="inlineStr">
        <is>
          <t>Lists among bills it opposes AJR 1, a proposed constitutional amendment that would change assessments after a sale by ending the first-year depreciation adjustment and recalculating depreciation as if improvements were newly built, and that would mandate a property tax refund program for some seniors and people with disabilities; it also opposes AB 362, which would extend the real property transfer tax to sales of controlling interests in entities that own Nevada real estate.</t>
        </is>
      </c>
      <c r="J238" s="4" t="inlineStr">
        <is>
          <t>Free-market analyses column</t>
        </is>
      </c>
      <c r="K238" s="4" t="inlineStr">
        <is>
          <t>https://nevadapolicy.org/week-8-under-the-dome-key-hearings-work-sessions/</t>
        </is>
      </c>
    </row>
    <row r="239" ht="49" customHeight="1">
      <c r="A239" s="13" t="inlineStr">
        <is>
          <t>Nevada</t>
        </is>
      </c>
      <c r="B239" s="4" t="inlineStr">
        <is>
          <t>Analysis</t>
        </is>
      </c>
      <c r="C239" s="4" t="inlineStr">
        <is>
          <t>State group</t>
        </is>
      </c>
      <c r="D239" s="4" t="inlineStr">
        <is>
          <t>Nevada Policy</t>
        </is>
      </c>
      <c r="E239" s="4" t="inlineStr">
        <is>
          <t>Kevin Dietrich</t>
        </is>
      </c>
      <c r="F239" s="15" t="inlineStr">
        <is>
          <t>Bill to Sharply Increase State Property Tax Fails</t>
        </is>
      </c>
      <c r="G239" s="4" t="inlineStr">
        <is>
          <t>April 27, 2023</t>
        </is>
      </c>
      <c r="H239" s="4" t="inlineStr">
        <is>
          <t>2023-04-27</t>
        </is>
      </c>
      <c r="I239" s="4" t="inlineStr">
        <is>
          <t>Reports that SB 96 would have repealed the 3% cap on annual increases for homes and required bills to rise at least 3% every year, so owners could have faced increases of up to 8% a year; it defends the cap as protection for retirees and people on fixed incomes and notes the bill died in committee.</t>
        </is>
      </c>
      <c r="J239" s="4" t="inlineStr">
        <is>
          <t>Free-market analyses column</t>
        </is>
      </c>
      <c r="K239" s="4" t="inlineStr">
        <is>
          <t>https://nevadapolicy.org/bill-to-sharply-increase-state-property-tax-fails/</t>
        </is>
      </c>
    </row>
    <row r="240" ht="34" customHeight="1">
      <c r="A240" s="13" t="inlineStr">
        <is>
          <t>Nevada</t>
        </is>
      </c>
      <c r="B240" s="4" t="inlineStr">
        <is>
          <t>Checked: no report since 2021</t>
        </is>
      </c>
      <c r="C240" s="4" t="inlineStr">
        <is>
          <t>State group</t>
        </is>
      </c>
      <c r="D240" s="4" t="inlineStr">
        <is>
          <t>Nevada Policy</t>
        </is>
      </c>
      <c r="E240" s="4" t="n"/>
      <c r="F240" s="4" t="inlineStr">
        <is>
          <t>(no report found)</t>
        </is>
      </c>
      <c r="G240" s="4" t="n"/>
      <c r="H240" s="4" t="n"/>
      <c r="I240" s="4" t="inlineStr">
        <is>
          <t>Nevada Policy (State Policy Network affiliate): no full property tax report since 2021 was found; the two items above are its main property tax work.</t>
        </is>
      </c>
      <c r="J240" s="4" t="inlineStr">
        <is>
          <t>Free-market analyses column</t>
        </is>
      </c>
      <c r="K240" s="4" t="n"/>
    </row>
    <row r="241" ht="79" customHeight="1">
      <c r="A241" s="13" t="inlineStr">
        <is>
          <t>New Hampshire</t>
        </is>
      </c>
      <c r="B241" s="4" t="inlineStr">
        <is>
          <t>Analysis</t>
        </is>
      </c>
      <c r="C241" s="4" t="inlineStr">
        <is>
          <t>State group</t>
        </is>
      </c>
      <c r="D241" s="4" t="inlineStr">
        <is>
          <t>Josiah Bartlett Center for Public Policy</t>
        </is>
      </c>
      <c r="E241" s="4" t="inlineStr">
        <is>
          <t>Andrew Cline</t>
        </is>
      </c>
      <c r="F241" s="15" t="inlineStr">
        <is>
          <t>New Hampshire's first statewide chance to cap property tax growth comes in November</t>
        </is>
      </c>
      <c r="G241" s="4" t="inlineStr">
        <is>
          <t>Sept. 18, 2026</t>
        </is>
      </c>
      <c r="H241" s="4" t="inlineStr">
        <is>
          <t>2026-09-18</t>
        </is>
      </c>
      <c r="I241" s="4" t="inlineStr">
        <is>
          <t>Explains the RSA 32:5-i question every town will vote on (levy capped at prior year plus inflation and new construction, SAU central office spending at 6% of appropriations, bonded capital excluded, three-fifths to adopt), notes school districts are more than 70% of local property taxes, and calls the two-year cap "by national standards a relatively weak effort to place a temporary restraint on SAU spending growth."</t>
        </is>
      </c>
      <c r="J241" s="4" t="inlineStr">
        <is>
          <t>Free-market analyses column</t>
        </is>
      </c>
      <c r="K241" s="4" t="inlineStr">
        <is>
          <t>https://jbartlett.org/2026/09/new-hampshires-first-statewide-chance-to-cap-property-tax-growth-comes-in-november/</t>
        </is>
      </c>
    </row>
    <row r="242" ht="49" customHeight="1">
      <c r="A242" s="13" t="inlineStr">
        <is>
          <t>New Hampshire</t>
        </is>
      </c>
      <c r="B242" s="4" t="inlineStr">
        <is>
          <t>Analysis</t>
        </is>
      </c>
      <c r="C242" s="4" t="inlineStr">
        <is>
          <t>State group</t>
        </is>
      </c>
      <c r="D242" s="4" t="inlineStr">
        <is>
          <t>Josiah Bartlett Center for Public Policy</t>
        </is>
      </c>
      <c r="E242" s="4" t="n"/>
      <c r="F242" s="15" t="inlineStr">
        <is>
          <t>Claremont's missing word</t>
        </is>
      </c>
      <c r="G242" s="4" t="inlineStr">
        <is>
          <t>Aug. 28, 2026</t>
        </is>
      </c>
      <c r="H242" s="4" t="inlineStr">
        <is>
          <t>2026-08-28</t>
        </is>
      </c>
      <c r="I242" s="4" t="inlineStr">
        <is>
          <t>Backs the Attorney General's Aug. 14, 2026 appeal asking the Supreme Court to overturn the Claremont decisions, arguing the 1784 constitutional text on education does not require the state to fund 100% of the cost of an adequate education.</t>
        </is>
      </c>
      <c r="J242" s="4" t="inlineStr">
        <is>
          <t>Free-market analyses column</t>
        </is>
      </c>
      <c r="K242" s="4" t="inlineStr">
        <is>
          <t>https://jbartlett.org/2026/08/claremonts-missing-word/</t>
        </is>
      </c>
    </row>
    <row r="243" ht="64" customHeight="1">
      <c r="A243" s="13" t="inlineStr">
        <is>
          <t>New Hampshire</t>
        </is>
      </c>
      <c r="B243" s="4" t="inlineStr">
        <is>
          <t>Analysis</t>
        </is>
      </c>
      <c r="C243" s="4" t="inlineStr">
        <is>
          <t>Legislators &amp; officials</t>
        </is>
      </c>
      <c r="D243" s="4" t="inlineStr">
        <is>
          <t>New Hampshire House Republican Caucus</t>
        </is>
      </c>
      <c r="E243" s="4" t="n"/>
      <c r="F243" s="15" t="inlineStr">
        <is>
          <t>HOUSE REPUBLICANS APPLUAD GOV. AYOTTE FOR SIGNING TAXPAYER PROTECTION ACT</t>
        </is>
      </c>
      <c r="G243" s="4" t="inlineStr">
        <is>
          <t>posted Aug. 5, 2026</t>
        </is>
      </c>
      <c r="H243" s="4" t="inlineStr">
        <is>
          <t>2026-08-05</t>
        </is>
      </c>
      <c r="I243" s="4" t="inlineStr">
        <is>
          <t>House Election Law Chairman Ross Berry (R-Weare) praises HB 1300, which puts a school district tax cap question on the 2026 and 2028 ballots, saying New Hampshire spends the fourth-most per pupil in the nation while families face "outrageous increases," and citing a UNH poll in which voters backed a school spending cap by more than 20 points.</t>
        </is>
      </c>
      <c r="J243" s="4" t="inlineStr">
        <is>
          <t>Free-market analyses column</t>
        </is>
      </c>
      <c r="K243" s="4" t="inlineStr">
        <is>
          <t>https://www.nhhousegop.com/press-releases/house-republicans-appluad-gov-ayotte-for-signing-taxpayer-protection-act/</t>
        </is>
      </c>
    </row>
    <row r="244" ht="109" customHeight="1">
      <c r="A244" s="13" t="inlineStr">
        <is>
          <t>New Hampshire</t>
        </is>
      </c>
      <c r="B244" s="4" t="inlineStr">
        <is>
          <t>Analysis</t>
        </is>
      </c>
      <c r="C244" s="4" t="inlineStr">
        <is>
          <t>State group</t>
        </is>
      </c>
      <c r="D244" s="4" t="inlineStr">
        <is>
          <t>Josiah Bartlett Center for Public Policy</t>
        </is>
      </c>
      <c r="E244" s="4" t="n"/>
      <c r="F244" s="15" t="inlineStr">
        <is>
          <t>Capping school district budget growth (and property taxes) the Massachusetts way</t>
        </is>
      </c>
      <c r="G244" s="4" t="inlineStr">
        <is>
          <t>July 29, 2026</t>
        </is>
      </c>
      <c r="H244" s="4" t="inlineStr">
        <is>
          <t>2026-07-29</t>
        </is>
      </c>
      <c r="I244" s="4" t="inlineStr">
        <is>
          <t>Compares the HB 1300 school levy cap (prior year's base plus inflation plus new taxable property) with Massachusetts' Proposition 2 1/2, citing a Tax Foundation analysis that Massachusetts local tax revenues more than doubled from 1984 to 2024 after adjusting for inflation and population, and a Jared Walczak study for the Fiscal Alliance Foundation finding the cap helped cut the effective property tax rate by two-thirds ($6,896 on the median home against $24,613 at pre-cap rates); calls HB 1300 weaker because it is voluntary and covers only school districts, and says "even high caps work to restrain property tax growth."</t>
        </is>
      </c>
      <c r="J244" s="4" t="inlineStr">
        <is>
          <t>Free-market analyses column</t>
        </is>
      </c>
      <c r="K244" s="4" t="inlineStr">
        <is>
          <t>https://jbartlett.org/2026/07/capping-school-district-budget-growth-and-property-taxes-the-massachusetts-way/</t>
        </is>
      </c>
    </row>
    <row r="245" ht="34" customHeight="1">
      <c r="A245" s="13" t="inlineStr">
        <is>
          <t>New Hampshire</t>
        </is>
      </c>
      <c r="B245" s="4" t="inlineStr">
        <is>
          <t>Analysis</t>
        </is>
      </c>
      <c r="C245" s="4" t="inlineStr">
        <is>
          <t>State group</t>
        </is>
      </c>
      <c r="D245" s="4" t="inlineStr">
        <is>
          <t>Americans for Prosperity-New Hampshire</t>
        </is>
      </c>
      <c r="E245" s="4" t="n"/>
      <c r="F245" s="15" t="inlineStr">
        <is>
          <t>statement on HB 1300</t>
        </is>
      </c>
      <c r="G245" s="4" t="inlineStr">
        <is>
          <t>July 15, 2026, as reported by InDepthNH</t>
        </is>
      </c>
      <c r="H245" s="4" t="inlineStr">
        <is>
          <t>2026-07-15</t>
        </is>
      </c>
      <c r="I245" s="4" t="inlineStr">
        <is>
          <t>Praised the law, "which lets Granite Staters decide whether to cap school property tax hikes and rein in administrative overhead."</t>
        </is>
      </c>
      <c r="J245" s="4" t="inlineStr">
        <is>
          <t>Free-market analyses column</t>
        </is>
      </c>
      <c r="K245" s="4" t="inlineStr">
        <is>
          <t>https://indepthnh.org/2026/07/15/ayotte-signs-20-bills-including-the-controversial-local-school-budget-cap-hb-1300/</t>
        </is>
      </c>
    </row>
    <row r="246" ht="79" customHeight="1">
      <c r="A246" s="13" t="inlineStr">
        <is>
          <t>New Hampshire</t>
        </is>
      </c>
      <c r="B246" s="4" t="inlineStr">
        <is>
          <t>Analysis</t>
        </is>
      </c>
      <c r="C246" s="4" t="inlineStr">
        <is>
          <t>State group</t>
        </is>
      </c>
      <c r="D246" s="4" t="inlineStr">
        <is>
          <t>Josiah Bartlett Center for Public Policy</t>
        </is>
      </c>
      <c r="E246" s="4" t="inlineStr">
        <is>
          <t>Andrew Cline</t>
        </is>
      </c>
      <c r="F246" s="15" t="inlineStr">
        <is>
          <t>An income tax for New Hampshire? Delaware &amp; Connecticut offer a warning</t>
        </is>
      </c>
      <c r="G246" s="4" t="inlineStr">
        <is>
          <t>March 3, 2026</t>
        </is>
      </c>
      <c r="H246" s="4" t="inlineStr">
        <is>
          <t>2026-03-03</t>
        </is>
      </c>
      <c r="I246" s="4" t="inlineStr">
        <is>
          <t>Answers Andru Volinsky's plan for a 3% income tax paired with a 3% statewide property tax, pitched as property tax relief, by noting that future legislatures and local governments could not be compelled to pass the money through as property tax cuts; recounts Delaware's income tax climbing from 1% in 1917 to 19.8% in 1974, and notes that Connecticut's 1991 income tax was sold as a solution to high property taxes while its property tax burden now ranks third-highest in the country.</t>
        </is>
      </c>
      <c r="J246" s="4" t="inlineStr">
        <is>
          <t>Free-market analyses column</t>
        </is>
      </c>
      <c r="K246" s="4" t="inlineStr">
        <is>
          <t>https://jbartlett.org/2026/03/an-income-tax-for-new-hampshire-delaware-connecticut-offer-a-warning/</t>
        </is>
      </c>
    </row>
    <row r="247" ht="64" customHeight="1">
      <c r="A247" s="13" t="inlineStr">
        <is>
          <t>New Hampshire</t>
        </is>
      </c>
      <c r="B247" s="4" t="inlineStr">
        <is>
          <t>Analysis</t>
        </is>
      </c>
      <c r="C247" s="4" t="inlineStr">
        <is>
          <t>State group</t>
        </is>
      </c>
      <c r="D247" s="4" t="inlineStr">
        <is>
          <t>Josiah Bartlett Center for Public Policy</t>
        </is>
      </c>
      <c r="E247" s="4" t="inlineStr">
        <is>
          <t>Andrew Cline</t>
        </is>
      </c>
      <c r="F247" s="15" t="inlineStr">
        <is>
          <t>How both sides lost the ConVal school funding case</t>
        </is>
      </c>
      <c r="G247" s="4" t="inlineStr">
        <is>
          <t>July 1, 2025</t>
        </is>
      </c>
      <c r="H247" s="4" t="inlineStr">
        <is>
          <t>2025-07-01</t>
        </is>
      </c>
      <c r="I247" s="4" t="inlineStr">
        <is>
          <t>Says the Supreme Court's $7,356.01 per-pupil adequacy minimum leaves the state only $247.22 per pupil ($37.6 million) above what it committed for fiscal 2026 by the Center's count, an amount a slight increase in the Statewide Education Property Tax could cover after the court upheld that tax; faults the ruling for leaving the Claremont interpretation intact.</t>
        </is>
      </c>
      <c r="J247" s="4" t="inlineStr">
        <is>
          <t>Free-market analyses column</t>
        </is>
      </c>
      <c r="K247" s="4" t="inlineStr">
        <is>
          <t>https://jbartlett.org/2025/07/how-both-sides-lost-the-conval-school-funding-case/</t>
        </is>
      </c>
    </row>
    <row r="248" ht="49" customHeight="1">
      <c r="A248" s="13" t="inlineStr">
        <is>
          <t>New Hampshire</t>
        </is>
      </c>
      <c r="B248" s="4" t="inlineStr">
        <is>
          <t>Analysis</t>
        </is>
      </c>
      <c r="C248" s="4" t="inlineStr">
        <is>
          <t>State group</t>
        </is>
      </c>
      <c r="D248" s="4" t="inlineStr">
        <is>
          <t>Josiah Bartlett Center for Public Policy</t>
        </is>
      </c>
      <c r="E248" s="4" t="inlineStr">
        <is>
          <t>Andrew Cline</t>
        </is>
      </c>
      <c r="F248" s="15" t="inlineStr">
        <is>
          <t>Per-pupil spending in NH nearly doubles from 2001-2024 as district public schools spend $1.25 billion more on 54,000 fewer students</t>
        </is>
      </c>
      <c r="G248" s="4" t="inlineStr">
        <is>
          <t>June 4, 2025</t>
        </is>
      </c>
      <c r="H248" s="4" t="inlineStr">
        <is>
          <t>2025-06-04</t>
        </is>
      </c>
      <c r="I248" s="4" t="inlineStr">
        <is>
          <t>Center study finds district school spending rose an inflation-adjusted $1.25 billion (45%) from 2001 to 2024 as enrollment fell by 54,381 students (26%), lifting per-pupil spending 96% to $26,347; administrator positions grew 78% while average teacher salaries rose 8% after inflation.</t>
        </is>
      </c>
      <c r="J248" s="4" t="inlineStr">
        <is>
          <t>Free-market analyses column</t>
        </is>
      </c>
      <c r="K248" s="4" t="inlineStr">
        <is>
          <t>https://jbartlett.org/2025/06/per-pupil-spending-in-nh-nearly-doubles-from-2001-2024-as-district-public-schools-spend-1-25-billion-more-on-54000-fewer-students/</t>
        </is>
      </c>
    </row>
    <row r="249" ht="64" customHeight="1">
      <c r="A249" s="13" t="inlineStr">
        <is>
          <t>New Hampshire</t>
        </is>
      </c>
      <c r="B249" s="4" t="inlineStr">
        <is>
          <t>Analysis</t>
        </is>
      </c>
      <c r="C249" s="4" t="inlineStr">
        <is>
          <t>State group</t>
        </is>
      </c>
      <c r="D249" s="4" t="inlineStr">
        <is>
          <t>Josiah Bartlett Center for Public Policy</t>
        </is>
      </c>
      <c r="E249" s="4" t="inlineStr">
        <is>
          <t>Andrew Cline</t>
        </is>
      </c>
      <c r="F249" s="15" t="inlineStr">
        <is>
          <t>Legislators vote to strengthen local tax caps, especially for school districts</t>
        </is>
      </c>
      <c r="G249" s="4" t="inlineStr">
        <is>
          <t>May 10, 2024</t>
        </is>
      </c>
      <c r="H249" s="4" t="inlineStr">
        <is>
          <t>2024-05-10</t>
        </is>
      </c>
      <c r="I249" s="4" t="inlineStr">
        <is>
          <t>Backs SB 383, which lets town and school district tax caps cover all warrant articles with a tax impact and lets school district caps track inflation times enrollment; cites the Center's finding that districts lost 29,946 students from 2001 to 2019 while raising spending by an inflation-adjusted $937 million, and says the bill would make tax caps "a more powerful and more appealing tool for taxpayers."</t>
        </is>
      </c>
      <c r="J249" s="4" t="inlineStr">
        <is>
          <t>Free-market analyses column</t>
        </is>
      </c>
      <c r="K249" s="4" t="inlineStr">
        <is>
          <t>https://jbartlett.org/2024/05/legislators-vote-to-strengthen-local-tax-caps-especially-for-school-districts/</t>
        </is>
      </c>
    </row>
    <row r="250" ht="34" customHeight="1">
      <c r="A250" s="13" t="inlineStr">
        <is>
          <t>New Hampshire</t>
        </is>
      </c>
      <c r="B250" s="4" t="inlineStr">
        <is>
          <t>Checked: no report since 2021</t>
        </is>
      </c>
      <c r="C250" s="4" t="inlineStr">
        <is>
          <t>State group</t>
        </is>
      </c>
      <c r="D250" s="4" t="inlineStr">
        <is>
          <t>Libertarian Policy Foundation</t>
        </is>
      </c>
      <c r="E250" s="4" t="n"/>
      <c r="F250" s="4" t="inlineStr">
        <is>
          <t>(no report found)</t>
        </is>
      </c>
      <c r="G250" s="4" t="n"/>
      <c r="H250" s="4" t="n"/>
      <c r="I250" s="4" t="inlineStr">
        <is>
          <t>Libertarian Policy Foundation (State Policy Network associate): no property tax report since 2021 was found (site search blocked; web search found none).</t>
        </is>
      </c>
      <c r="J250" s="4" t="inlineStr">
        <is>
          <t>Free-market analyses column</t>
        </is>
      </c>
      <c r="K250" s="4" t="n"/>
    </row>
    <row r="251" ht="30" customHeight="1">
      <c r="A251" s="13" t="inlineStr">
        <is>
          <t>New Hampshire</t>
        </is>
      </c>
      <c r="B251" s="4" t="inlineStr">
        <is>
          <t>Checked: no report since 2021</t>
        </is>
      </c>
      <c r="C251" s="4" t="inlineStr">
        <is>
          <t>State group</t>
        </is>
      </c>
      <c r="D251" s="4" t="inlineStr">
        <is>
          <t>Ludlow Institute</t>
        </is>
      </c>
      <c r="E251" s="4" t="n"/>
      <c r="F251" s="4" t="inlineStr">
        <is>
          <t>(no report found)</t>
        </is>
      </c>
      <c r="G251" s="4" t="n"/>
      <c r="H251" s="4" t="n"/>
      <c r="I251" s="4" t="inlineStr">
        <is>
          <t>Ludlow Institute (State Policy Network associate): no property tax report since 2021 was found.</t>
        </is>
      </c>
      <c r="J251" s="4" t="inlineStr">
        <is>
          <t>Free-market analyses column</t>
        </is>
      </c>
      <c r="K251" s="4" t="n"/>
    </row>
    <row r="252" ht="79" customHeight="1">
      <c r="A252" s="13" t="inlineStr">
        <is>
          <t>New Jersey</t>
        </is>
      </c>
      <c r="B252" s="4" t="inlineStr">
        <is>
          <t>Analysis</t>
        </is>
      </c>
      <c r="C252" s="4" t="inlineStr">
        <is>
          <t>State group</t>
        </is>
      </c>
      <c r="D252" s="4" t="inlineStr">
        <is>
          <t>New Jersey Policy Institute</t>
        </is>
      </c>
      <c r="E252" s="4" t="inlineStr">
        <is>
          <t>Aiden DeMarsey</t>
        </is>
      </c>
      <c r="F252" s="15" t="inlineStr">
        <is>
          <t>The New Jersey School Funding Crisis: A Problem in Need of Solutions</t>
        </is>
      </c>
      <c r="G252" s="4" t="inlineStr">
        <is>
          <t>Aug. 28, 2026</t>
        </is>
      </c>
      <c r="H252" s="4" t="inlineStr">
        <is>
          <t>2026-08-28</t>
        </is>
      </c>
      <c r="I252" s="4" t="inlineStr">
        <is>
          <t>A former Evesham school board member writes that 2018 changes to the School Funding Reform Act (S2) left about a third of the state's 590 operating districts with a cumulative $600 million aid decrease, and that Trenton's one answer was a one-year suspension of the 2% cap, after which districts chose tax hikes that in some cases "reached over $1,000 on the average household." He calls for replacing the formula with a system modeled on peer states.</t>
        </is>
      </c>
      <c r="J252" s="4" t="inlineStr">
        <is>
          <t>Free-market analyses column</t>
        </is>
      </c>
      <c r="K252" s="4" t="inlineStr">
        <is>
          <t>https://newjerseypolicyinstitute.org/2026/08/the-new-jersey-school-funding-crisis-a-problem-in-need-of-solutions/</t>
        </is>
      </c>
    </row>
    <row r="253" ht="64" customHeight="1">
      <c r="A253" s="13" t="inlineStr">
        <is>
          <t>New Jersey</t>
        </is>
      </c>
      <c r="B253" s="4" t="inlineStr">
        <is>
          <t>Analysis</t>
        </is>
      </c>
      <c r="C253" s="4" t="inlineStr">
        <is>
          <t>State group</t>
        </is>
      </c>
      <c r="D253" s="4" t="inlineStr">
        <is>
          <t>Common Sense Institute</t>
        </is>
      </c>
      <c r="E253" s="4" t="n"/>
      <c r="F253" s="15" t="inlineStr">
        <is>
          <t>Iowa Leads the Nation in Property Tax Relief: Ranking State Reforms of the Past Decade</t>
        </is>
      </c>
      <c r="G253" s="4" t="inlineStr">
        <is>
          <t>Aug. 6, 2026</t>
        </is>
      </c>
      <c r="H253" s="4" t="inlineStr">
        <is>
          <t>2026-08-06</t>
        </is>
      </c>
      <c r="I253" s="4" t="inlineStr">
        <is>
          <t>Ranks state property tax reforms from 2016 through 2026 by net savings; it puts ANCHOR at about $2.3 billion in FY2027 but excludes it entirely because "the state's general fund pays for the relief, resulting in no net tax savings," adding: "Were the tax savings not backfilled, this reform would put New Jersey in the number one rank."</t>
        </is>
      </c>
      <c r="J253" s="4" t="inlineStr">
        <is>
          <t>Free-market analyses column</t>
        </is>
      </c>
      <c r="K253" s="4" t="inlineStr">
        <is>
          <t>https://archive.commonsenseinstituteus.org/iowa/research/taxes-and-fees/iowa-leads-the-nation-in-property-tax-relief-ranking-state-reforms-of-the-past-decade</t>
        </is>
      </c>
    </row>
    <row r="254" ht="79" customHeight="1">
      <c r="A254" s="13" t="inlineStr">
        <is>
          <t>New Jersey</t>
        </is>
      </c>
      <c r="B254" s="4" t="inlineStr">
        <is>
          <t>Analysis</t>
        </is>
      </c>
      <c r="C254" s="4" t="inlineStr">
        <is>
          <t>State group</t>
        </is>
      </c>
      <c r="D254" s="4" t="inlineStr">
        <is>
          <t>Garden State Initiative</t>
        </is>
      </c>
      <c r="E254" s="4" t="inlineStr">
        <is>
          <t>Christian Barnard</t>
        </is>
      </c>
      <c r="F254" s="15" t="inlineStr">
        <is>
          <t>Rebalancing the Scales: How to Achieve a Fairer, More Transparent School Funding Formula in New Jersey</t>
        </is>
      </c>
      <c r="G254" s="4" t="inlineStr">
        <is>
          <t>Feb. 24, 2026</t>
        </is>
      </c>
      <c r="H254" s="4" t="inlineStr">
        <is>
          <t>2026-02-24</t>
        </is>
      </c>
      <c r="I254" s="4" t="inlineStr">
        <is>
          <t>Finds New Jersey third nationally in K-12 funding at $26,990 per student, with Local Fair Share assumptions that grew faster than the 2% levy cap for nearly all districts in FY25, and FY26 aid caps that gave 192 districts $396 million more than the formula and 284 districts $383 million less. Recommends keeping the 2% cap, which it says "has shielded local taxpayers" since 2010, and aligning local share growth with it.</t>
        </is>
      </c>
      <c r="J254" s="4" t="inlineStr">
        <is>
          <t>Free-market analyses column</t>
        </is>
      </c>
      <c r="K254" s="4" t="inlineStr">
        <is>
          <t>https://www.gardenstateinitiative.org/app/uploads/2026/02/GSI-School-Funding-2.26.pdf</t>
        </is>
      </c>
    </row>
    <row r="255" ht="49" customHeight="1">
      <c r="A255" s="13" t="inlineStr">
        <is>
          <t>New Jersey</t>
        </is>
      </c>
      <c r="B255" s="4" t="inlineStr">
        <is>
          <t>Analysis</t>
        </is>
      </c>
      <c r="C255" s="4" t="inlineStr">
        <is>
          <t>State group</t>
        </is>
      </c>
      <c r="D255" s="4" t="inlineStr">
        <is>
          <t>Garden State Initiative</t>
        </is>
      </c>
      <c r="E255" s="4" t="inlineStr">
        <is>
          <t>Regina M. Egea</t>
        </is>
      </c>
      <c r="F255" s="15" t="inlineStr">
        <is>
          <t>Governor's Budget Insufficient to Improve Business Climate, Won't Reduce Property Taxes</t>
        </is>
      </c>
      <c r="G255" s="4" t="inlineStr">
        <is>
          <t>Feb. 28, 2023</t>
        </is>
      </c>
      <c r="H255" s="4" t="inlineStr">
        <is>
          <t>2023-02-28</t>
        </is>
      </c>
      <c r="I255" s="4" t="inlineStr">
        <is>
          <t>Says the FY2024 budget "seeks to once again paper over the unabated and accelerating growth in spending with a temporary and targeted rebate program," and blames record property taxes on letting the 2% arbitration cap expire and on public employee health costs.</t>
        </is>
      </c>
      <c r="J255" s="4" t="inlineStr">
        <is>
          <t>Free-market analyses column</t>
        </is>
      </c>
      <c r="K255" s="4" t="inlineStr">
        <is>
          <t>https://www.gardenstateinitiative.org/press-release/gsis-egea-governors-budget-insufficient-to-improve-business-climate-wont-reduce-property-taxes/</t>
        </is>
      </c>
    </row>
    <row r="256" ht="49" customHeight="1">
      <c r="A256" s="13" t="inlineStr">
        <is>
          <t>New Jersey</t>
        </is>
      </c>
      <c r="B256" s="4" t="inlineStr">
        <is>
          <t>Analysis</t>
        </is>
      </c>
      <c r="C256" s="4" t="inlineStr">
        <is>
          <t>State group</t>
        </is>
      </c>
      <c r="D256" s="4" t="inlineStr">
        <is>
          <t>Garden State Initiative</t>
        </is>
      </c>
      <c r="E256" s="4" t="inlineStr">
        <is>
          <t>Regina M. Egea</t>
        </is>
      </c>
      <c r="F256" s="15" t="inlineStr">
        <is>
          <t>New Jersey needs a plan to slay its property tax dragon</t>
        </is>
      </c>
      <c r="G256" s="4" t="inlineStr">
        <is>
          <t>June 30, 2022</t>
        </is>
      </c>
      <c r="H256" s="4" t="inlineStr">
        <is>
          <t>2022-06-30</t>
        </is>
      </c>
      <c r="I256" s="4" t="inlineStr">
        <is>
          <t>Finds New Jersey spends over $67 billion to sustain "local control," $31.4 billion of it from property tax, and that 60% to 70% of bills (over $43 billion) pays salary, health and pension costs for about 350,000 public employees; of $40.2 billion in K-12 spending, $26 billion is salaries and benefits.</t>
        </is>
      </c>
      <c r="J256" s="4" t="inlineStr">
        <is>
          <t>Free-market analyses column</t>
        </is>
      </c>
      <c r="K256" s="4" t="inlineStr">
        <is>
          <t>https://www.gardenstateinitiative.org/op-ed/new-jersey-needs-a-plan-to-slay-its-property-tax-dragon/</t>
        </is>
      </c>
    </row>
    <row r="257" ht="49" customHeight="1">
      <c r="A257" s="13" t="inlineStr">
        <is>
          <t>New Jersey</t>
        </is>
      </c>
      <c r="B257" s="4" t="inlineStr">
        <is>
          <t>Analysis</t>
        </is>
      </c>
      <c r="C257" s="4" t="inlineStr">
        <is>
          <t>State group</t>
        </is>
      </c>
      <c r="D257" s="4" t="inlineStr">
        <is>
          <t>Jersey 1st</t>
        </is>
      </c>
      <c r="E257" s="4" t="n"/>
      <c r="F257" s="15" t="inlineStr">
        <is>
          <t>Recycled rebate checks can't paper over need for real reform</t>
        </is>
      </c>
      <c r="G257" s="4" t="inlineStr">
        <is>
          <t>June 16, 2022</t>
        </is>
      </c>
      <c r="H257" s="4" t="inlineStr">
        <is>
          <t>2022-06-16</t>
        </is>
      </c>
      <c r="I257" s="4" t="inlineStr">
        <is>
          <t>Calls ANCHOR "a recycled gimmick" dating to Gov. Brendan Byrne in 1977, noting the average bill was $4,000 when the SAVER rebate began in 1999 and is over $9,300 today; it argues relief requires changing the school funding formula, which leaves suburban districts leaning on local property taxpayers.</t>
        </is>
      </c>
      <c r="J257" s="4" t="inlineStr">
        <is>
          <t>Free-market analyses column</t>
        </is>
      </c>
      <c r="K257" s="4" t="inlineStr">
        <is>
          <t>https://jersey1st.org/recycled-rebate-checks-cant-paper-over-need-for-real-reform-opinion/</t>
        </is>
      </c>
    </row>
    <row r="258" ht="30" customHeight="1">
      <c r="A258" s="13" t="inlineStr">
        <is>
          <t>New Jersey</t>
        </is>
      </c>
      <c r="B258" s="4" t="inlineStr">
        <is>
          <t>Cited elsewhere in the matrix</t>
        </is>
      </c>
      <c r="C258" s="4" t="inlineStr">
        <is>
          <t>State group</t>
        </is>
      </c>
      <c r="D258" s="4" t="inlineStr">
        <is>
          <t>Garden State Initiative</t>
        </is>
      </c>
      <c r="E258" s="4" t="n"/>
      <c r="F258" s="15" t="inlineStr">
        <is>
          <t>GSI Opinion: Here’s Why Your New Jersey Property Taxes Will Never Go Down (Unless There’s Radical Change)</t>
        </is>
      </c>
      <c r="G258" s="4" t="inlineStr">
        <is>
          <t>June 29, 2022</t>
        </is>
      </c>
      <c r="H258" s="4" t="inlineStr">
        <is>
          <t>2022-06-29</t>
        </is>
      </c>
      <c r="I258" s="4" t="n"/>
      <c r="J258" s="4" t="inlineStr">
        <is>
          <t>Source URLs</t>
        </is>
      </c>
      <c r="K258" s="4" t="inlineStr">
        <is>
          <t>https://www.gardenstateinitiative.org/op-ed/gsi-opinion-heres-why-your-new-jersey-property-taxes-will-never-go-down-unless-theres-radical-change/</t>
        </is>
      </c>
    </row>
    <row r="259" ht="49" customHeight="1">
      <c r="A259" s="13" t="inlineStr">
        <is>
          <t>New Mexico</t>
        </is>
      </c>
      <c r="B259" s="4" t="inlineStr">
        <is>
          <t>Analysis</t>
        </is>
      </c>
      <c r="C259" s="4" t="inlineStr">
        <is>
          <t>State group</t>
        </is>
      </c>
      <c r="D259" s="4" t="inlineStr">
        <is>
          <t>Rio Grande Foundation (State Policy Network affiliate)</t>
        </is>
      </c>
      <c r="E259" s="4" t="n"/>
      <c r="F259" s="15" t="inlineStr">
        <is>
          <t>RGF opinion piece: Data centers are coming: How to handle them</t>
        </is>
      </c>
      <c r="G259" s="4" t="inlineStr">
        <is>
          <t>Jan. 15, 2026</t>
        </is>
      </c>
      <c r="H259" s="4" t="inlineStr">
        <is>
          <t>2026-01-15</t>
        </is>
      </c>
      <c r="I259" s="4" t="inlineStr">
        <is>
          <t>Welcomes three planned data centers, including Oracle's $165 billion Project Jupiter in Santa Teresa and the $11.7 billion Project Zenith in Roswell, but warns the boom comes with "massive subsidies, including a 30-year property tax exemption and up to $165 billion in industrial revenue bonds."</t>
        </is>
      </c>
      <c r="J259" s="4" t="inlineStr">
        <is>
          <t>Free-market analyses column</t>
        </is>
      </c>
      <c r="K259" s="4" t="inlineStr">
        <is>
          <t>https://riograndefoundation.org/rgf-opinion-piece-data-centers-are-coming-how-to-handle-them/</t>
        </is>
      </c>
    </row>
    <row r="260" ht="64" customHeight="1">
      <c r="A260" s="13" t="inlineStr">
        <is>
          <t>New Mexico</t>
        </is>
      </c>
      <c r="B260" s="4" t="inlineStr">
        <is>
          <t>Analysis</t>
        </is>
      </c>
      <c r="C260" s="4" t="inlineStr">
        <is>
          <t>State group</t>
        </is>
      </c>
      <c r="D260" s="4" t="inlineStr">
        <is>
          <t>Rio Grande Foundation (State Policy Network affiliate)</t>
        </is>
      </c>
      <c r="E260" s="4" t="n"/>
      <c r="F260" s="15" t="inlineStr">
        <is>
          <t>RGF opinion piece: Voters should be skeptical of $350 million bond for APS</t>
        </is>
      </c>
      <c r="G260" s="4" t="inlineStr">
        <is>
          <t>Oct. 14, 2025</t>
        </is>
      </c>
      <c r="H260" s="4" t="inlineStr">
        <is>
          <t>2025-10-14</t>
        </is>
      </c>
      <c r="I260" s="4" t="inlineStr">
        <is>
          <t>Paul Gessing argues Albuquerque Public Schools enrollment fell from about 85,336 in FY2016 to about 64,995 in FY2025 while per-pupil spending reached about $35,000, and that the district should close and consolidate schools before asking property taxpayers for new debt. Voters approved the bond on Nov. 4, 2025.</t>
        </is>
      </c>
      <c r="J260" s="4" t="inlineStr">
        <is>
          <t>Free-market analyses column</t>
        </is>
      </c>
      <c r="K260" s="4" t="inlineStr">
        <is>
          <t>https://riograndefoundation.org/rgf-opinion-piece-voters-should-be-skeptical-of-350-million-bond-for-aps/</t>
        </is>
      </c>
    </row>
    <row r="261" ht="64" customHeight="1">
      <c r="A261" s="13" t="inlineStr">
        <is>
          <t>New Mexico</t>
        </is>
      </c>
      <c r="B261" s="4" t="inlineStr">
        <is>
          <t>Analysis</t>
        </is>
      </c>
      <c r="C261" s="4" t="inlineStr">
        <is>
          <t>State group</t>
        </is>
      </c>
      <c r="D261" s="4" t="inlineStr">
        <is>
          <t>Rio Grande Foundation (State Policy Network affiliate)</t>
        </is>
      </c>
      <c r="E261" s="4" t="inlineStr">
        <is>
          <t>Douglas Peterson and Paul Gessing</t>
        </is>
      </c>
      <c r="F261" s="15" t="inlineStr">
        <is>
          <t>RGF op-ed: Mayor's Downtown taxing plans won't work because they don't address crime and vagrancy</t>
        </is>
      </c>
      <c r="G261" s="4" t="inlineStr">
        <is>
          <t>Sept. 16, 2024</t>
        </is>
      </c>
      <c r="H261" s="4" t="inlineStr">
        <is>
          <t>2024-09-16</t>
        </is>
      </c>
      <c r="I261" s="4" t="inlineStr">
        <is>
          <t>Opposes Mayor Tim Keller's proposed Downtown Albuquerque tax increment district and business improvement district, saying a TIF makes the rest of the city pay for services in the district, and calls new taxes on Downtown owners "sheer folly" after Bernalillo County Assessor Damian Lara raised their property taxes "by as much as 100% in some cases."</t>
        </is>
      </c>
      <c r="J261" s="4" t="inlineStr">
        <is>
          <t>Free-market analyses column</t>
        </is>
      </c>
      <c r="K261" s="4" t="inlineStr">
        <is>
          <t>https://riograndefoundation.org/rgf-op-ed-mayors-downtown-taxing-plans-wont-work-because-they-dont-address-crime-and-vagrancy/</t>
        </is>
      </c>
    </row>
    <row r="262" ht="49" customHeight="1">
      <c r="A262" s="13" t="inlineStr">
        <is>
          <t>New Mexico</t>
        </is>
      </c>
      <c r="B262" s="4" t="inlineStr">
        <is>
          <t>Analysis</t>
        </is>
      </c>
      <c r="C262" s="4" t="inlineStr">
        <is>
          <t>State group</t>
        </is>
      </c>
      <c r="D262" s="4" t="inlineStr">
        <is>
          <t>Rio Grande Foundation (State Policy Network affiliate)</t>
        </is>
      </c>
      <c r="E262" s="4" t="n"/>
      <c r="F262" s="15" t="inlineStr">
        <is>
          <t>A conservative looks (down) the New Mexico ballot</t>
        </is>
      </c>
      <c r="G262" s="4" t="inlineStr">
        <is>
          <t>Oct. 10, 2022</t>
        </is>
      </c>
      <c r="H262" s="4" t="inlineStr">
        <is>
          <t>2022-10-10</t>
        </is>
      </c>
      <c r="I262" s="4" t="inlineStr">
        <is>
          <t>Recommends voting against all bonds "because local voters have a tendency to blindly vote YES on nearly all bonds," noting that bonds are government debt "paid off by your property tax dollars" and are "almost never voted down" in the Albuquerque metro area.</t>
        </is>
      </c>
      <c r="J262" s="4" t="inlineStr">
        <is>
          <t>Free-market analyses column</t>
        </is>
      </c>
      <c r="K262" s="4" t="inlineStr">
        <is>
          <t>https://riograndefoundation.org/a-conservative-looks-down-the-new-mexico-ballot/</t>
        </is>
      </c>
    </row>
    <row r="263" ht="49" customHeight="1">
      <c r="A263" s="13" t="inlineStr">
        <is>
          <t>New Mexico</t>
        </is>
      </c>
      <c r="B263" s="4" t="inlineStr">
        <is>
          <t>Analysis</t>
        </is>
      </c>
      <c r="C263" s="4" t="inlineStr">
        <is>
          <t>State group</t>
        </is>
      </c>
      <c r="D263" s="4" t="inlineStr">
        <is>
          <t>Rio Grande Foundation (State Policy Network affiliate)</t>
        </is>
      </c>
      <c r="E263" s="4" t="inlineStr">
        <is>
          <t>Edwin Aybar Lopez of OAK NM</t>
        </is>
      </c>
      <c r="F263" s="15" t="inlineStr">
        <is>
          <t>OAK NM in ABQ Journal: Educate yourself and vote on school board, bond, mill levy</t>
        </is>
      </c>
      <c r="G263" s="4" t="inlineStr">
        <is>
          <t>Oct. 18, 2021</t>
        </is>
      </c>
      <c r="H263" s="4" t="inlineStr">
        <is>
          <t>2021-10-18</t>
        </is>
      </c>
      <c r="I263" s="4" t="inlineStr">
        <is>
          <t>Questions why APS "quietly placed" a $200 million bond and a levy of $3.838 per $1,000 of net taxable value on residential property ($4.344 on non-residential) on the ballot while stimulus money flowed in and students left the district.</t>
        </is>
      </c>
      <c r="J263" s="4" t="inlineStr">
        <is>
          <t>Free-market analyses column</t>
        </is>
      </c>
      <c r="K263" s="4" t="inlineStr">
        <is>
          <t>https://riograndefoundation.org/oak-nm-in-abq-journal-educate-yourself-and-vote-on-school-board-bond-mill-levy/</t>
        </is>
      </c>
    </row>
    <row r="264" ht="64" customHeight="1">
      <c r="A264" s="13" t="inlineStr">
        <is>
          <t>New York</t>
        </is>
      </c>
      <c r="B264" s="4" t="inlineStr">
        <is>
          <t>Analysis</t>
        </is>
      </c>
      <c r="C264" s="4" t="inlineStr">
        <is>
          <t>State group</t>
        </is>
      </c>
      <c r="D264" s="4" t="inlineStr">
        <is>
          <t>Empire Center for Public Policy (State Policy Network affiliate)</t>
        </is>
      </c>
      <c r="E264" s="4" t="n"/>
      <c r="F264" s="15" t="inlineStr">
        <is>
          <t>New York's School Districts Plan To Spend Over $37K Per Student</t>
        </is>
      </c>
      <c r="G264" s="4" t="inlineStr">
        <is>
          <t>May 18, 2026</t>
        </is>
      </c>
      <c r="H264" s="4" t="inlineStr">
        <is>
          <t>2026-05-18</t>
        </is>
      </c>
      <c r="I264" s="4" t="inlineStr">
        <is>
          <t>Abdullah Ar Rafee finds districts outside the Big Five planned to spend $37,033 per student in 2026-27, up 4.9%, while enrollment falls 1.03%. Levies reach $25.9 billion ($18,979 per student, up 3.8%); 274 districts planned levy increases above core inflation, 352 planned to raise levies by exactly the cap and 40 planned overrides, led by Randolph (37% above cap) and Plattsburgh (32%).</t>
        </is>
      </c>
      <c r="J264" s="4" t="inlineStr">
        <is>
          <t>Free-market analyses column</t>
        </is>
      </c>
      <c r="K264" s="4" t="inlineStr">
        <is>
          <t>https://www.empirecenter.org/publications/new-yorks-school-districts-plan-to-spend-over-37k-per-student/</t>
        </is>
      </c>
    </row>
    <row r="265" ht="49" customHeight="1">
      <c r="A265" s="13" t="inlineStr">
        <is>
          <t>New York</t>
        </is>
      </c>
      <c r="B265" s="4" t="inlineStr">
        <is>
          <t>Analysis</t>
        </is>
      </c>
      <c r="C265" s="4" t="inlineStr">
        <is>
          <t>National group</t>
        </is>
      </c>
      <c r="D265" s="4" t="inlineStr">
        <is>
          <t>Manhattan Institute (State Policy Network associate)</t>
        </is>
      </c>
      <c r="E265" s="4" t="inlineStr">
        <is>
          <t>City Journal, Eric Kober</t>
        </is>
      </c>
      <c r="F265" s="15" t="inlineStr">
        <is>
          <t>Mamdani Closes New York City's $12 Billion Budget Gap—For Now</t>
        </is>
      </c>
      <c r="G265" s="4" t="inlineStr">
        <is>
          <t>May 14, 2026</t>
        </is>
      </c>
      <c r="H265" s="4" t="inlineStr">
        <is>
          <t>2026-05-14</t>
        </is>
      </c>
      <c r="I265" s="4" t="inlineStr">
        <is>
          <t>Reports that Mayor Mamdani's February preliminary budget added $6.6 billion in tax revenue over FY2026-FY2027, drew down reserves and proposed a $3.7 billion property tax increase in lieu of income tax hikes that needed state approval; the Council received it coldly and the mayor dropped it in May.</t>
        </is>
      </c>
      <c r="J265" s="4" t="inlineStr">
        <is>
          <t>Free-market analyses column</t>
        </is>
      </c>
      <c r="K265" s="4" t="inlineStr">
        <is>
          <t>https://www.city-journal.org/article/mamdani-closes-12-billion-new-york-city-budget-gap</t>
        </is>
      </c>
    </row>
    <row r="266" ht="64" customHeight="1">
      <c r="A266" s="13" t="inlineStr">
        <is>
          <t>New York</t>
        </is>
      </c>
      <c r="B266" s="4" t="inlineStr">
        <is>
          <t>Analysis</t>
        </is>
      </c>
      <c r="C266" s="4" t="inlineStr">
        <is>
          <t>State group</t>
        </is>
      </c>
      <c r="D266" s="4" t="inlineStr">
        <is>
          <t>Empire Center for Public Policy (State Policy Network affiliate)</t>
        </is>
      </c>
      <c r="E266" s="4" t="inlineStr">
        <is>
          <t>Bill Hammond</t>
        </is>
      </c>
      <c r="F266" s="15" t="inlineStr">
        <is>
          <t>Four Problems with a Statewide Pied-à-Terre Tax</t>
        </is>
      </c>
      <c r="G266" s="4" t="inlineStr">
        <is>
          <t>May 4, 2026</t>
        </is>
      </c>
      <c r="H266" s="4" t="inlineStr">
        <is>
          <t>2026-05-04</t>
        </is>
      </c>
      <c r="I266" s="4" t="inlineStr">
        <is>
          <t>Opposes Sen. Patricia Fahy's opt-in tax on non-primary homes worth over $5 million, noting few such homes exist upstate and that their owners already pay full property taxes; Saratoga's Palazzo Riggi owes about $157,000 a year. It adds that New Yorkers pay $3,457 per capita in property taxes, second to New Jersey.</t>
        </is>
      </c>
      <c r="J266" s="4" t="inlineStr">
        <is>
          <t>Free-market analyses column</t>
        </is>
      </c>
      <c r="K266" s="4" t="inlineStr">
        <is>
          <t>https://www.empirecenter.org/publications/four-problems-with-a-statewide-pied-a-terre-tax/</t>
        </is>
      </c>
    </row>
    <row r="267" ht="49" customHeight="1">
      <c r="A267" s="13" t="inlineStr">
        <is>
          <t>New York</t>
        </is>
      </c>
      <c r="B267" s="4" t="inlineStr">
        <is>
          <t>Analysis</t>
        </is>
      </c>
      <c r="C267" s="4" t="inlineStr">
        <is>
          <t>State group</t>
        </is>
      </c>
      <c r="D267" s="4" t="inlineStr">
        <is>
          <t>Empire Center for Public Policy (State Policy Network affiliate)</t>
        </is>
      </c>
      <c r="E267" s="4" t="inlineStr">
        <is>
          <t>Cam Macdonald</t>
        </is>
      </c>
      <c r="F267" s="15" t="inlineStr">
        <is>
          <t>Two Dozen School Districts Are Returning to the Polls for Budget Revotes</t>
        </is>
      </c>
      <c r="G267" s="4" t="inlineStr">
        <is>
          <t>June 16, 2025</t>
        </is>
      </c>
      <c r="H267" s="4" t="inlineStr">
        <is>
          <t>2025-06-16</t>
        </is>
      </c>
      <c r="I267" s="4" t="inlineStr">
        <is>
          <t>Of 683 districts voting, 42 budgets exceeded the levy cap and needed 60% approval; of 24 defeated budgets, 17 failed that supermajority, and 12 districts came back with cap-compliant budgets. Proposed per-pupil spending averaged $35,012.</t>
        </is>
      </c>
      <c r="J267" s="4" t="inlineStr">
        <is>
          <t>Free-market analyses column</t>
        </is>
      </c>
      <c r="K267" s="4" t="inlineStr">
        <is>
          <t>https://www.empirecenter.org/publications/two-dozen-school-districts-are-returning-to-the-polls-for-budget-revotes/</t>
        </is>
      </c>
    </row>
    <row r="268" ht="30" customHeight="1">
      <c r="A268" s="13" t="inlineStr">
        <is>
          <t>New York</t>
        </is>
      </c>
      <c r="B268" s="4" t="inlineStr">
        <is>
          <t>Analysis</t>
        </is>
      </c>
      <c r="C268" s="4" t="inlineStr">
        <is>
          <t>State group</t>
        </is>
      </c>
      <c r="D268" s="4" t="inlineStr">
        <is>
          <t>Empire Center for Public Policy (State Policy Network affiliate)</t>
        </is>
      </c>
      <c r="E268" s="4" t="n"/>
      <c r="F268" s="15" t="inlineStr">
        <is>
          <t>Empire Index: State's On Wrong Track, Tax Cap Popular And More</t>
        </is>
      </c>
      <c r="G268" s="4" t="inlineStr">
        <is>
          <t>June 5, 2024</t>
        </is>
      </c>
      <c r="H268" s="4" t="inlineStr">
        <is>
          <t>2024-06-05</t>
        </is>
      </c>
      <c r="I268" s="4" t="inlineStr">
        <is>
          <t>Its poll found 67% of voters outside New York City support the 2011 property tax cap and 12% oppose it.</t>
        </is>
      </c>
      <c r="J268" s="4" t="inlineStr">
        <is>
          <t>Free-market analyses column</t>
        </is>
      </c>
      <c r="K268" s="4" t="inlineStr">
        <is>
          <t>https://www.empirecenter.org/publications/empire-index-june-2024/</t>
        </is>
      </c>
    </row>
    <row r="269" ht="49" customHeight="1">
      <c r="A269" s="13" t="inlineStr">
        <is>
          <t>New York</t>
        </is>
      </c>
      <c r="B269" s="4" t="inlineStr">
        <is>
          <t>Analysis</t>
        </is>
      </c>
      <c r="C269" s="4" t="inlineStr">
        <is>
          <t>State group</t>
        </is>
      </c>
      <c r="D269" s="4" t="inlineStr">
        <is>
          <t>Empire Center for Public Policy (State Policy Network affiliate)</t>
        </is>
      </c>
      <c r="E269" s="4" t="inlineStr">
        <is>
          <t>Ken Girardin</t>
        </is>
      </c>
      <c r="F269" s="15" t="inlineStr">
        <is>
          <t>A Tale of Two Levies</t>
        </is>
      </c>
      <c r="G269" s="4" t="inlineStr">
        <is>
          <t>May 16, 2023</t>
        </is>
      </c>
      <c r="H269" s="4" t="inlineStr">
        <is>
          <t>2023-05-16</t>
        </is>
      </c>
      <c r="I269" s="4" t="inlineStr">
        <is>
          <t>Finds about a third of school districts raising levies by every dollar the cap allows even as state school aid grew more than 24% in three years; only 12 districts planned levy cuts. It concludes that Albany's long effort to steer aid to schools "has rarely translated into lower property taxes."</t>
        </is>
      </c>
      <c r="J269" s="4" t="inlineStr">
        <is>
          <t>Free-market analyses column</t>
        </is>
      </c>
      <c r="K269" s="4" t="inlineStr">
        <is>
          <t>https://www.empirecenter.org/publications/a-tale-of-two-levies/</t>
        </is>
      </c>
    </row>
    <row r="270" ht="34" customHeight="1">
      <c r="A270" s="13" t="inlineStr">
        <is>
          <t>New York</t>
        </is>
      </c>
      <c r="B270" s="4" t="inlineStr">
        <is>
          <t>Checked: no report since 2021</t>
        </is>
      </c>
      <c r="C270" s="4" t="inlineStr">
        <is>
          <t>State group</t>
        </is>
      </c>
      <c r="D270" s="4" t="inlineStr">
        <is>
          <t>National Review Institute</t>
        </is>
      </c>
      <c r="E270" s="4" t="n"/>
      <c r="F270" s="4" t="inlineStr">
        <is>
          <t>(no report found)</t>
        </is>
      </c>
      <c r="G270" s="4" t="n"/>
      <c r="H270" s="4" t="n"/>
      <c r="I270" s="4" t="inlineStr">
        <is>
          <t>National Review Institute (State Policy Network associate): no property tax report since 2021 was found.</t>
        </is>
      </c>
      <c r="J270" s="4" t="inlineStr">
        <is>
          <t>Free-market analyses column</t>
        </is>
      </c>
      <c r="K270" s="4" t="n"/>
    </row>
    <row r="271" ht="34" customHeight="1">
      <c r="A271" s="13" t="inlineStr">
        <is>
          <t>New York</t>
        </is>
      </c>
      <c r="B271" s="4" t="inlineStr">
        <is>
          <t>Checked: no report since 2021</t>
        </is>
      </c>
      <c r="C271" s="4" t="inlineStr">
        <is>
          <t>State group</t>
        </is>
      </c>
      <c r="D271" s="4" t="inlineStr">
        <is>
          <t>Children's Scholarship Fund</t>
        </is>
      </c>
      <c r="E271" s="4" t="n"/>
      <c r="F271" s="4" t="inlineStr">
        <is>
          <t>(no report found)</t>
        </is>
      </c>
      <c r="G271" s="4" t="n"/>
      <c r="H271" s="4" t="n"/>
      <c r="I271" s="4" t="inlineStr">
        <is>
          <t>Children's Scholarship Fund (State Policy Network associate): no property tax report since 2021 was found.</t>
        </is>
      </c>
      <c r="J271" s="4" t="inlineStr">
        <is>
          <t>Free-market analyses column</t>
        </is>
      </c>
      <c r="K271" s="4" t="n"/>
    </row>
    <row r="272" ht="64" customHeight="1">
      <c r="A272" s="13" t="inlineStr">
        <is>
          <t>North Carolina</t>
        </is>
      </c>
      <c r="B272" s="4" t="inlineStr">
        <is>
          <t>Analysis</t>
        </is>
      </c>
      <c r="C272" s="4" t="inlineStr">
        <is>
          <t>State group</t>
        </is>
      </c>
      <c r="D272" s="4" t="inlineStr">
        <is>
          <t>John Locke Foundation (State Policy Network affiliate)</t>
        </is>
      </c>
      <c r="E272" s="4" t="inlineStr">
        <is>
          <t>Robert Luebke</t>
        </is>
      </c>
      <c r="F272" s="15" t="inlineStr">
        <is>
          <t>Is a tax revolt brewing?</t>
        </is>
      </c>
      <c r="G272" s="4" t="inlineStr">
        <is>
          <t>October 2, 2026</t>
        </is>
      </c>
      <c r="H272" s="4" t="inlineStr">
        <is>
          <t>2026-10-02</t>
        </is>
      </c>
      <c r="I272" s="4" t="inlineStr">
        <is>
          <t>Reports the September 2026 Carolina Journal Poll: 66% of North Carolinians support the November constitutional amendment limiting local property tax increases and 21% oppose it, with support at 82% of Republicans, 54% of Democrats and 60% of independents. The same poll found 56% unsatisfied with how local governments prioritize spending of property tax dollars.</t>
        </is>
      </c>
      <c r="J272" s="4" t="inlineStr">
        <is>
          <t>Free-market analyses column</t>
        </is>
      </c>
      <c r="K272" s="4" t="inlineStr">
        <is>
          <t>https://www.johnlocke.org/is-a-tax-revolt-brewing/</t>
        </is>
      </c>
    </row>
    <row r="273" ht="64" customHeight="1">
      <c r="A273" s="13" t="inlineStr">
        <is>
          <t>North Carolina</t>
        </is>
      </c>
      <c r="B273" s="4" t="inlineStr">
        <is>
          <t>Analysis</t>
        </is>
      </c>
      <c r="C273" s="4" t="inlineStr">
        <is>
          <t>State group</t>
        </is>
      </c>
      <c r="D273" s="4" t="inlineStr">
        <is>
          <t>John Locke Foundation</t>
        </is>
      </c>
      <c r="E273" s="4" t="inlineStr">
        <is>
          <t>Joseph Harris</t>
        </is>
      </c>
      <c r="F273" s="15" t="inlineStr">
        <is>
          <t>Model legislation: How North Carolina's property tax levy limit needs to be designed</t>
        </is>
      </c>
      <c r="G273" s="4" t="inlineStr">
        <is>
          <t>May 26, 2026</t>
        </is>
      </c>
      <c r="H273" s="4" t="inlineStr">
        <is>
          <t>2026-05-26</t>
        </is>
      </c>
      <c r="I273" s="4" t="inlineStr">
        <is>
          <t>Supports leaving the formula of the HB 1089 amendment to statute and sets out four design principles for the implementing law: growth tied to the prior year's inflation, new construction treated separately from existing property, minimal exceptions and voter-approved overrides. Its model text caps the levy on existing real property at the prior year's levy times one plus the change in CPI-U.</t>
        </is>
      </c>
      <c r="J273" s="4" t="inlineStr">
        <is>
          <t>Free-market analyses column</t>
        </is>
      </c>
      <c r="K273" s="4" t="inlineStr">
        <is>
          <t>https://www.johnlocke.org/model-legislation-how-north-carolinas-property-tax-levy-limit-needs-to-be-designed/</t>
        </is>
      </c>
    </row>
    <row r="274" ht="64" customHeight="1">
      <c r="A274" s="13" t="inlineStr">
        <is>
          <t>North Carolina</t>
        </is>
      </c>
      <c r="B274" s="4" t="inlineStr">
        <is>
          <t>Analysis</t>
        </is>
      </c>
      <c r="C274" s="4" t="inlineStr">
        <is>
          <t>National group</t>
        </is>
      </c>
      <c r="D274" s="4" t="inlineStr">
        <is>
          <t>Tax Foundation</t>
        </is>
      </c>
      <c r="E274" s="4" t="n"/>
      <c r="F274" s="15" t="inlineStr">
        <is>
          <t>Avenues for Property Tax Reform in North Carolina</t>
        </is>
      </c>
      <c r="G274" s="4" t="inlineStr">
        <is>
          <t>March 24, 2026</t>
        </is>
      </c>
      <c r="H274" s="4" t="inlineStr">
        <is>
          <t>2026-03-24</t>
        </is>
      </c>
      <c r="I274" s="4" t="inlineStr">
        <is>
          <t>Finds that local rate-setting decisions explain much of the variation in county property tax revenue growth from FY2018 to FY2023, with Johnston, Cherokee and Watauga at the top for revenue growth. Calls levy limits "the most effective and least distortive option" and faults assessment caps for lock-in effects and rate caps as ineffective when values surge.</t>
        </is>
      </c>
      <c r="J274" s="4" t="inlineStr">
        <is>
          <t>Free-market analyses column</t>
        </is>
      </c>
      <c r="K274" s="4" t="inlineStr">
        <is>
          <t>https://taxfoundation.org/blog/north-carolina-property-tax-reform/</t>
        </is>
      </c>
    </row>
    <row r="275" ht="64" customHeight="1">
      <c r="A275" s="13" t="inlineStr">
        <is>
          <t>North Carolina</t>
        </is>
      </c>
      <c r="B275" s="4" t="inlineStr">
        <is>
          <t>Analysis</t>
        </is>
      </c>
      <c r="C275" s="4" t="inlineStr">
        <is>
          <t>State group</t>
        </is>
      </c>
      <c r="D275" s="4" t="inlineStr">
        <is>
          <t>John Locke Foundation</t>
        </is>
      </c>
      <c r="E275" s="4" t="inlineStr">
        <is>
          <t>Joseph Harris</t>
        </is>
      </c>
      <c r="F275" s="15" t="inlineStr">
        <is>
          <t>How much is too much? An analysis of property tax revenue growth in the state's most populous counties</t>
        </is>
      </c>
      <c r="G275" s="4" t="inlineStr">
        <is>
          <t>March 16, 2026</t>
        </is>
      </c>
      <c r="H275" s="4" t="inlineStr">
        <is>
          <t>2026-03-16</t>
        </is>
      </c>
      <c r="I275" s="4" t="inlineStr">
        <is>
          <t>Compares a decade of property tax collections in the 10 largest counties with a benchmark that limits growth to inflation plus population: collections rose 62% on average against 51% allowed, more than $2.6 billion in extra taxes. Wake collected $1.63 billion above the benchmark (103% growth against 63%), Cabarrus $295 million and Durham $196.2 million, while Cumberland stayed $28.4 million under it.</t>
        </is>
      </c>
      <c r="J275" s="4" t="inlineStr">
        <is>
          <t>Free-market analyses column</t>
        </is>
      </c>
      <c r="K275" s="4" t="inlineStr">
        <is>
          <t>https://www.johnlocke.org/how-much-is-too-much-an-analysis-of-property-tax-revenue-growth-in-the-states-most-populous-counties/</t>
        </is>
      </c>
    </row>
    <row r="276" ht="64" customHeight="1">
      <c r="A276" s="13" t="inlineStr">
        <is>
          <t>North Carolina</t>
        </is>
      </c>
      <c r="B276" s="4" t="inlineStr">
        <is>
          <t>Analysis</t>
        </is>
      </c>
      <c r="C276" s="4" t="inlineStr">
        <is>
          <t>State group</t>
        </is>
      </c>
      <c r="D276" s="4" t="inlineStr">
        <is>
          <t>John Locke Foundation</t>
        </is>
      </c>
      <c r="E276" s="4" t="inlineStr">
        <is>
          <t>Joseph Harris</t>
        </is>
      </c>
      <c r="F276" s="15" t="inlineStr">
        <is>
          <t>Not all property tax levy limits are created equal</t>
        </is>
      </c>
      <c r="G276" s="4" t="inlineStr">
        <is>
          <t>February 4, 2026</t>
        </is>
      </c>
      <c r="H276" s="4" t="inlineStr">
        <is>
          <t>2026-02-04</t>
        </is>
      </c>
      <c r="I276" s="4" t="inlineStr">
        <is>
          <t>Compares three levy-limit designs by how they treat new construction: under a 3% cap, existing owners' taxes grow 1.07% when new construction counts inside the cap and 3.04% when it is added on top of the cap. Notes that levy limits work on total collections, so a home whose value rises faster than the county average still sees a larger bill increase.</t>
        </is>
      </c>
      <c r="J276" s="4" t="inlineStr">
        <is>
          <t>Free-market analyses column</t>
        </is>
      </c>
      <c r="K276" s="4" t="inlineStr">
        <is>
          <t>https://www.johnlocke.org/not-all-property-tax-levy-limits-are-created-equal/</t>
        </is>
      </c>
    </row>
    <row r="277" ht="79" customHeight="1">
      <c r="A277" s="13" t="inlineStr">
        <is>
          <t>North Carolina</t>
        </is>
      </c>
      <c r="B277" s="4" t="inlineStr">
        <is>
          <t>Analysis</t>
        </is>
      </c>
      <c r="C277" s="4" t="inlineStr">
        <is>
          <t>State group</t>
        </is>
      </c>
      <c r="D277" s="4" t="inlineStr">
        <is>
          <t>John Locke Foundation</t>
        </is>
      </c>
      <c r="E277" s="4" t="inlineStr">
        <is>
          <t>Joseph Harris</t>
        </is>
      </c>
      <c r="F277" s="15" t="inlineStr">
        <is>
          <t>Lower rates, higher bills: North Carolina's property tax reality</t>
        </is>
      </c>
      <c r="G277" s="4" t="inlineStr">
        <is>
          <t>January 15, 2026</t>
        </is>
      </c>
      <c r="H277" s="4" t="inlineStr">
        <is>
          <t>2026-01-15</t>
        </is>
      </c>
      <c r="I277" s="4" t="inlineStr">
        <is>
          <t>Finds county property tax revenue rose from about $6.5 billion in FY2015 to $9.6 billion in FY2024, a 46% increase against 42% inflation plus population growth, and notes that all 71 counties that revalued in the prior three years lowered their rates, which did not necessarily lower tax bills. Ranks levy limits tied to inflation plus population as "the strongest protection against rapid tax increases" and says spending limits, done right, can give taxpayers greater protection.</t>
        </is>
      </c>
      <c r="J277" s="4" t="inlineStr">
        <is>
          <t>Free-market analyses column</t>
        </is>
      </c>
      <c r="K277" s="4" t="inlineStr">
        <is>
          <t>https://www.johnlocke.org/lower-rates-higher-bills-north-carolinas-property-tax-reality/</t>
        </is>
      </c>
    </row>
    <row r="278" ht="34" customHeight="1">
      <c r="A278" s="13" t="inlineStr">
        <is>
          <t>North Carolina</t>
        </is>
      </c>
      <c r="B278" s="4" t="inlineStr">
        <is>
          <t>Checked: no report since 2021</t>
        </is>
      </c>
      <c r="C278" s="4" t="inlineStr">
        <is>
          <t>State group</t>
        </is>
      </c>
      <c r="D278" s="4" t="inlineStr">
        <is>
          <t>North Carolina FreeEnterprise Foundation, Coalition for Liberty, Jesse Helms Center and James G. Martin Center</t>
        </is>
      </c>
      <c r="E278" s="4" t="n"/>
      <c r="F278" s="4" t="inlineStr">
        <is>
          <t>(no report found)</t>
        </is>
      </c>
      <c r="G278" s="4" t="n"/>
      <c r="H278" s="4" t="n"/>
      <c r="I278" s="4" t="inlineStr">
        <is>
          <t>North Carolina FreeEnterprise Foundation, Coalition for Liberty, Jesse Helms Center and James G. Martin Center (State Policy Network associates): no property tax report since 2021 was found.</t>
        </is>
      </c>
      <c r="J278" s="4" t="inlineStr">
        <is>
          <t>Free-market analyses column</t>
        </is>
      </c>
      <c r="K278" s="4" t="n"/>
    </row>
    <row r="279" ht="94" customHeight="1">
      <c r="A279" s="13" t="inlineStr">
        <is>
          <t>North Dakota</t>
        </is>
      </c>
      <c r="B279" s="4" t="inlineStr">
        <is>
          <t>Analysis</t>
        </is>
      </c>
      <c r="C279" s="4" t="inlineStr">
        <is>
          <t>National group</t>
        </is>
      </c>
      <c r="D279" s="4" t="inlineStr">
        <is>
          <t>Tax Foundation</t>
        </is>
      </c>
      <c r="E279" s="4" t="n"/>
      <c r="F279" s="15" t="inlineStr">
        <is>
          <t>North Dakota's Property Tax Reform Proposals: A Three-Part Approach</t>
        </is>
      </c>
      <c r="G279" s="4" t="inlineStr">
        <is>
          <t>April 9, 2025</t>
        </is>
      </c>
      <c r="H279" s="4" t="inlineStr">
        <is>
          <t>2025-04-09</t>
        </is>
      </c>
      <c r="I279" s="4" t="inlineStr">
        <is>
          <t>Reviews the House proposals HB 1168, HB 1575 and HB 1176, which would use Legacy Fund earnings to offset costs; HB 1168 would cap annual levy increases at 3% for local taxing districts other than schools, with new construction excluded and overrides only by 60% of voters for up to five years. Notes Gov. Kelly Armstrong's support for HB 1176, then a credit of up to $1,250 covering 75% of the tax on a primary residence (the enacted law set $1,600), and concludes: "These proposals offer meaningful relief to property owners, but each carries fiscal and structural implications that deserve careful consideration."</t>
        </is>
      </c>
      <c r="J279" s="4" t="inlineStr">
        <is>
          <t>Free-market analyses column</t>
        </is>
      </c>
      <c r="K279" s="4" t="inlineStr">
        <is>
          <t>https://taxfoundation.org/blog/north-dakota-property-tax-relief-reform/</t>
        </is>
      </c>
    </row>
    <row r="280" ht="49" customHeight="1">
      <c r="A280" s="13" t="inlineStr">
        <is>
          <t>North Dakota</t>
        </is>
      </c>
      <c r="B280" s="4" t="inlineStr">
        <is>
          <t>Analysis</t>
        </is>
      </c>
      <c r="C280" s="4" t="inlineStr">
        <is>
          <t>State group</t>
        </is>
      </c>
      <c r="D280" s="4" t="inlineStr">
        <is>
          <t>Americans for Prosperity-North Dakota</t>
        </is>
      </c>
      <c r="E280" s="4" t="n"/>
      <c r="F280" s="15" t="inlineStr">
        <is>
          <t>Americans for Prosperity-North Dakota Announces 2025 "Pathway to Prosperity" Legislative Agenda</t>
        </is>
      </c>
      <c r="G280" s="4" t="inlineStr">
        <is>
          <t>February 4, 2025</t>
        </is>
      </c>
      <c r="H280" s="4" t="inlineStr">
        <is>
          <t>2025-02-04</t>
        </is>
      </c>
      <c r="I280" s="4" t="inlineStr">
        <is>
          <t>Lists property taxes among its 2025 priorities, saying "The government has the obligation to justify the need for additional revenue from taxpayers," and backs measures requiring local governments to hold public hearings before raising property taxes above the rate of inflation.</t>
        </is>
      </c>
      <c r="J280" s="4" t="inlineStr">
        <is>
          <t>Free-market analyses column</t>
        </is>
      </c>
      <c r="K280" s="4" t="inlineStr">
        <is>
          <t>https://americansforprosperity.org/press-release/americans-for-prosperity-north-dakota-announces-2025-pathway-to-prosperity-legislative-agenda/</t>
        </is>
      </c>
    </row>
    <row r="281" ht="49" customHeight="1">
      <c r="A281" s="13" t="inlineStr">
        <is>
          <t>North Dakota</t>
        </is>
      </c>
      <c r="B281" s="4" t="inlineStr">
        <is>
          <t>Analysis</t>
        </is>
      </c>
      <c r="C281" s="4" t="inlineStr">
        <is>
          <t>National group</t>
        </is>
      </c>
      <c r="D281" s="4" t="inlineStr">
        <is>
          <t>Tax Foundation</t>
        </is>
      </c>
      <c r="E281" s="4" t="n"/>
      <c r="F281" s="15" t="inlineStr">
        <is>
          <t>North Dakota Considers Eliminating Property Taxes</t>
        </is>
      </c>
      <c r="G281" s="4" t="inlineStr">
        <is>
          <t>Sept. 4, 2024</t>
        </is>
      </c>
      <c r="H281" s="4" t="inlineStr">
        <is>
          <t>2024-09-04</t>
        </is>
      </c>
      <c r="I281" s="4" t="inlineStr">
        <is>
          <t>Opposes Measure 4: abolition would break the link between paying for and receiving local services, shift local revenue responsibility to the state and create a structural deficit of "nearly $1.3 billion per year" to be replaced with more harmful taxes.</t>
        </is>
      </c>
      <c r="J281" s="4" t="inlineStr">
        <is>
          <t>Free-market analyses column</t>
        </is>
      </c>
      <c r="K281" s="4" t="inlineStr">
        <is>
          <t>https://taxfoundation.org/blog/north-dakota-property-tax-ballot-measure/</t>
        </is>
      </c>
    </row>
    <row r="282" ht="64" customHeight="1">
      <c r="A282" s="13" t="inlineStr">
        <is>
          <t>North Dakota</t>
        </is>
      </c>
      <c r="B282" s="4" t="inlineStr">
        <is>
          <t>Analysis</t>
        </is>
      </c>
      <c r="C282" s="4" t="inlineStr">
        <is>
          <t>State group</t>
        </is>
      </c>
      <c r="D282" s="4" t="inlineStr">
        <is>
          <t>Roughrider Institute (Roughrider Policy Center; State Policy Network affiliate)</t>
        </is>
      </c>
      <c r="E282" s="4" t="n"/>
      <c r="F282" s="15" t="inlineStr">
        <is>
          <t>ND Legislature Hits Home Stretch</t>
        </is>
      </c>
      <c r="G282" s="4" t="inlineStr">
        <is>
          <t>March 1, 2023</t>
        </is>
      </c>
      <c r="H282" s="4" t="inlineStr">
        <is>
          <t>2023-03-01</t>
        </is>
      </c>
      <c r="I282" s="4" t="inlineStr">
        <is>
          <t>A 2023 session update that notes property tax and income tax bills still alive, including HB 1158, and says: "Efforts from the Legislature to reduce the burden of local property taxes have not solved the problem, as evidenced by the fact that property tax reform is an issue every legislative session." No full property tax report since 2021 was found; its 2025 posts cover pensions and education.</t>
        </is>
      </c>
      <c r="J282" s="4" t="inlineStr">
        <is>
          <t>Free-market analyses column</t>
        </is>
      </c>
      <c r="K282" s="4" t="inlineStr">
        <is>
          <t>https://roughriderinstitute.org/nd-legislature-hits-home-stretch/</t>
        </is>
      </c>
    </row>
    <row r="283" ht="49" customHeight="1">
      <c r="A283" s="13" t="inlineStr">
        <is>
          <t>Ohio</t>
        </is>
      </c>
      <c r="B283" s="4" t="inlineStr">
        <is>
          <t>Analysis</t>
        </is>
      </c>
      <c r="C283" s="4" t="inlineStr">
        <is>
          <t>State group</t>
        </is>
      </c>
      <c r="D283" s="4" t="inlineStr">
        <is>
          <t>Common Sense Institute</t>
        </is>
      </c>
      <c r="E283" s="4" t="n"/>
      <c r="F283" s="15" t="inlineStr">
        <is>
          <t>Iowa Leads the Nation in Property Tax Relief: Ranking State Reforms of the Past Decade</t>
        </is>
      </c>
      <c r="G283" s="4" t="inlineStr">
        <is>
          <t>Aug. 6, 2026</t>
        </is>
      </c>
      <c r="H283" s="4" t="inlineStr">
        <is>
          <t>2026-08-06</t>
        </is>
      </c>
      <c r="I283" s="4" t="inlineStr">
        <is>
          <t>Ranking 2016-2026 property tax relief bills by estimated six-year net savings, excluding state-funded relief, it places Ohio's HB 186 (2025) in the national top ten by savings per household (sixth through tenth places, each below the fifth-place $952).</t>
        </is>
      </c>
      <c r="J283" s="4" t="inlineStr">
        <is>
          <t>Free-market analyses column</t>
        </is>
      </c>
      <c r="K283" s="4" t="inlineStr">
        <is>
          <t>https://archive.commonsenseinstituteus.org/iowa/research/taxes-and-fees/iowa-leads-the-nation-in-property-tax-relief-ranking-state-reforms-of-the-past-decade</t>
        </is>
      </c>
    </row>
    <row r="284" ht="49" customHeight="1">
      <c r="A284" s="13" t="inlineStr">
        <is>
          <t>Ohio</t>
        </is>
      </c>
      <c r="B284" s="4" t="inlineStr">
        <is>
          <t>Analysis</t>
        </is>
      </c>
      <c r="C284" s="4" t="inlineStr">
        <is>
          <t>State group</t>
        </is>
      </c>
      <c r="D284" s="4" t="inlineStr">
        <is>
          <t>The Buckeye Institute (State Policy Network affiliate)</t>
        </is>
      </c>
      <c r="E284" s="4" t="n"/>
      <c r="F284" s="15" t="inlineStr">
        <is>
          <t>Buckeye Institute Recommended Policies to Lower Property Taxes Signed into Law</t>
        </is>
      </c>
      <c r="G284" s="4" t="inlineStr">
        <is>
          <t>Dec. 19, 2025</t>
        </is>
      </c>
      <c r="H284" s="4" t="inlineStr">
        <is>
          <t>2025-12-19</t>
        </is>
      </c>
      <c r="I284" s="4" t="inlineStr">
        <is>
          <t>Research fellow Greg R. Lawson called HB 186, HB 309 and HB 335 "the biggest property tax reform in half a century," saying the package "limits automatic tax increases without voter approval" and gives county budget commissions tools to cut a levy that collects more than voters approved.</t>
        </is>
      </c>
      <c r="J284" s="4" t="inlineStr">
        <is>
          <t>Free-market analyses column</t>
        </is>
      </c>
      <c r="K284" s="4" t="inlineStr">
        <is>
          <t>https://www.buckeyeinstitute.org/research/detail/buckeye-institute-recommended-policies-to-lower-property-taxes-signed-into-law</t>
        </is>
      </c>
    </row>
    <row r="285" ht="49" customHeight="1">
      <c r="A285" s="13" t="inlineStr">
        <is>
          <t>Ohio</t>
        </is>
      </c>
      <c r="B285" s="4" t="inlineStr">
        <is>
          <t>Analysis</t>
        </is>
      </c>
      <c r="C285" s="4" t="inlineStr">
        <is>
          <t>State group</t>
        </is>
      </c>
      <c r="D285" s="4" t="inlineStr">
        <is>
          <t>Americans for Prosperity-Ohio</t>
        </is>
      </c>
      <c r="E285" s="4" t="n"/>
      <c r="F285" s="15" t="inlineStr">
        <is>
          <t>AFP-OH Statement on House Passage of Property Tax Reform Bills HB 186 and HB 335</t>
        </is>
      </c>
      <c r="G285" s="4" t="inlineStr">
        <is>
          <t>Oct. 22, 2025</t>
        </is>
      </c>
      <c r="H285" s="4" t="inlineStr">
        <is>
          <t>2025-10-22</t>
        </is>
      </c>
      <c r="I285" s="4" t="inlineStr">
        <is>
          <t>Describes HB 186 as capping school district property tax increases at the rate of inflation and HB 335, the Property Tax Relief Now Act, as eliminating unvoted inside millage and adding transparency rules for local governments; AFP-OH placed a Key Vote Alert on both bills.</t>
        </is>
      </c>
      <c r="J285" s="4" t="inlineStr">
        <is>
          <t>Free-market analyses column</t>
        </is>
      </c>
      <c r="K285" s="4" t="inlineStr">
        <is>
          <t>https://americansforprosperity.org/press-release/afp-oh-statement-on-house-passage-of-property-tax-reform-bills-hb-186-and-hb-335/</t>
        </is>
      </c>
    </row>
    <row r="286" ht="94" customHeight="1">
      <c r="A286" s="13" t="inlineStr">
        <is>
          <t>Ohio</t>
        </is>
      </c>
      <c r="B286" s="4" t="inlineStr">
        <is>
          <t>Analysis</t>
        </is>
      </c>
      <c r="C286" s="4" t="inlineStr">
        <is>
          <t>State group</t>
        </is>
      </c>
      <c r="D286" s="4" t="inlineStr">
        <is>
          <t>The Buckeye Institute</t>
        </is>
      </c>
      <c r="E286" s="4" t="n"/>
      <c r="F286" s="15" t="inlineStr">
        <is>
          <t>The Buckeye Institute Offers 10 Specific Recommendations to Lower Property Taxes</t>
        </is>
      </c>
      <c r="G286" s="4" t="inlineStr">
        <is>
          <t>July 23, 2025</t>
        </is>
      </c>
      <c r="H286" s="4" t="inlineStr">
        <is>
          <t>2025-07-23</t>
        </is>
      </c>
      <c r="I286" s="4" t="inlineStr">
        <is>
          <t>Offered to Gov. DeWine's Property Tax Reform Working Group, the list includes county commissioner or budget commission approval of most levies before they reach the ballot, commission power to lower rates when collections exceed need, eliminating or modifying the 20-mill floor, eliminating or capping inside millage growth, ending abatements that shift property taxes onto families and small businesses, consolidating local governments and putting all local governments on the Ohio Checkbook. The recommendations also appear in Buckeye's 2025 paper "Local Government Reform Necessary to Lower Property Taxes."</t>
        </is>
      </c>
      <c r="J286" s="4" t="inlineStr">
        <is>
          <t>Free-market analyses column</t>
        </is>
      </c>
      <c r="K286" s="4" t="inlineStr">
        <is>
          <t>https://www.buckeyeinstitute.org/research/detail/the-buckeye-institute-offers-10-specific-recommendations-to-lower-property-taxes</t>
        </is>
      </c>
    </row>
    <row r="287" ht="49" customHeight="1">
      <c r="A287" s="13" t="inlineStr">
        <is>
          <t>Ohio</t>
        </is>
      </c>
      <c r="B287" s="4" t="inlineStr">
        <is>
          <t>Analysis</t>
        </is>
      </c>
      <c r="C287" s="4" t="inlineStr">
        <is>
          <t>State group</t>
        </is>
      </c>
      <c r="D287" s="4" t="inlineStr">
        <is>
          <t>Americans for Prosperity-Ohio</t>
        </is>
      </c>
      <c r="E287" s="4" t="n"/>
      <c r="F287" s="15" t="inlineStr">
        <is>
          <t>AFP-OH Applauds Ohio House for Overriding Property Tax Veto, Rallies Support Ahead of Senate Vote</t>
        </is>
      </c>
      <c r="G287" s="4" t="inlineStr">
        <is>
          <t>July 21, 2025</t>
        </is>
      </c>
      <c r="H287" s="4" t="inlineStr">
        <is>
          <t>2025-07-21</t>
        </is>
      </c>
      <c r="I287" s="4" t="inlineStr">
        <is>
          <t>Backs the House's 61-28 vote to override Gov. DeWine's veto of Item 66 of HB 96 (school district property tax levy restrictions); AFP-OH reports nearly 2,000 petition signers contacted legislators and calls itself the leading outside group lobbying for the overrides.</t>
        </is>
      </c>
      <c r="J287" s="4" t="inlineStr">
        <is>
          <t>Free-market analyses column</t>
        </is>
      </c>
      <c r="K287" s="4" t="inlineStr">
        <is>
          <t>https://americansforprosperity.org/press-release/afp-oh-applauds-ohio-house-for-overriding-property-tax-veto-rallies-support-ahead-of-senate-vote/</t>
        </is>
      </c>
    </row>
    <row r="288" ht="79" customHeight="1">
      <c r="A288" s="13" t="inlineStr">
        <is>
          <t>Ohio</t>
        </is>
      </c>
      <c r="B288" s="4" t="inlineStr">
        <is>
          <t>Analysis</t>
        </is>
      </c>
      <c r="C288" s="4" t="inlineStr">
        <is>
          <t>State group</t>
        </is>
      </c>
      <c r="D288" s="4" t="inlineStr">
        <is>
          <t>The Buckeye Institute</t>
        </is>
      </c>
      <c r="E288" s="4" t="inlineStr">
        <is>
          <t>Greg R. Lawson</t>
        </is>
      </c>
      <c r="F288" s="15" t="inlineStr">
        <is>
          <t>The Buckeye Institute: Policies in Ohio HB 344 Increase Property Tax Transparency</t>
        </is>
      </c>
      <c r="G288" s="4" t="inlineStr">
        <is>
          <t>Feb. 6, 2024</t>
        </is>
      </c>
      <c r="H288" s="4" t="inlineStr">
        <is>
          <t>2024-02-06</t>
        </is>
      </c>
      <c r="I288" s="4" t="inlineStr">
        <is>
          <t>House testimony supporting HB 344's end to replacement levies, plain-language ballot rules and limits on local challenges to property valuations, which Lawson said often lead to "retroactive tax increases and litigation costs for unsuspecting property owners." Notes Ohio's local tax burden ranked 13th as a share of income as of 2020 and urges a statewide online tool modeled on the Franklin County auditor's Levy Estimator.</t>
        </is>
      </c>
      <c r="J288" s="4" t="inlineStr">
        <is>
          <t>Free-market analyses column</t>
        </is>
      </c>
      <c r="K288" s="4" t="inlineStr">
        <is>
          <t>https://www.buckeyeinstitute.org/research/detail/the-buckeye-institute-policies-in-ohio-hb-344-increase-property-tax-transparency</t>
        </is>
      </c>
    </row>
    <row r="289" ht="49" customHeight="1">
      <c r="A289" s="13" t="inlineStr">
        <is>
          <t>Ohio</t>
        </is>
      </c>
      <c r="B289" s="4" t="inlineStr">
        <is>
          <t>Cited elsewhere in the matrix</t>
        </is>
      </c>
      <c r="C289" s="4" t="inlineStr">
        <is>
          <t>National group</t>
        </is>
      </c>
      <c r="D289" s="4" t="inlineStr">
        <is>
          <t>Tax Foundation</t>
        </is>
      </c>
      <c r="E289" s="4" t="n"/>
      <c r="F289" s="15" t="inlineStr">
        <is>
          <t>State Tax Ballot Measures to Watch in 2026</t>
        </is>
      </c>
      <c r="G289" s="4" t="inlineStr">
        <is>
          <t>Oct. 7, 2026</t>
        </is>
      </c>
      <c r="H289" s="4" t="inlineStr">
        <is>
          <t>2026-10-07</t>
        </is>
      </c>
      <c r="I289" s="4" t="inlineStr">
        <is>
          <t>The Tax Foundation ranks Ohio 5th on property tax (39th overall).
- New levies: after thousands of school levies since 1976, the average Class I school effective rate rose from 28.55 to 33.15 mills (Fleeter testimony, May 2024).</t>
        </is>
      </c>
      <c r="J289" s="4" t="inlineStr">
        <is>
          <t>Source URLs and Loopholes &amp; has it worked?</t>
        </is>
      </c>
      <c r="K289" s="4" t="inlineStr">
        <is>
          <t>https://taxfoundation.org/research/state-tax/2026-state-tax-ballot-measures/</t>
        </is>
      </c>
    </row>
    <row r="290" ht="49" customHeight="1">
      <c r="A290" s="13" t="inlineStr">
        <is>
          <t>Ohio</t>
        </is>
      </c>
      <c r="B290" s="4" t="inlineStr">
        <is>
          <t>Checked: no report since 2021</t>
        </is>
      </c>
      <c r="C290" s="4" t="inlineStr">
        <is>
          <t>State group</t>
        </is>
      </c>
      <c r="D290" s="4" t="inlineStr">
        <is>
          <t>1851 Center for Constitutional Law</t>
        </is>
      </c>
      <c r="E290" s="4" t="n"/>
      <c r="F290" s="4" t="inlineStr">
        <is>
          <t>(no report found)</t>
        </is>
      </c>
      <c r="G290" s="4" t="n"/>
      <c r="H290" s="4" t="n"/>
      <c r="I290" s="4" t="inlineStr">
        <is>
          <t>1851 Center for Constitutional Law (State Policy Network associate): no property tax report since 2021 was found; its local-revenue work is litigation against city fees, such as the January 2026 federal ruling against Cleveland Heights rental registration fees.</t>
        </is>
      </c>
      <c r="J290" s="4" t="inlineStr">
        <is>
          <t>Free-market analyses column</t>
        </is>
      </c>
      <c r="K290" s="4" t="n"/>
    </row>
    <row r="291" ht="30" customHeight="1">
      <c r="A291" s="13" t="inlineStr">
        <is>
          <t>Ohio</t>
        </is>
      </c>
      <c r="B291" s="4" t="inlineStr">
        <is>
          <t>Checked: no report since 2021</t>
        </is>
      </c>
      <c r="C291" s="4" t="inlineStr">
        <is>
          <t>State group</t>
        </is>
      </c>
      <c r="D291" s="4" t="inlineStr">
        <is>
          <t>Forge Leadership Network</t>
        </is>
      </c>
      <c r="E291" s="4" t="n"/>
      <c r="F291" s="4" t="inlineStr">
        <is>
          <t>(no report found)</t>
        </is>
      </c>
      <c r="G291" s="4" t="n"/>
      <c r="H291" s="4" t="n"/>
      <c r="I291" s="4" t="inlineStr">
        <is>
          <t>Forge Leadership Network (State Policy Network associate): no property tax report since 2021 was found.</t>
        </is>
      </c>
      <c r="J291" s="4" t="inlineStr">
        <is>
          <t>Free-market analyses column</t>
        </is>
      </c>
      <c r="K291" s="4" t="n"/>
    </row>
    <row r="292" ht="79" customHeight="1">
      <c r="A292" s="13" t="inlineStr">
        <is>
          <t>Oklahoma</t>
        </is>
      </c>
      <c r="B292" s="4" t="inlineStr">
        <is>
          <t>Analysis</t>
        </is>
      </c>
      <c r="C292" s="4" t="inlineStr">
        <is>
          <t>State group</t>
        </is>
      </c>
      <c r="D292" s="4" t="inlineStr">
        <is>
          <t>Oklahoma Council of Public Affairs (State Policy Network affiliate)</t>
        </is>
      </c>
      <c r="E292" s="4" t="n"/>
      <c r="F292" s="15" t="inlineStr">
        <is>
          <t>Judges and property taxes: What Oklahoma voters should know about SQ 845 and SQ 847</t>
        </is>
      </c>
      <c r="G292" s="4" t="inlineStr">
        <is>
          <t>September 15, 2026</t>
        </is>
      </c>
      <c r="H292" s="4" t="inlineStr">
        <is>
          <t>2026-09-15</t>
        </is>
      </c>
      <c r="I292" s="4" t="inlineStr">
        <is>
          <t>Explains that legislatively referred SQ 847 on the Nov. 3, 2026 ballot would lower the annual valuation cap from 5% to 4% for other real property and from 3% to 1.75% for homesteads, and would replace the senior valuation freeze income test with tiers allowing increases of 0% to 1.40% for seniors with incomes up to 180% of HUD county median. It says the change "would likely increase the number of Oklahoma seniors who enjoy some amount of protection against escalating property valuations."</t>
        </is>
      </c>
      <c r="J292" s="4" t="inlineStr">
        <is>
          <t>Free-market analyses column</t>
        </is>
      </c>
      <c r="K292" s="4" t="inlineStr">
        <is>
          <t>https://ocpathink.org/post/analysis/judges-and-property-taxes-what-oklahoma-voters-should-know-about-sq-845-and-sq-847</t>
        </is>
      </c>
    </row>
    <row r="293" ht="64" customHeight="1">
      <c r="A293" s="13" t="inlineStr">
        <is>
          <t>Oklahoma</t>
        </is>
      </c>
      <c r="B293" s="4" t="inlineStr">
        <is>
          <t>Analysis</t>
        </is>
      </c>
      <c r="C293" s="4" t="inlineStr">
        <is>
          <t>State group</t>
        </is>
      </c>
      <c r="D293" s="4" t="inlineStr">
        <is>
          <t>Oklahoma Council of Public Affairs</t>
        </is>
      </c>
      <c r="E293" s="4" t="inlineStr">
        <is>
          <t>Ray Carter</t>
        </is>
      </c>
      <c r="F293" s="15" t="inlineStr">
        <is>
          <t>Oklahoma schools with sky-high per-student funding are sitting on millions in reserves—and aren't necessarily producing the highest academic results</t>
        </is>
      </c>
      <c r="G293" s="4" t="inlineStr">
        <is>
          <t>September 15, 2026</t>
        </is>
      </c>
      <c r="H293" s="4" t="inlineStr">
        <is>
          <t>2026-09-15</t>
        </is>
      </c>
      <c r="I293" s="4" t="inlineStr">
        <is>
          <t>Citing a Secretary of Education school finance report, it finds that 41 districts with enough local property tax revenue to receive no state aid carried over an average of 48% of revenue, or $10.5 million, and that total school revenue in 2025 was more than $3.2 billion above 2018, with much of the increase placed in carryover funds.</t>
        </is>
      </c>
      <c r="J293" s="4" t="inlineStr">
        <is>
          <t>Free-market analyses column</t>
        </is>
      </c>
      <c r="K293" s="4" t="inlineStr">
        <is>
          <t>https://ocpathink.org/post/independent-journalism/oklahoma-schools-with-sky-high-per-student-funding-are-sitting-on-millions-in-reserves-and-arent-necessarily-producing-the-highest-academic-results</t>
        </is>
      </c>
    </row>
    <row r="294" ht="64" customHeight="1">
      <c r="A294" s="13" t="inlineStr">
        <is>
          <t>Oklahoma</t>
        </is>
      </c>
      <c r="B294" s="4" t="inlineStr">
        <is>
          <t>Analysis</t>
        </is>
      </c>
      <c r="C294" s="4" t="inlineStr">
        <is>
          <t>Legislators &amp; officials</t>
        </is>
      </c>
      <c r="D294" s="4" t="inlineStr">
        <is>
          <t>Oklahoma Senate Republicans</t>
        </is>
      </c>
      <c r="E294" s="4" t="n"/>
      <c r="F294" s="15" t="inlineStr">
        <is>
          <t>Standridge Champions Bills to Lower Property Taxes</t>
        </is>
      </c>
      <c r="G294" s="4" t="inlineStr">
        <is>
          <t>Jan. 27, 2026</t>
        </is>
      </c>
      <c r="H294" s="4" t="inlineStr">
        <is>
          <t>2026-01-27</t>
        </is>
      </c>
      <c r="I294" s="4" t="inlineStr">
        <is>
          <t>Sen. Lisa Standridge, R-Norman, filed SB 2000 to raise the homestead exemption from $1,000 to $5,000 and SB 1993 to let county commissioners lower library millage when a fund is "too rich," and argued the state should control its spending, citing 59% budget growth from 2021 to 2025. Both bills stalled in Senate Revenue and Taxation.</t>
        </is>
      </c>
      <c r="J294" s="4" t="inlineStr">
        <is>
          <t>Free-market analyses column</t>
        </is>
      </c>
      <c r="K294" s="4" t="inlineStr">
        <is>
          <t>https://www.oksenate.gov/press-releases/standridge-champions-bills-lower-property-taxes</t>
        </is>
      </c>
    </row>
    <row r="295" ht="94" customHeight="1">
      <c r="A295" s="13" t="inlineStr">
        <is>
          <t>Oklahoma</t>
        </is>
      </c>
      <c r="B295" s="4" t="inlineStr">
        <is>
          <t>Analysis</t>
        </is>
      </c>
      <c r="C295" s="4" t="inlineStr">
        <is>
          <t>State group</t>
        </is>
      </c>
      <c r="D295" s="4" t="inlineStr">
        <is>
          <t>Oklahoma Council of Public Affairs</t>
        </is>
      </c>
      <c r="E295" s="4" t="inlineStr">
        <is>
          <t>Curtis Shelton</t>
        </is>
      </c>
      <c r="F295" s="15" t="inlineStr">
        <is>
          <t>How Oklahoma can deliver property-tax relief the smart way</t>
        </is>
      </c>
      <c r="G295" s="4" t="inlineStr">
        <is>
          <t>November 11, 2025</t>
        </is>
      </c>
      <c r="H295" s="4" t="inlineStr">
        <is>
          <t>2025-11-11</t>
        </is>
      </c>
      <c r="I295" s="4" t="inlineStr">
        <is>
          <t>It notes constitutional rate caps, the 3% and 5% valuation caps and an average assessment ratio of about 11.7%, and warns that large cuts in local revenue, which funds roughly half of school budgets, would bring calls for state backfill that would jeopardize Oklahoma's income tax cuts and its path to zero income tax. It recommends a Utah-style certified tax rate law that lowers rates automatically to keep revenue from existing property flat, with voter approval to exceed it, and also weighs a larger homestead exemption and a cap below 3%, noting that resets at sale shift the burden to new buyers.</t>
        </is>
      </c>
      <c r="J295" s="4" t="inlineStr">
        <is>
          <t>Free-market analyses column</t>
        </is>
      </c>
      <c r="K295" s="4" t="inlineStr">
        <is>
          <t>https://ocpathink.org/post/analysis/how-oklahoma-can-deliver-property-tax-relief-the-smart-way</t>
        </is>
      </c>
    </row>
    <row r="296" ht="64" customHeight="1">
      <c r="A296" s="13" t="inlineStr">
        <is>
          <t>Oklahoma</t>
        </is>
      </c>
      <c r="B296" s="4" t="inlineStr">
        <is>
          <t>Analysis</t>
        </is>
      </c>
      <c r="C296" s="4" t="inlineStr">
        <is>
          <t>State group</t>
        </is>
      </c>
      <c r="D296" s="4" t="inlineStr">
        <is>
          <t>Oklahoma Council of Public Affairs</t>
        </is>
      </c>
      <c r="E296" s="4" t="inlineStr">
        <is>
          <t>Ray Carter</t>
        </is>
      </c>
      <c r="F296" s="15" t="inlineStr">
        <is>
          <t>Lawmakers differ on reining in inflated tax bills</t>
        </is>
      </c>
      <c r="G296" s="4" t="inlineStr">
        <is>
          <t>June 8, 2022</t>
        </is>
      </c>
      <c r="H296" s="4" t="inlineStr">
        <is>
          <t>2022-06-08</t>
        </is>
      </c>
      <c r="I296" s="4" t="inlineStr">
        <is>
          <t>Reports on legislative efforts to curb county assessors' use of third-party contractors to value business property, which critics say inflated valuations and drove tax protests; a DCP Midstream tax manager testified that 88 of the company's 108 mid-continent district court appeals since 2015, or 81%, were filed in Oklahoma.</t>
        </is>
      </c>
      <c r="J296" s="4" t="inlineStr">
        <is>
          <t>Free-market analyses column</t>
        </is>
      </c>
      <c r="K296" s="4" t="inlineStr">
        <is>
          <t>https://ocpathink.org/post/independent-journalism/lawmakers-differ-on-reining-in-inflated-tax-bills</t>
        </is>
      </c>
    </row>
    <row r="297" ht="30" customHeight="1">
      <c r="A297" s="13" t="inlineStr">
        <is>
          <t>Oklahoma</t>
        </is>
      </c>
      <c r="B297" s="4" t="inlineStr">
        <is>
          <t>Checked: no report since 2021</t>
        </is>
      </c>
      <c r="C297" s="4" t="inlineStr">
        <is>
          <t>State group</t>
        </is>
      </c>
      <c r="D297" s="4" t="inlineStr">
        <is>
          <t>Save Our States</t>
        </is>
      </c>
      <c r="E297" s="4" t="n"/>
      <c r="F297" s="4" t="inlineStr">
        <is>
          <t>(no report found)</t>
        </is>
      </c>
      <c r="G297" s="4" t="n"/>
      <c r="H297" s="4" t="n"/>
      <c r="I297" s="4" t="inlineStr">
        <is>
          <t>Save Our States (State Policy Network associate): no property tax report since 2021 was found.</t>
        </is>
      </c>
      <c r="J297" s="4" t="inlineStr">
        <is>
          <t>Free-market analyses column</t>
        </is>
      </c>
      <c r="K297" s="4" t="n"/>
    </row>
    <row r="298" ht="64" customHeight="1">
      <c r="A298" s="13" t="inlineStr">
        <is>
          <t>Oregon</t>
        </is>
      </c>
      <c r="B298" s="4" t="inlineStr">
        <is>
          <t>Analysis</t>
        </is>
      </c>
      <c r="C298" s="4" t="inlineStr">
        <is>
          <t>State group</t>
        </is>
      </c>
      <c r="D298" s="4" t="inlineStr">
        <is>
          <t>Cascade Policy Institute</t>
        </is>
      </c>
      <c r="E298" s="4" t="inlineStr">
        <is>
          <t>Randal O'Toole</t>
        </is>
      </c>
      <c r="F298" s="15" t="inlineStr">
        <is>
          <t>We Can't Afford Metro's Affordable Housing</t>
        </is>
      </c>
      <c r="G298" s="4" t="inlineStr">
        <is>
          <t>June 24, 2026</t>
        </is>
      </c>
      <c r="H298" s="4" t="inlineStr">
        <is>
          <t>2026-06-24</t>
        </is>
      </c>
      <c r="I298" s="4" t="inlineStr">
        <is>
          <t>Units funded by Metro's housing program cost an average of about $490,000 each, or about $700 per square foot for 700-square-foot units, two to three times the cost of building single-family homes; because the housing bond is repaid from property taxes, it raises ownership costs and makes the rest of the region's housing less affordable.</t>
        </is>
      </c>
      <c r="J298" s="4" t="inlineStr">
        <is>
          <t>Free-market analyses column</t>
        </is>
      </c>
      <c r="K298" s="4" t="inlineStr">
        <is>
          <t>https://cascadepolicy.org/tax-and-budget/we-cant-afford-metros-affordable-housing/</t>
        </is>
      </c>
    </row>
    <row r="299" ht="49" customHeight="1">
      <c r="A299" s="13" t="inlineStr">
        <is>
          <t>Oregon</t>
        </is>
      </c>
      <c r="B299" s="4" t="inlineStr">
        <is>
          <t>Analysis</t>
        </is>
      </c>
      <c r="C299" s="4" t="inlineStr">
        <is>
          <t>State group</t>
        </is>
      </c>
      <c r="D299" s="4" t="inlineStr">
        <is>
          <t>Cascade Policy Institute</t>
        </is>
      </c>
      <c r="E299" s="4" t="inlineStr">
        <is>
          <t>Kathryn Hickok</t>
        </is>
      </c>
      <c r="F299" s="15" t="inlineStr">
        <is>
          <t>HB 2089 Brings Oregon into Compliance with the Supreme Court's Tyler Ruling on Property Rights and Home Equity</t>
        </is>
      </c>
      <c r="G299" s="4" t="inlineStr">
        <is>
          <t>July 9, 2025</t>
        </is>
      </c>
      <c r="H299" s="4" t="inlineStr">
        <is>
          <t>2025-07-09</t>
        </is>
      </c>
      <c r="I299" s="4" t="inlineStr">
        <is>
          <t>Oregon had been one of nine states whose tax foreclosure laws let counties keep the surplus after selling a home for unpaid property taxes; HB 2089, which Cascade worked on with Pacific Legal Foundation, lets counties keep only the back taxes owed and gives the former owner a claim to any surplus.</t>
        </is>
      </c>
      <c r="J299" s="4" t="inlineStr">
        <is>
          <t>Free-market analyses column</t>
        </is>
      </c>
      <c r="K299" s="4" t="inlineStr">
        <is>
          <t>https://cascadepolicy.org/tax-and-budget/hb-2089-brings-oregon-into-compliance-with-the-supreme-courts-tyler-ruling-on-property-rights-and-home-equity/</t>
        </is>
      </c>
    </row>
    <row r="300" ht="49" customHeight="1">
      <c r="A300" s="13" t="inlineStr">
        <is>
          <t>Oregon</t>
        </is>
      </c>
      <c r="B300" s="4" t="inlineStr">
        <is>
          <t>Analysis</t>
        </is>
      </c>
      <c r="C300" s="4" t="inlineStr">
        <is>
          <t>State group</t>
        </is>
      </c>
      <c r="D300" s="4" t="inlineStr">
        <is>
          <t>Cascade Policy Institute</t>
        </is>
      </c>
      <c r="E300" s="4" t="n"/>
      <c r="F300" s="15" t="inlineStr">
        <is>
          <t>Testimony before the Multnomah County Tax Supervising and Conservation Commission regarding the PPS general obligation bond budget</t>
        </is>
      </c>
      <c r="G300" s="4" t="inlineStr">
        <is>
          <t>May 5, 2025</t>
        </is>
      </c>
      <c r="H300" s="4" t="inlineStr">
        <is>
          <t>2025-05-05</t>
        </is>
      </c>
      <c r="I300" s="4" t="inlineStr">
        <is>
          <t>Argues Portland Public Schools gave few spending commitments for its $1.83 billion bond and left debt service out of the Voters' Pamphlet, though district estimates put interest at $800 million to $1.7 billion and total debt service as high as $3.5 billion.</t>
        </is>
      </c>
      <c r="J300" s="4" t="inlineStr">
        <is>
          <t>Free-market analyses column</t>
        </is>
      </c>
      <c r="K300" s="4" t="inlineStr">
        <is>
          <t>https://cascadepolicy.org/tax-and-budget/testimony-before-the-multnomah-county-tax-supervising-and-conservation-commission-regarding-the-pps-general-obligation-bond-budget/</t>
        </is>
      </c>
    </row>
    <row r="301" ht="64" customHeight="1">
      <c r="A301" s="13" t="inlineStr">
        <is>
          <t>Oregon</t>
        </is>
      </c>
      <c r="B301" s="4" t="inlineStr">
        <is>
          <t>Analysis</t>
        </is>
      </c>
      <c r="C301" s="4" t="inlineStr">
        <is>
          <t>State group</t>
        </is>
      </c>
      <c r="D301" s="4" t="inlineStr">
        <is>
          <t>Taxpayers Association of Oregon</t>
        </is>
      </c>
      <c r="E301" s="4" t="inlineStr">
        <is>
          <t>Jason Williams</t>
        </is>
      </c>
      <c r="F301" s="15" t="inlineStr">
        <is>
          <t>No on SB 712</t>
        </is>
      </c>
      <c r="G301" s="4" t="inlineStr">
        <is>
          <t>March 26, 2025</t>
        </is>
      </c>
      <c r="H301" s="4" t="inlineStr">
        <is>
          <t>2025-03-26</t>
        </is>
      </c>
      <c r="I301" s="4" t="inlineStr">
        <is>
          <t>Testimony against SB 712, which would make a 3% yearly increase in each property's maximum assessed value automatic; it says local governments "raised a billion in new property taxes last year" and that hundreds of millions of property tax dollars go to urban renewal projects that mostly benefit private businesses.</t>
        </is>
      </c>
      <c r="J301" s="4" t="inlineStr">
        <is>
          <t>Free-market analyses column</t>
        </is>
      </c>
      <c r="K301" s="4" t="inlineStr">
        <is>
          <t>https://apps.oregonlegislature.gov/liz/2025R1/Downloads/PublicTestimonyDocument/169367</t>
        </is>
      </c>
    </row>
    <row r="302" ht="64" customHeight="1">
      <c r="A302" s="13" t="inlineStr">
        <is>
          <t>Oregon</t>
        </is>
      </c>
      <c r="B302" s="4" t="inlineStr">
        <is>
          <t>Analysis</t>
        </is>
      </c>
      <c r="C302" s="4" t="inlineStr">
        <is>
          <t>State group</t>
        </is>
      </c>
      <c r="D302" s="4" t="inlineStr">
        <is>
          <t>Cascade Policy Institute</t>
        </is>
      </c>
      <c r="E302" s="4" t="n"/>
      <c r="F302" s="15" t="inlineStr">
        <is>
          <t>PPS Bond Request Is Too Big and Too Vague</t>
        </is>
      </c>
      <c r="G302" s="4" t="inlineStr">
        <is>
          <t>January 7, 2025</t>
        </is>
      </c>
      <c r="H302" s="4" t="inlineStr">
        <is>
          <t>2025-01-07</t>
        </is>
      </c>
      <c r="I302" s="4" t="inlineStr">
        <is>
          <t>Urged the Portland Public Schools board to send back a bond of up to $1.8 billion, the largest in state history, which would put tax liabilities on district taxpayers for 25 to 30 years; it says the district mismanaged its $1.2 billion 2020 bond, where the Jefferson High School rebuild is $125 million over budget at $491 million with nothing built.</t>
        </is>
      </c>
      <c r="J302" s="4" t="inlineStr">
        <is>
          <t>Free-market analyses column</t>
        </is>
      </c>
      <c r="K302" s="4" t="inlineStr">
        <is>
          <t>https://cascadepolicy.org/tax-and-budget/pps-bond-request-is-too-big-and-too-vague/</t>
        </is>
      </c>
    </row>
    <row r="303" ht="49" customHeight="1">
      <c r="A303" s="13" t="inlineStr">
        <is>
          <t>Oregon</t>
        </is>
      </c>
      <c r="B303" s="4" t="inlineStr">
        <is>
          <t>Analysis</t>
        </is>
      </c>
      <c r="C303" s="4" t="inlineStr">
        <is>
          <t>State group</t>
        </is>
      </c>
      <c r="D303" s="4" t="inlineStr">
        <is>
          <t>Cascade Policy Institute</t>
        </is>
      </c>
      <c r="E303" s="4" t="inlineStr">
        <is>
          <t>John A. Charles, Jr.</t>
        </is>
      </c>
      <c r="F303" s="15" t="inlineStr">
        <is>
          <t>Taxpayers Have Been Generous to Portland Schools</t>
        </is>
      </c>
      <c r="G303" s="4" t="inlineStr">
        <is>
          <t>November 16, 2023</t>
        </is>
      </c>
      <c r="H303" s="4" t="inlineStr">
        <is>
          <t>2023-11-16</t>
        </is>
      </c>
      <c r="I303" s="4" t="inlineStr">
        <is>
          <t>From 2013 to 2022 Portland Public Schools' total spending rose 73% to $932.4 million while enrollment fell 4.3%; voters approved three bonds totaling $2.48 billion since 2012, and the district's total direct property tax rate rose from 7.2681 to 9.6016 over the decade.</t>
        </is>
      </c>
      <c r="J303" s="4" t="inlineStr">
        <is>
          <t>Free-market analyses column</t>
        </is>
      </c>
      <c r="K303" s="4" t="inlineStr">
        <is>
          <t>https://cascadepolicy.org/tax-and-budget/taxpayers-have-been-generous-to-portland-schools/</t>
        </is>
      </c>
    </row>
    <row r="304" ht="64" customHeight="1">
      <c r="A304" s="13" t="inlineStr">
        <is>
          <t>Oregon</t>
        </is>
      </c>
      <c r="B304" s="4" t="inlineStr">
        <is>
          <t>Analysis</t>
        </is>
      </c>
      <c r="C304" s="4" t="inlineStr">
        <is>
          <t>State group</t>
        </is>
      </c>
      <c r="D304" s="4" t="inlineStr">
        <is>
          <t>Cascade Policy Institute</t>
        </is>
      </c>
      <c r="E304" s="4" t="inlineStr">
        <is>
          <t>Eric Fruits</t>
        </is>
      </c>
      <c r="F304" s="15" t="inlineStr">
        <is>
          <t>No on Measure 26-225: Metro's Parks and Nature Program Needs a Reset</t>
        </is>
      </c>
      <c r="G304" s="4" t="inlineStr">
        <is>
          <t>October 25, 2022</t>
        </is>
      </c>
      <c r="H304" s="4" t="inlineStr">
        <is>
          <t>2022-10-25</t>
        </is>
      </c>
      <c r="I304" s="4" t="inlineStr">
        <is>
          <t>Urged a no vote on Metro's request for another $98 million for parks three years after voters approved $475 million in property taxes for parks and nature; it says the program has received close to $1 billion in property taxes since the mid-1990s and more than 80% of the 18,000 acres it bought are closed to the public.</t>
        </is>
      </c>
      <c r="J304" s="4" t="inlineStr">
        <is>
          <t>Free-market analyses column</t>
        </is>
      </c>
      <c r="K304" s="4" t="inlineStr">
        <is>
          <t>https://cascadepolicy.org/tax-and-budget/no-on-measure-26-225-metros-parks-and-nature-program-needs-a-reset/</t>
        </is>
      </c>
    </row>
    <row r="305" ht="49" customHeight="1">
      <c r="A305" s="13" t="inlineStr">
        <is>
          <t>Oregon</t>
        </is>
      </c>
      <c r="B305" s="4" t="inlineStr">
        <is>
          <t>Checked: no report since 2021</t>
        </is>
      </c>
      <c r="C305" s="4" t="inlineStr">
        <is>
          <t>State group</t>
        </is>
      </c>
      <c r="D305" s="4" t="inlineStr">
        <is>
          <t>Common Sense Institute Oregon</t>
        </is>
      </c>
      <c r="E305" s="4" t="n"/>
      <c r="F305" s="4" t="inlineStr">
        <is>
          <t>(no report found)</t>
        </is>
      </c>
      <c r="G305" s="4" t="n"/>
      <c r="H305" s="4" t="n"/>
      <c r="I305" s="4" t="inlineStr">
        <is>
          <t>Common Sense Institute Oregon (State Policy Network associate): no property tax report since 2021 was found (its Oregon taxes and fees research covers the estate tax, a tire tax and the 2025 transportation packages).</t>
        </is>
      </c>
      <c r="J305" s="4" t="inlineStr">
        <is>
          <t>Free-market analyses column</t>
        </is>
      </c>
      <c r="K305" s="4" t="n"/>
    </row>
    <row r="306" ht="79" customHeight="1">
      <c r="A306" s="13" t="inlineStr">
        <is>
          <t>Pennsylvania</t>
        </is>
      </c>
      <c r="B306" s="4" t="inlineStr">
        <is>
          <t>Analysis</t>
        </is>
      </c>
      <c r="C306" s="4" t="inlineStr">
        <is>
          <t>Legislators &amp; officials</t>
        </is>
      </c>
      <c r="D306" s="4" t="inlineStr">
        <is>
          <t>Pennsylvania House Republicans</t>
        </is>
      </c>
      <c r="E306" s="4" t="inlineStr">
        <is>
          <t>Rep. Wendy Fink</t>
        </is>
      </c>
      <c r="F306" s="15" t="inlineStr">
        <is>
          <t>Independent Fiscal Office Report Confirms Keefer's Senate Bill 962 &amp; Fink's House Bill 1649 Boost Business Investment and Deliver Immediate Relief to Families</t>
        </is>
      </c>
      <c r="G306" s="4" t="inlineStr">
        <is>
          <t>March 11, 2026</t>
        </is>
      </c>
      <c r="H306" s="4" t="inlineStr">
        <is>
          <t>2026-03-11</t>
        </is>
      </c>
      <c r="I306" s="4" t="inlineStr">
        <is>
          <t>Says the Independent Fiscal Office's dynamic analysis finds the School Property Tax Elimination Act revenue neutral in its first year, with growing surplus revenue for schools over ten years, against a school property tax that is "capped by the Act 1 index and rises every year." The bills would replace school property taxes with a sales tax increase from 6% to 8% (plus a 2% tax on clothing, candy and gum), a personal income tax increase from 3.07% to 4.95% and tax on certain retirement income.</t>
        </is>
      </c>
      <c r="J306" s="4" t="inlineStr">
        <is>
          <t>Free-market analyses column</t>
        </is>
      </c>
      <c r="K306" s="4" t="inlineStr">
        <is>
          <t>https://repwendyfink.com/News/37669/Latest-News/Independent-Fiscal-Office-Report-Confirms-Keefer-s-Senate-Bill-962---Fink-s-House-Bill-1649-Boost-Business-Investment-and-Deliver-Immediate-Relief-to-Families</t>
        </is>
      </c>
    </row>
    <row r="307" ht="49" customHeight="1">
      <c r="A307" s="13" t="inlineStr">
        <is>
          <t>Pennsylvania</t>
        </is>
      </c>
      <c r="B307" s="4" t="inlineStr">
        <is>
          <t>Analysis</t>
        </is>
      </c>
      <c r="C307" s="4" t="inlineStr">
        <is>
          <t>Legislators &amp; officials</t>
        </is>
      </c>
      <c r="D307" s="4" t="inlineStr">
        <is>
          <t>Pennsylvania House Republicans</t>
        </is>
      </c>
      <c r="E307" s="4" t="inlineStr">
        <is>
          <t>Rep. Wendy Fink</t>
        </is>
      </c>
      <c r="F307" s="15" t="inlineStr">
        <is>
          <t>Turning the key to property tax elimination</t>
        </is>
      </c>
      <c r="G307" s="4" t="inlineStr">
        <is>
          <t>Broad + Liberty op-ed, Sept. 15, 2025</t>
        </is>
      </c>
      <c r="H307" s="4" t="inlineStr">
        <is>
          <t>2025-09-15</t>
        </is>
      </c>
      <c r="I307" s="4" t="inlineStr">
        <is>
          <t>Fink writes that she paid almost $3,800 in school property tax, about the state average, and that more than 5,000 Pennsylvanians lose their homes each year because they cannot pay the school property tax bill; she argues most residents would save under HB 1649 and SB 962.</t>
        </is>
      </c>
      <c r="J307" s="4" t="inlineStr">
        <is>
          <t>Free-market analyses column</t>
        </is>
      </c>
      <c r="K307" s="4" t="inlineStr">
        <is>
          <t>https://broadandliberty.com/2025/09/15/turning-the-key-to-property-tax-elimination/</t>
        </is>
      </c>
    </row>
    <row r="308" ht="79" customHeight="1">
      <c r="A308" s="13" t="inlineStr">
        <is>
          <t>Pennsylvania</t>
        </is>
      </c>
      <c r="B308" s="4" t="inlineStr">
        <is>
          <t>Analysis</t>
        </is>
      </c>
      <c r="C308" s="4" t="inlineStr">
        <is>
          <t>Legislators &amp; officials</t>
        </is>
      </c>
      <c r="D308" s="4" t="inlineStr">
        <is>
          <t>Pennsylvania House Republicans</t>
        </is>
      </c>
      <c r="E308" s="4" t="inlineStr">
        <is>
          <t>Rep. Frank Ryan</t>
        </is>
      </c>
      <c r="F308" s="15" t="inlineStr">
        <is>
          <t>Property Taxes – time to eliminate</t>
        </is>
      </c>
      <c r="G308" s="4" t="inlineStr">
        <is>
          <t>August 30, 2021</t>
        </is>
      </c>
      <c r="H308" s="4" t="inlineStr">
        <is>
          <t>2021-08-30</t>
        </is>
      </c>
      <c r="I308" s="4" t="inlineStr">
        <is>
          <t>Written testimony for a House Majority Policy Committee hearing in Lebanon: Ryan, a CPA, calls for ending school property taxes for all properties, which he says the 2017 constitutional amendment opened the way to, and argues the school funding formula's "hold harmless" provision is the main obstacle; his HB 13 would have saved seniors over $2 billion, but its proposed tax on retirement income proved too hard to explain.</t>
        </is>
      </c>
      <c r="J308" s="4" t="inlineStr">
        <is>
          <t>Free-market analyses column</t>
        </is>
      </c>
      <c r="K308" s="4" t="inlineStr">
        <is>
          <t>https://www.pagoppolicy.com/Display/SiteFiles/428/Documents/2021/PropertyTaxReform083021/RepRyan.pdf</t>
        </is>
      </c>
    </row>
    <row r="309" ht="34" customHeight="1">
      <c r="A309" s="13" t="inlineStr">
        <is>
          <t>Pennsylvania</t>
        </is>
      </c>
      <c r="B309" s="4" t="inlineStr">
        <is>
          <t>Checked: no report since 2021</t>
        </is>
      </c>
      <c r="C309" s="4" t="inlineStr">
        <is>
          <t>State group</t>
        </is>
      </c>
      <c r="D309" s="4" t="inlineStr">
        <is>
          <t>Center for Independent Thought</t>
        </is>
      </c>
      <c r="E309" s="4" t="n"/>
      <c r="F309" s="4" t="inlineStr">
        <is>
          <t>(no report found)</t>
        </is>
      </c>
      <c r="G309" s="4" t="n"/>
      <c r="H309" s="4" t="n"/>
      <c r="I309" s="4" t="inlineStr">
        <is>
          <t>Center for Independent Thought (State Policy Network member): no property tax report since 2021 was found.</t>
        </is>
      </c>
      <c r="J309" s="4" t="inlineStr">
        <is>
          <t>Free-market analyses column</t>
        </is>
      </c>
      <c r="K309" s="4" t="n"/>
    </row>
    <row r="310" ht="34" customHeight="1">
      <c r="A310" s="13" t="inlineStr">
        <is>
          <t>Pennsylvania</t>
        </is>
      </c>
      <c r="B310" s="4" t="inlineStr">
        <is>
          <t>Checked: no report since 2021</t>
        </is>
      </c>
      <c r="C310" s="4" t="inlineStr">
        <is>
          <t>State group</t>
        </is>
      </c>
      <c r="D310" s="4" t="inlineStr">
        <is>
          <t>Commonwealth Partners Chamber of Entrepreneurs</t>
        </is>
      </c>
      <c r="E310" s="4" t="n"/>
      <c r="F310" s="4" t="inlineStr">
        <is>
          <t>(no report found)</t>
        </is>
      </c>
      <c r="G310" s="4" t="n"/>
      <c r="H310" s="4" t="n"/>
      <c r="I310" s="4" t="inlineStr">
        <is>
          <t>Commonwealth Partners Chamber of Entrepreneurs (State Policy Network member): no property tax report since 2021 was found.</t>
        </is>
      </c>
      <c r="J310" s="4" t="inlineStr">
        <is>
          <t>Free-market analyses column</t>
        </is>
      </c>
      <c r="K310" s="4" t="n"/>
    </row>
    <row r="311" ht="49" customHeight="1">
      <c r="A311" s="13" t="inlineStr">
        <is>
          <t>Rhode Island</t>
        </is>
      </c>
      <c r="B311" s="4" t="inlineStr">
        <is>
          <t>Analysis</t>
        </is>
      </c>
      <c r="C311" s="4" t="inlineStr">
        <is>
          <t>State group</t>
        </is>
      </c>
      <c r="D311" s="4" t="inlineStr">
        <is>
          <t>Rhode Island Center for Freedom and Prosperity (State Policy Network affiliate)</t>
        </is>
      </c>
      <c r="E311" s="4" t="n"/>
      <c r="F311" s="15" t="inlineStr">
        <is>
          <t>New Report Shows RI's Big Government Gamble has Failed Residents</t>
        </is>
      </c>
      <c r="G311" s="4" t="inlineStr">
        <is>
          <t>July 22, 2026</t>
        </is>
      </c>
      <c r="H311" s="4" t="inlineStr">
        <is>
          <t>2026-07-22</t>
        </is>
      </c>
      <c r="I311" s="4" t="inlineStr">
        <is>
          <t>Summarizes a study finding that solidly Republican states had "roughly 26–37% higher personal income growth" than solidly Democratic states over 2000-2025, and says high taxes in Rhode Island, "including among the nation's highest property taxes," have contributed to slow job creation and out-migration.</t>
        </is>
      </c>
      <c r="J311" s="4" t="inlineStr">
        <is>
          <t>Free-market analyses column</t>
        </is>
      </c>
      <c r="K311" s="4" t="inlineStr">
        <is>
          <t>https://rifreedom.org/2026/07/big-government-report/</t>
        </is>
      </c>
    </row>
    <row r="312" ht="79" customHeight="1">
      <c r="A312" s="13" t="inlineStr">
        <is>
          <t>Rhode Island</t>
        </is>
      </c>
      <c r="B312" s="4" t="inlineStr">
        <is>
          <t>Analysis</t>
        </is>
      </c>
      <c r="C312" s="4" t="inlineStr">
        <is>
          <t>State group</t>
        </is>
      </c>
      <c r="D312" s="4" t="inlineStr">
        <is>
          <t>Rhode Island Public Expenditure Council (RIPEC)</t>
        </is>
      </c>
      <c r="E312" s="4" t="n"/>
      <c r="F312" s="15" t="inlineStr">
        <is>
          <t>Rhode Island Property Taxes in FY 2026: Higher Increases and Growing Tax Shifts</t>
        </is>
      </c>
      <c r="G312" s="4" t="inlineStr">
        <is>
          <t>June 15, 2026</t>
        </is>
      </c>
      <c r="H312" s="4" t="inlineStr">
        <is>
          <t>2026-06-15</t>
        </is>
      </c>
      <c r="I312" s="4" t="inlineStr">
        <is>
          <t>Finds the statewide levy grew $98.3 million (3.7%) in FY 2026, the largest increase of the past decade, and that seven municipalities exceeded the 4.0% levy cap against a prior nine-year average of 2.2; in Providence, commercial property was taxed at 3.5 times the single-unit owner-occupied rate. It says the state should "maintain the 4.0 percent levy cap" and adopt a constitutional amendment limiting tax rate differentials across property classes, since state statutes have proven ineffective at reducing them.</t>
        </is>
      </c>
      <c r="J312" s="4" t="inlineStr">
        <is>
          <t>Free-market analyses column</t>
        </is>
      </c>
      <c r="K312" s="4" t="inlineStr">
        <is>
          <t>https://ripec.org/property-taxes-2026/</t>
        </is>
      </c>
    </row>
    <row r="313" ht="49" customHeight="1">
      <c r="A313" s="13" t="inlineStr">
        <is>
          <t>Rhode Island</t>
        </is>
      </c>
      <c r="B313" s="4" t="inlineStr">
        <is>
          <t>Analysis</t>
        </is>
      </c>
      <c r="C313" s="4" t="inlineStr">
        <is>
          <t>State group</t>
        </is>
      </c>
      <c r="D313" s="4" t="inlineStr">
        <is>
          <t>The Ocean State Current (news bureau of the Rhode Island Center for Freedom and Prosperity)</t>
        </is>
      </c>
      <c r="E313" s="4" t="inlineStr">
        <is>
          <t>Larry Gillheeney</t>
        </is>
      </c>
      <c r="F313" s="15" t="inlineStr">
        <is>
          <t>Rhode Island's Property Tax Bite: Painful, But Not the Region's Worst</t>
        </is>
      </c>
      <c r="G313" s="4" t="inlineStr">
        <is>
          <t>March 23, 2026</t>
        </is>
      </c>
      <c r="H313" s="4" t="inlineStr">
        <is>
          <t>2026-03-23</t>
        </is>
      </c>
      <c r="I313" s="4" t="inlineStr">
        <is>
          <t>Citing the Tax Foundation's 2026 county report, it says Rhode Island's effective property tax rate on owner-occupied housing was 1.12% in 2024, down from 1.19% in 2023 and 15th highest in the nation. That puts the state fourth among the six New England states, with Connecticut highest at 1.54%.</t>
        </is>
      </c>
      <c r="J313" s="4" t="inlineStr">
        <is>
          <t>Free-market analyses column</t>
        </is>
      </c>
      <c r="K313" s="4" t="inlineStr">
        <is>
          <t>https://oceanstatecurrent.com/rhode-islands-property-tax-bite-painful-but-not-the-regions-worst/</t>
        </is>
      </c>
    </row>
    <row r="314" ht="64" customHeight="1">
      <c r="A314" s="13" t="inlineStr">
        <is>
          <t>Rhode Island</t>
        </is>
      </c>
      <c r="B314" s="4" t="inlineStr">
        <is>
          <t>Analysis</t>
        </is>
      </c>
      <c r="C314" s="4" t="inlineStr">
        <is>
          <t>Legislators &amp; officials</t>
        </is>
      </c>
      <c r="D314" s="4" t="inlineStr">
        <is>
          <t>Rhode Island House Republicans</t>
        </is>
      </c>
      <c r="E314" s="4" t="n"/>
      <c r="F314" s="15" t="inlineStr">
        <is>
          <t>2026 Rhode Island Republican State of the State Rebuttal</t>
        </is>
      </c>
      <c r="G314" s="4" t="inlineStr">
        <is>
          <t>January 13, 2026</t>
        </is>
      </c>
      <c r="H314" s="4" t="inlineStr">
        <is>
          <t>2026-01-13</t>
        </is>
      </c>
      <c r="I314" s="4" t="inlineStr">
        <is>
          <t>Minority Leader Michael Chippendale says the state budget grew from about $4.5 billion in 2000 to over $14 billion, seven times faster than household income, and that cities and towns must "pass that cost down to homeowners and renters in the form of increased property taxes and fees" when the state imposes unfunded mandates.</t>
        </is>
      </c>
      <c r="J314" s="4" t="inlineStr">
        <is>
          <t>Free-market analyses column</t>
        </is>
      </c>
      <c r="K314" s="4" t="inlineStr">
        <is>
          <t>https://www.rihousegop.org/news-media/2026-rhode-island-republican-state-of-the-state-rebuttal</t>
        </is>
      </c>
    </row>
    <row r="315" ht="49" customHeight="1">
      <c r="A315" s="13" t="inlineStr">
        <is>
          <t>Rhode Island</t>
        </is>
      </c>
      <c r="B315" s="4" t="inlineStr">
        <is>
          <t>Analysis</t>
        </is>
      </c>
      <c r="C315" s="4" t="inlineStr">
        <is>
          <t>National group</t>
        </is>
      </c>
      <c r="D315" s="4" t="inlineStr">
        <is>
          <t>Tax Foundation</t>
        </is>
      </c>
      <c r="E315" s="4" t="n"/>
      <c r="F315" s="15" t="inlineStr">
        <is>
          <t>2026 Rhode Island Tax Rates &amp; Rankings</t>
        </is>
      </c>
      <c r="G315" s="4" t="inlineStr">
        <is>
          <t>2026</t>
        </is>
      </c>
      <c r="H315" s="4" t="inlineStr">
        <is>
          <t>2026-00-00</t>
        </is>
      </c>
      <c r="I315" s="4" t="inlineStr">
        <is>
          <t>Ranks Rhode Island's tax system 40th overall on the 2026 State Tax Competitiveness Index and reports that property taxes are 36.4% of state and local tax revenue, with a 1.19% effective rate on owner-occupied housing.</t>
        </is>
      </c>
      <c r="J315" s="4" t="inlineStr">
        <is>
          <t>Free-market analyses column</t>
        </is>
      </c>
      <c r="K315" s="4" t="inlineStr">
        <is>
          <t>https://taxfoundation.org/location/rhode-island/</t>
        </is>
      </c>
    </row>
    <row r="316" ht="64" customHeight="1">
      <c r="A316" s="13" t="inlineStr">
        <is>
          <t>Rhode Island</t>
        </is>
      </c>
      <c r="B316" s="4" t="inlineStr">
        <is>
          <t>Analysis</t>
        </is>
      </c>
      <c r="C316" s="4" t="inlineStr">
        <is>
          <t>State group</t>
        </is>
      </c>
      <c r="D316" s="4" t="inlineStr">
        <is>
          <t>The Ocean State Current</t>
        </is>
      </c>
      <c r="E316" s="4" t="n"/>
      <c r="F316" s="15" t="inlineStr">
        <is>
          <t>Dave Talan &amp; Angel Connell: No To Providence's Big Tax Hike</t>
        </is>
      </c>
      <c r="G316" s="4" t="inlineStr">
        <is>
          <t>April 18, 2025</t>
        </is>
      </c>
      <c r="H316" s="4" t="inlineStr">
        <is>
          <t>2025-04-18</t>
        </is>
      </c>
      <c r="I316" s="4" t="inlineStr">
        <is>
          <t>Publishes the Providence Republican City Committee's statement opposing Mayor Brett Smiley's push for state permission to raise the city levy up to 8%, above the 4% cap, after a $15 million school funding settlement. The co-chairs say the mayor should look to the School Department, which they put at 55% of the city budget, starting with a $10 million cut to $22 million in busing costs.</t>
        </is>
      </c>
      <c r="J316" s="4" t="inlineStr">
        <is>
          <t>Free-market analyses column</t>
        </is>
      </c>
      <c r="K316" s="4" t="inlineStr">
        <is>
          <t>https://oceanstatecurrent.com/dave-talan-angel-connell-no-to-providences-big-tax-hike/</t>
        </is>
      </c>
    </row>
    <row r="317" ht="49" customHeight="1">
      <c r="A317" s="13" t="inlineStr">
        <is>
          <t>Rhode Island</t>
        </is>
      </c>
      <c r="B317" s="4" t="inlineStr">
        <is>
          <t>Analysis</t>
        </is>
      </c>
      <c r="C317" s="4" t="inlineStr">
        <is>
          <t>State group</t>
        </is>
      </c>
      <c r="D317" s="4" t="inlineStr">
        <is>
          <t>Rhode Island Center for Freedom and Prosperity</t>
        </is>
      </c>
      <c r="E317" s="4" t="n"/>
      <c r="F317" s="15" t="inlineStr">
        <is>
          <t>The Left's Assault on RI Families</t>
        </is>
      </c>
      <c r="G317" s="4" t="inlineStr">
        <is>
          <t>March 6, 2024</t>
        </is>
      </c>
      <c r="H317" s="4" t="inlineStr">
        <is>
          <t>2024-03-06</t>
        </is>
      </c>
      <c r="I317" s="4" t="inlineStr">
        <is>
          <t>Argues that state policies raise the cost of living and that "Property Taxes are among the highest in America, largely due to overly-generous collective bargaining agreements with unionized public employees."</t>
        </is>
      </c>
      <c r="J317" s="4" t="inlineStr">
        <is>
          <t>Free-market analyses column</t>
        </is>
      </c>
      <c r="K317" s="4" t="inlineStr">
        <is>
          <t>https://rifreedom.org/2024/03/the-lefts-assault-on-ri-families/</t>
        </is>
      </c>
    </row>
    <row r="318" ht="64" customHeight="1">
      <c r="A318" s="13" t="inlineStr">
        <is>
          <t>South Carolina</t>
        </is>
      </c>
      <c r="B318" s="4" t="inlineStr">
        <is>
          <t>Analysis</t>
        </is>
      </c>
      <c r="C318" s="4" t="inlineStr">
        <is>
          <t>State group</t>
        </is>
      </c>
      <c r="D318" s="4" t="inlineStr">
        <is>
          <t>South Carolina Policy Council (State Policy Network affiliate)</t>
        </is>
      </c>
      <c r="E318" s="4" t="inlineStr">
        <is>
          <t>Neil Wolin</t>
        </is>
      </c>
      <c r="F318" s="15" t="inlineStr">
        <is>
          <t>S.C. Senate moves to expand property tax homestead exemption</t>
        </is>
      </c>
      <c r="G318" s="4" t="inlineStr">
        <is>
          <t>Feb. 19, 2026</t>
        </is>
      </c>
      <c r="H318" s="4" t="inlineStr">
        <is>
          <t>2026-02-19</t>
        </is>
      </c>
      <c r="I318" s="4" t="inlineStr">
        <is>
          <t>Explains that S.768 would triple the $50,000 exemption for owners 65 and older to $150,000 for those who qualified in tax year 2025, while new applicants would need 10 years of residency for $150,000 or five years for $75,000. The council "welcomes the changes made in this bill" and urges lawmakers to pair it with income tax reform for other age groups.</t>
        </is>
      </c>
      <c r="J318" s="4" t="inlineStr">
        <is>
          <t>Free-market analyses column</t>
        </is>
      </c>
      <c r="K318" s="4" t="inlineStr">
        <is>
          <t>https://www.scpolicycouncil.org/s_c_senate_moves_to_expand_property_tax_homestead_exemption</t>
        </is>
      </c>
    </row>
    <row r="319" ht="49" customHeight="1">
      <c r="A319" s="13" t="inlineStr">
        <is>
          <t>South Carolina</t>
        </is>
      </c>
      <c r="B319" s="4" t="inlineStr">
        <is>
          <t>Analysis</t>
        </is>
      </c>
      <c r="C319" s="4" t="inlineStr">
        <is>
          <t>National group</t>
        </is>
      </c>
      <c r="D319" s="4" t="inlineStr">
        <is>
          <t>Tax Foundation</t>
        </is>
      </c>
      <c r="E319" s="4" t="n"/>
      <c r="F319" s="15" t="inlineStr">
        <is>
          <t>2026 South Carolina Tax Rates &amp; Rankings</t>
        </is>
      </c>
      <c r="G319" s="4" t="inlineStr">
        <is>
          <t>2026</t>
        </is>
      </c>
      <c r="H319" s="4" t="inlineStr">
        <is>
          <t>2026-00-00</t>
        </is>
      </c>
      <c r="I319" s="4" t="inlineStr">
        <is>
          <t>Ranks South Carolina's tax system 29th overall on the 2026 State Tax Competitiveness Index and reports that property taxes are 29.9% of state and local tax revenue, with a 0.49% effective rate on owner-occupied housing.</t>
        </is>
      </c>
      <c r="J319" s="4" t="inlineStr">
        <is>
          <t>Free-market analyses column</t>
        </is>
      </c>
      <c r="K319" s="4" t="inlineStr">
        <is>
          <t>https://taxfoundation.org/location/south-carolina/</t>
        </is>
      </c>
    </row>
    <row r="320" ht="64" customHeight="1">
      <c r="A320" s="13" t="inlineStr">
        <is>
          <t>South Carolina</t>
        </is>
      </c>
      <c r="B320" s="4" t="inlineStr">
        <is>
          <t>Analysis</t>
        </is>
      </c>
      <c r="C320" s="4" t="inlineStr">
        <is>
          <t>State group</t>
        </is>
      </c>
      <c r="D320" s="4" t="inlineStr">
        <is>
          <t>Palmetto Promise Institute (State Policy Network affiliate)</t>
        </is>
      </c>
      <c r="E320" s="4" t="n"/>
      <c r="F320" s="15" t="inlineStr">
        <is>
          <t>Taxing Times for South Carolina Renters, Investors, Vacationers</t>
        </is>
      </c>
      <c r="G320" s="4" t="inlineStr">
        <is>
          <t>Dec. 4, 2025</t>
        </is>
      </c>
      <c r="H320" s="4" t="inlineStr">
        <is>
          <t>2025-12-04</t>
        </is>
      </c>
      <c r="I320" s="4" t="inlineStr">
        <is>
          <t>Isabella Cifaldi notes an owner-occupied effective rate of 0.47% (Tax Foundation), then argues that Act 388's swap of a one-cent sales tax for homeowners' school operating taxes shifted taxes onto renters and businesses, so "a residential renter or small business owner can pay up to 3 times more property tax than a homeowner." It calls for broad-based property tax reform that includes renters.</t>
        </is>
      </c>
      <c r="J320" s="4" t="inlineStr">
        <is>
          <t>Free-market analyses column</t>
        </is>
      </c>
      <c r="K320" s="4" t="inlineStr">
        <is>
          <t>https://palmettopromise.org/taxing-times-for-south-carolina-renters-investors-vacationers/</t>
        </is>
      </c>
    </row>
    <row r="321" ht="109" customHeight="1">
      <c r="A321" s="13" t="inlineStr">
        <is>
          <t>South Carolina</t>
        </is>
      </c>
      <c r="B321" s="4" t="inlineStr">
        <is>
          <t>Analysis</t>
        </is>
      </c>
      <c r="C321" s="4" t="inlineStr">
        <is>
          <t>State group</t>
        </is>
      </c>
      <c r="D321" s="4" t="inlineStr">
        <is>
          <t>Palmetto Promise Institute</t>
        </is>
      </c>
      <c r="E321" s="4" t="n"/>
      <c r="F321" s="15" t="inlineStr">
        <is>
          <t>South Carolina's Hidden Tax: How Manufacturing Property Taxes Could Threaten Our State's Growth</t>
        </is>
      </c>
      <c r="G321" s="4" t="inlineStr">
        <is>
          <t>Oct. 22, 2025</t>
        </is>
      </c>
      <c r="H321" s="4" t="inlineStr">
        <is>
          <t>2025-10-22</t>
        </is>
      </c>
      <c r="I321" s="4" t="inlineStr">
        <is>
          <t>Says South Carolina has the 6th highest manufacturing property tax rate and explains the 2022 partial value exemption, under which manufacturers pay 42.857% of their calculated tax and the state reimburses local governments up to $170 million a year from other taxes. It backs S.439, which as passed by the Senate kept that share and raised the reimbursement fund to $370 million a year, since RFA projected reimbursements would pass $170 million by FY 2025-26. S.439 became Act No. 122 of 2026 with a $300 million annual cap, and the institute's May 21, 2026 session review says industrial taxpayers "saw a property tax cut that will be a boon to jobs and economic development."</t>
        </is>
      </c>
      <c r="J321" s="4" t="inlineStr">
        <is>
          <t>Free-market analyses column</t>
        </is>
      </c>
      <c r="K321" s="4" t="inlineStr">
        <is>
          <t>https://palmettopromise.org/south-carolinas-hidden-tax-how-manufacturing-property-taxes-could-threaten-our-states-growth/</t>
        </is>
      </c>
    </row>
    <row r="322" ht="79" customHeight="1">
      <c r="A322" s="13" t="inlineStr">
        <is>
          <t>South Carolina</t>
        </is>
      </c>
      <c r="B322" s="4" t="inlineStr">
        <is>
          <t>Analysis</t>
        </is>
      </c>
      <c r="C322" s="4" t="inlineStr">
        <is>
          <t>State group</t>
        </is>
      </c>
      <c r="D322" s="4" t="inlineStr">
        <is>
          <t>Palmetto Promise Institute</t>
        </is>
      </c>
      <c r="E322" s="4" t="inlineStr">
        <is>
          <t>Oran P. Smith</t>
        </is>
      </c>
      <c r="F322" s="15" t="inlineStr">
        <is>
          <t>Achieving Prosperity, Stability, &amp; Fairness – Essential South Carolina Tax Reforms</t>
        </is>
      </c>
      <c r="G322" s="4" t="inlineStr">
        <is>
          <t>Jan. 6, 2025</t>
        </is>
      </c>
      <c r="H322" s="4" t="inlineStr">
        <is>
          <t>2025-01-06</t>
        </is>
      </c>
      <c r="I322" s="4" t="inlineStr">
        <is>
          <t>The full report traces homeowner relief from 1995 to Act 388 (2006), which removed school operating taxes from owner-occupied homes and paired a 15% cap on assessment increases over five years with a millage cap tied to population growth plus inflation. It argues the shift leaves rental property bills up to quadruple a primary homeowner's and has raised industrial effective rates from 3.5 to seven times residential, and it calls for a permanent manufacturing property tax fix.</t>
        </is>
      </c>
      <c r="J322" s="4" t="inlineStr">
        <is>
          <t>Free-market analyses column</t>
        </is>
      </c>
      <c r="K322" s="4" t="inlineStr">
        <is>
          <t>https://palmettopromise.org/report-achieving-prosperity-stability-fairness-essential-south-carolina-tax-reforms/</t>
        </is>
      </c>
    </row>
    <row r="323" ht="49" customHeight="1">
      <c r="A323" s="13" t="inlineStr">
        <is>
          <t>South Carolina</t>
        </is>
      </c>
      <c r="B323" s="4" t="inlineStr">
        <is>
          <t>Analysis</t>
        </is>
      </c>
      <c r="C323" s="4" t="inlineStr">
        <is>
          <t>State group</t>
        </is>
      </c>
      <c r="D323" s="4" t="inlineStr">
        <is>
          <t>Palmetto Promise Institute</t>
        </is>
      </c>
      <c r="E323" s="4" t="inlineStr">
        <is>
          <t>Oran P. Smith</t>
        </is>
      </c>
      <c r="F323" s="15" t="inlineStr">
        <is>
          <t>What Tax to Cut? Property or Income?</t>
        </is>
      </c>
      <c r="G323" s="4" t="inlineStr">
        <is>
          <t>April 30, 2024</t>
        </is>
      </c>
      <c r="H323" s="4" t="inlineStr">
        <is>
          <t>2024-04-30</t>
        </is>
      </c>
      <c r="I323" s="4" t="inlineStr">
        <is>
          <t>Weighs the House budget's one-time $500 million property tax rebate against the Senate's permanent 0.2-point income tax cut and sides with the permanent income tax cut. It ranks a property tax cut for individual homeowners third on its list, after the personal and corporate income tax rates.</t>
        </is>
      </c>
      <c r="J323" s="4" t="inlineStr">
        <is>
          <t>Free-market analyses column</t>
        </is>
      </c>
      <c r="K323" s="4" t="inlineStr">
        <is>
          <t>https://palmettopromise.org/what-tax-to-cut-property-or-income/</t>
        </is>
      </c>
    </row>
    <row r="324" ht="139" customHeight="1">
      <c r="A324" s="13" t="inlineStr">
        <is>
          <t>South Carolina</t>
        </is>
      </c>
      <c r="B324" s="4" t="inlineStr">
        <is>
          <t>Cited elsewhere in the matrix</t>
        </is>
      </c>
      <c r="C324" s="4" t="inlineStr">
        <is>
          <t>State group</t>
        </is>
      </c>
      <c r="D324" s="4" t="inlineStr">
        <is>
          <t>Palmetto Promise Institute</t>
        </is>
      </c>
      <c r="E324" s="4" t="n"/>
      <c r="F324" s="15" t="inlineStr">
        <is>
          <t>The Legislative Session is (Mostly) Over. What Got Done?</t>
        </is>
      </c>
      <c r="G324" s="4" t="inlineStr">
        <is>
          <t>May 22, 2026</t>
        </is>
      </c>
      <c r="H324" s="4" t="inlineStr">
        <is>
          <t>2026-05-22</t>
        </is>
      </c>
      <c r="I324" s="4" t="inlineStr">
        <is>
          <t>Palmetto Promise Institute finds that a residential renter or small business owner "can pay up to 3 times more property tax than a homeowner."
- Built-in exceptions: the millage cap allows CPI plus population growth with three years of banked increases, two-thirds of a governing body can suspend it for deficits and other listed reasons, and debt millage is uncapped. 1997: millage increase limits (later tied to CPI plus population). 2006: Act 388 (school operating exemption for homes, one-cent sales tax increase, 15% five-year reassessment cap).
2022: a manufacturing partial value exemption with state reimbursement of up to $170 million a year (Palmetto Promise Institute).
2026: Act No. 122 (</t>
        </is>
      </c>
      <c r="J324" s="4" t="inlineStr">
        <is>
          <t>Source URLs and Loopholes &amp; has it worked?, Recent reforms</t>
        </is>
      </c>
      <c r="K324" s="4" t="inlineStr">
        <is>
          <t>https://palmettopromise.org/the-legislative-session-is-mostly-over-what-got-done/</t>
        </is>
      </c>
    </row>
    <row r="325" ht="34" customHeight="1">
      <c r="A325" s="13" t="inlineStr">
        <is>
          <t>South Dakota</t>
        </is>
      </c>
      <c r="B325" s="4" t="inlineStr">
        <is>
          <t>Analysis</t>
        </is>
      </c>
      <c r="C325" s="4" t="inlineStr">
        <is>
          <t>State group</t>
        </is>
      </c>
      <c r="D325" s="4" t="inlineStr">
        <is>
          <t>Common Sense Institute</t>
        </is>
      </c>
      <c r="E325" s="4" t="n"/>
      <c r="F325" s="15" t="inlineStr">
        <is>
          <t>Iowa Leads the Nation in Property Tax Relief: Ranking State Reforms of the Past Decade</t>
        </is>
      </c>
      <c r="G325" s="4" t="inlineStr">
        <is>
          <t>Aug. 6, 2026</t>
        </is>
      </c>
      <c r="H325" s="4" t="inlineStr">
        <is>
          <t>2026-08-06</t>
        </is>
      </c>
      <c r="I325" s="4" t="inlineStr">
        <is>
          <t>Ranks state property tax relief laws of the past decade by savings per household and as a share of personal income, excluding state backfills; South Dakota's SB 216 (2025) places in the national top ten.</t>
        </is>
      </c>
      <c r="J325" s="4" t="inlineStr">
        <is>
          <t>Free-market analyses column</t>
        </is>
      </c>
      <c r="K325" s="4" t="inlineStr">
        <is>
          <t>https://archive.commonsenseinstituteus.org/iowa/research/taxes-and-fees/iowa-leads-the-nation-in-property-tax-relief-ranking-state-reforms-of-the-past-decade</t>
        </is>
      </c>
    </row>
    <row r="326" ht="49" customHeight="1">
      <c r="A326" s="13" t="inlineStr">
        <is>
          <t>South Dakota</t>
        </is>
      </c>
      <c r="B326" s="4" t="inlineStr">
        <is>
          <t>Analysis</t>
        </is>
      </c>
      <c r="C326" s="4" t="inlineStr">
        <is>
          <t>State group</t>
        </is>
      </c>
      <c r="D326" s="4" t="inlineStr">
        <is>
          <t>Americans for Prosperity-South Dakota</t>
        </is>
      </c>
      <c r="E326" s="4" t="n"/>
      <c r="F326" s="15" t="inlineStr">
        <is>
          <t>AFP-SD Issues Fresh Call for Tax Transparency Legislation on Filing Day</t>
        </is>
      </c>
      <c r="G326" s="4" t="inlineStr">
        <is>
          <t>April 15, 2026</t>
        </is>
      </c>
      <c r="H326" s="4" t="inlineStr">
        <is>
          <t>2026-04-15</t>
        </is>
      </c>
      <c r="I326" s="4" t="inlineStr">
        <is>
          <t>Calls on the Legislature to pass a truth-in-taxation bill, part of AFP-SD's Rushmore Roadmap agenda, under which tax authorities would give property owners detailed information on the impact of any proposed increase and hold at least one public hearing on it.</t>
        </is>
      </c>
      <c r="J326" s="4" t="inlineStr">
        <is>
          <t>Free-market analyses column</t>
        </is>
      </c>
      <c r="K326" s="4" t="inlineStr">
        <is>
          <t>https://americansforprosperity.org/press-release/afp-sd-issues-fresh-call-for-tax-transparency-legislation-on-filing-day/</t>
        </is>
      </c>
    </row>
    <row r="327" ht="64" customHeight="1">
      <c r="A327" s="13" t="inlineStr">
        <is>
          <t>South Dakota</t>
        </is>
      </c>
      <c r="B327" s="4" t="inlineStr">
        <is>
          <t>Analysis</t>
        </is>
      </c>
      <c r="C327" s="4" t="inlineStr">
        <is>
          <t>State group</t>
        </is>
      </c>
      <c r="D327" s="4" t="inlineStr">
        <is>
          <t>Americans for Prosperity-South Dakota</t>
        </is>
      </c>
      <c r="E327" s="4" t="n"/>
      <c r="F327" s="15" t="inlineStr">
        <is>
          <t>AFP-South Dakota Criticizes House Defeat of Senate Bill 85</t>
        </is>
      </c>
      <c r="G327" s="4" t="inlineStr">
        <is>
          <t>Feb. 4, 2026</t>
        </is>
      </c>
      <c r="H327" s="4" t="inlineStr">
        <is>
          <t>2026-02-04</t>
        </is>
      </c>
      <c r="I327" s="4" t="inlineStr">
        <is>
          <t>Faults the House for defeating SB 85, which would have required school boards to win local taxpayer approval before opting out of statutory property tax limits; State Director Jennifer Beving said "Taxpayers deserve a direct say in how they are taxed, especially when spending is above statutory limits already put in place."</t>
        </is>
      </c>
      <c r="J327" s="4" t="inlineStr">
        <is>
          <t>Free-market analyses column</t>
        </is>
      </c>
      <c r="K327" s="4" t="inlineStr">
        <is>
          <t>https://americansforprosperity.org/press-release/afp-south-dakota-criticizes-house-defeat-of-senate-bill-85/</t>
        </is>
      </c>
    </row>
    <row r="328" ht="49" customHeight="1">
      <c r="A328" s="13" t="inlineStr">
        <is>
          <t>South Dakota</t>
        </is>
      </c>
      <c r="B328" s="4" t="inlineStr">
        <is>
          <t>Analysis</t>
        </is>
      </c>
      <c r="C328" s="4" t="inlineStr">
        <is>
          <t>National group</t>
        </is>
      </c>
      <c r="D328" s="4" t="inlineStr">
        <is>
          <t>Tax Foundation</t>
        </is>
      </c>
      <c r="E328" s="4" t="n"/>
      <c r="F328" s="15" t="inlineStr">
        <is>
          <t>Excise Taxes Cannot Replace Property Taxes</t>
        </is>
      </c>
      <c r="G328" s="4" t="inlineStr">
        <is>
          <t>Dec. 15, 2025</t>
        </is>
      </c>
      <c r="H328" s="4" t="inlineStr">
        <is>
          <t>2025-12-15</t>
        </is>
      </c>
      <c r="I328" s="4" t="inlineStr">
        <is>
          <t>Argues that a single statewide excise or transaction tax cannot replace local property taxes, noting that effective property tax rates in South Dakota range from 0.44% to 2.23% of value and that state-level replacement "severs the connection between local taxes and the services they fund."</t>
        </is>
      </c>
      <c r="J328" s="4" t="inlineStr">
        <is>
          <t>Free-market analyses column</t>
        </is>
      </c>
      <c r="K328" s="4" t="inlineStr">
        <is>
          <t>https://taxfoundation.org/blog/excise-taxes-cannot-replace-property-taxes/</t>
        </is>
      </c>
    </row>
    <row r="329" ht="30" customHeight="1">
      <c r="A329" s="13" t="inlineStr">
        <is>
          <t>South Dakota</t>
        </is>
      </c>
      <c r="B329" s="4" t="inlineStr">
        <is>
          <t>Analysis</t>
        </is>
      </c>
      <c r="C329" s="4" t="inlineStr">
        <is>
          <t>National group</t>
        </is>
      </c>
      <c r="D329" s="4" t="inlineStr">
        <is>
          <t>Tax Foundation</t>
        </is>
      </c>
      <c r="E329" s="4" t="n"/>
      <c r="F329" s="15" t="inlineStr">
        <is>
          <t>2026 State Tax Competitiveness Index</t>
        </is>
      </c>
      <c r="G329" s="4" t="inlineStr">
        <is>
          <t>Oct. 30, 2025</t>
        </is>
      </c>
      <c r="H329" s="4" t="inlineStr">
        <is>
          <t>2025-10-30</t>
        </is>
      </c>
      <c r="I329" s="4" t="inlineStr">
        <is>
          <t>Ranks South Dakota's tax system 2nd overall and 8th on property tax (Table 6 of the full study).</t>
        </is>
      </c>
      <c r="J329" s="4" t="inlineStr">
        <is>
          <t>Free-market analyses column</t>
        </is>
      </c>
      <c r="K329" s="4" t="inlineStr">
        <is>
          <t>https://taxfoundation.org/location/south-dakota/</t>
        </is>
      </c>
    </row>
    <row r="330" ht="79" customHeight="1">
      <c r="A330" s="13" t="inlineStr">
        <is>
          <t>South Dakota</t>
        </is>
      </c>
      <c r="B330" s="4" t="inlineStr">
        <is>
          <t>Analysis</t>
        </is>
      </c>
      <c r="C330" s="4" t="inlineStr">
        <is>
          <t>Legislators &amp; officials</t>
        </is>
      </c>
      <c r="D330" s="4" t="inlineStr">
        <is>
          <t>South Dakota Legislature</t>
        </is>
      </c>
      <c r="E330" s="4" t="inlineStr">
        <is>
          <t>Comprehensive Property Tax Task Force (Sen. Chris Karr, chair, and Rep. Jon Hansen, vice chair)</t>
        </is>
      </c>
      <c r="F330" s="15" t="inlineStr">
        <is>
          <t>Comprehensive Property Tax Task Force Announces Recommendations</t>
        </is>
      </c>
      <c r="G330" s="4" t="inlineStr">
        <is>
          <t>Oct. 24, 2025</t>
        </is>
      </c>
      <c r="H330" s="4" t="inlineStr">
        <is>
          <t>2025-10-24</t>
        </is>
      </c>
      <c r="I330" s="4" t="inlineStr">
        <is>
          <t>Recommends a $120 million homeowner rebate from collected but unspent tax dollars, a 5% cut in state spending ($123 million) for homeowner property tax reduction, dedicating the $105 million from the expiring sales tax cut to homeowner property taxes and 25% of future state revenue growth to replacing property tax revenue; it puts the package at more than $348 million, about a 25% cut in homeowner property taxes.</t>
        </is>
      </c>
      <c r="J330" s="4" t="inlineStr">
        <is>
          <t>Free-market analyses column</t>
        </is>
      </c>
      <c r="K330" s="4" t="inlineStr">
        <is>
          <t>https://mylrc.sdlegislature.gov/api/Documents/PressRelease/287260.pdf</t>
        </is>
      </c>
    </row>
    <row r="331" ht="30" customHeight="1">
      <c r="A331" s="13" t="inlineStr">
        <is>
          <t>South Dakota</t>
        </is>
      </c>
      <c r="B331" s="4" t="inlineStr">
        <is>
          <t>Cited elsewhere in the matrix</t>
        </is>
      </c>
      <c r="C331" s="4" t="inlineStr">
        <is>
          <t>State group</t>
        </is>
      </c>
      <c r="D331" s="4" t="inlineStr">
        <is>
          <t>Americans for Prosperity</t>
        </is>
      </c>
      <c r="E331" s="4" t="n"/>
      <c r="F331" s="15" t="inlineStr">
        <is>
          <t>ICYMI: AFP-SD Continues Grassroots Engagement in Back-to-Back Property Tax Town Halls with Gov. Rhoden</t>
        </is>
      </c>
      <c r="G331" s="4" t="inlineStr">
        <is>
          <t>Feb. 18, 2026</t>
        </is>
      </c>
      <c r="H331" s="4" t="inlineStr">
        <is>
          <t>2026-02-18</t>
        </is>
      </c>
      <c r="I331" s="4" t="n"/>
      <c r="J331" s="4" t="inlineStr">
        <is>
          <t>Source URLs</t>
        </is>
      </c>
      <c r="K331" s="4" t="inlineStr">
        <is>
          <t>https://americansforprosperity.org/press-release/icymi-afp-sd-continues-grassroots-engagement-in-back-to-back-property-tax-town-halls-with-gov-rhoden/</t>
        </is>
      </c>
    </row>
    <row r="332" ht="30" customHeight="1">
      <c r="A332" s="13" t="inlineStr">
        <is>
          <t>South Dakota</t>
        </is>
      </c>
      <c r="B332" s="4" t="inlineStr">
        <is>
          <t>Checked: no report since 2021</t>
        </is>
      </c>
      <c r="C332" s="4" t="inlineStr">
        <is>
          <t>State group</t>
        </is>
      </c>
      <c r="D332" s="4" t="inlineStr">
        <is>
          <t>South Dakota has no State Policy Network affiliate.</t>
        </is>
      </c>
      <c r="E332" s="4" t="n"/>
      <c r="F332" s="4" t="inlineStr">
        <is>
          <t>(no report found)</t>
        </is>
      </c>
      <c r="G332" s="4" t="n"/>
      <c r="H332" s="4" t="n"/>
      <c r="I332" s="4" t="inlineStr">
        <is>
          <t>South Dakota has no State Policy Network affiliate.</t>
        </is>
      </c>
      <c r="J332" s="4" t="inlineStr">
        <is>
          <t>Free-market analyses column</t>
        </is>
      </c>
      <c r="K332" s="4" t="n"/>
    </row>
    <row r="333" ht="79" customHeight="1">
      <c r="A333" s="13" t="inlineStr">
        <is>
          <t>Tennessee</t>
        </is>
      </c>
      <c r="B333" s="4" t="inlineStr">
        <is>
          <t>Analysis</t>
        </is>
      </c>
      <c r="C333" s="4" t="inlineStr">
        <is>
          <t>State group</t>
        </is>
      </c>
      <c r="D333" s="4" t="inlineStr">
        <is>
          <t>Beacon Center of Tennessee (State Policy Network affiliate)</t>
        </is>
      </c>
      <c r="E333" s="4" t="n"/>
      <c r="F333" s="15" t="inlineStr">
        <is>
          <t>Taxing 9 to 5: What Does the Research Say About Property Tax Caps?</t>
        </is>
      </c>
      <c r="G333" s="4" t="inlineStr">
        <is>
          <t>Oct. 12, 2026</t>
        </is>
      </c>
      <c r="H333" s="4" t="inlineStr">
        <is>
          <t>2026-10-12</t>
        </is>
      </c>
      <c r="I333" s="4" t="inlineStr">
        <is>
          <t>Reviews research from the 46 states with property tax limits and finds levy caps, paired with a referendum on increases above the cap, the most effective type; cites Johnson City's 20% increase of July 2026, partly to pay for a $37 million aquatics center ($55 million with interest), and notes that the 2026 cap bill (SB 2064/HB 1873, 2% a year plus inflation) stalled after passing the House Cities and Counties Subcommittee.</t>
        </is>
      </c>
      <c r="J333" s="4" t="inlineStr">
        <is>
          <t>Free-market analyses column</t>
        </is>
      </c>
      <c r="K333" s="4" t="inlineStr">
        <is>
          <t>https://www.beacontn.org/taxing-9-to-5-what-does-the-research-say-about-property-tax-caps/</t>
        </is>
      </c>
    </row>
    <row r="334" ht="49" customHeight="1">
      <c r="A334" s="13" t="inlineStr">
        <is>
          <t>Tennessee</t>
        </is>
      </c>
      <c r="B334" s="4" t="inlineStr">
        <is>
          <t>Analysis</t>
        </is>
      </c>
      <c r="C334" s="4" t="inlineStr">
        <is>
          <t>Legislators &amp; officials</t>
        </is>
      </c>
      <c r="D334" s="4" t="inlineStr">
        <is>
          <t>Tennessee House Republican Caucus</t>
        </is>
      </c>
      <c r="E334" s="4" t="inlineStr">
        <is>
          <t>Rep. Tandy Darby</t>
        </is>
      </c>
      <c r="F334" s="15" t="inlineStr">
        <is>
          <t>Rep. Tandy Darby: Amendment 2 to keep Tennessee free from a state property tax</t>
        </is>
      </c>
      <c r="G334" s="4" t="inlineStr">
        <is>
          <t>Oct. 12, 2026</t>
        </is>
      </c>
      <c r="H334" s="4" t="inlineStr">
        <is>
          <t>2026-10-12</t>
        </is>
      </c>
      <c r="I334" s="4" t="inlineStr">
        <is>
          <t>Urges a yes vote on Amendment 2 on the Nov. 3, 2026 ballot, which would amend Article II, Section 28 so the General Assembly may never "levy, authorize, or otherwise permit" a state tax on property; the state set its property tax rate at zero in 1949, and the amendment leaves local property taxes untouched.</t>
        </is>
      </c>
      <c r="J334" s="4" t="inlineStr">
        <is>
          <t>Free-market analyses column</t>
        </is>
      </c>
      <c r="K334" s="4" t="inlineStr">
        <is>
          <t>https://tnhousegop.org/press-releases/2026/10/rep-tandy-darby-amendment-2-to-keep-tennessee-free-from-a-state-property-tax/</t>
        </is>
      </c>
    </row>
    <row r="335" ht="64" customHeight="1">
      <c r="A335" s="13" t="inlineStr">
        <is>
          <t>Tennessee</t>
        </is>
      </c>
      <c r="B335" s="4" t="inlineStr">
        <is>
          <t>Analysis</t>
        </is>
      </c>
      <c r="C335" s="4" t="inlineStr">
        <is>
          <t>State group</t>
        </is>
      </c>
      <c r="D335" s="4" t="inlineStr">
        <is>
          <t>Beacon Center of Tennessee (State Policy Network affiliate)</t>
        </is>
      </c>
      <c r="E335" s="4" t="n"/>
      <c r="F335" s="15" t="inlineStr">
        <is>
          <t>Tennessee Leads the Nation—In Property Tax Hikes</t>
        </is>
      </c>
      <c r="G335" s="4" t="inlineStr">
        <is>
          <t>Aug. 14, 2026</t>
        </is>
      </c>
      <c r="H335" s="4" t="inlineStr">
        <is>
          <t>2026-08-14</t>
        </is>
      </c>
      <c r="I335" s="4" t="inlineStr">
        <is>
          <t>Using the dataset behind a Wall Street Journal analysis, finds Tennessee had the highest percentage increase in property taxes of any state over six years, the only state above 75%, with a double-digit lead over Colorado; lists Mt. Juliet (164%), Fairview (42%), Bristol (21%), Johnson City and Erwin (20%) and Red Bank (14%) and calls for the property tax cap that 46 states and D.C. have.</t>
        </is>
      </c>
      <c r="J335" s="4" t="inlineStr">
        <is>
          <t>Free-market analyses column</t>
        </is>
      </c>
      <c r="K335" s="4" t="inlineStr">
        <is>
          <t>https://www.beacontn.org/tennessee-leads-the-nation-in-property-tax-hikes</t>
        </is>
      </c>
    </row>
    <row r="336" ht="49" customHeight="1">
      <c r="A336" s="13" t="inlineStr">
        <is>
          <t>Tennessee</t>
        </is>
      </c>
      <c r="B336" s="4" t="inlineStr">
        <is>
          <t>Analysis</t>
        </is>
      </c>
      <c r="C336" s="4" t="inlineStr">
        <is>
          <t>State group</t>
        </is>
      </c>
      <c r="D336" s="4" t="inlineStr">
        <is>
          <t>Beacon Center of Tennessee (State Policy Network affiliate)</t>
        </is>
      </c>
      <c r="E336" s="4" t="n"/>
      <c r="F336" s="15" t="inlineStr">
        <is>
          <t>Why Tennessee Doesn't Need a State Property Tax</t>
        </is>
      </c>
      <c r="G336" s="4" t="inlineStr">
        <is>
          <t>March 3, 2026</t>
        </is>
      </c>
      <c r="H336" s="4" t="inlineStr">
        <is>
          <t>2026-03-03</t>
        </is>
      </c>
      <c r="I336" s="4" t="inlineStr">
        <is>
          <t>Backs Amendment 2, which would bar re-enactment of the state property tax repealed in 1949; notes a future legislature could now reimpose one by simple majority and that an April 2025 Beacon Poll and other polls show more than six in 10 voters support the ban.</t>
        </is>
      </c>
      <c r="J336" s="4" t="inlineStr">
        <is>
          <t>Free-market analyses column</t>
        </is>
      </c>
      <c r="K336" s="4" t="inlineStr">
        <is>
          <t>https://www.beacontn.org/why-tennessee-doesnt-need-a-state-property-tax/</t>
        </is>
      </c>
    </row>
    <row r="337" ht="49" customHeight="1">
      <c r="A337" s="13" t="inlineStr">
        <is>
          <t>Tennessee</t>
        </is>
      </c>
      <c r="B337" s="4" t="inlineStr">
        <is>
          <t>Analysis</t>
        </is>
      </c>
      <c r="C337" s="4" t="inlineStr">
        <is>
          <t>Legislators &amp; officials</t>
        </is>
      </c>
      <c r="D337" s="4" t="inlineStr">
        <is>
          <t>Tennessee House Republican Caucus</t>
        </is>
      </c>
      <c r="E337" s="4" t="n"/>
      <c r="F337" s="15" t="inlineStr">
        <is>
          <t>Rep. Bud Hulsey proposes limiting local property tax hikes</t>
        </is>
      </c>
      <c r="G337" s="4" t="inlineStr">
        <is>
          <t>Feb. 18, 2026</t>
        </is>
      </c>
      <c r="H337" s="4" t="inlineStr">
        <is>
          <t>2026-02-18</t>
        </is>
      </c>
      <c r="I337" s="4" t="inlineStr">
        <is>
          <t>Announces HB 2607, capping property tax increases at 2% a year; local governments could exceed the cap for up to four years only after a referendum with at least 60% approval, and Hulsey said "Government at all levels must live within its means."</t>
        </is>
      </c>
      <c r="J337" s="4" t="inlineStr">
        <is>
          <t>Free-market analyses column</t>
        </is>
      </c>
      <c r="K337" s="4" t="inlineStr">
        <is>
          <t>https://tnhousegop.org/press-releases/2026/02/rep-bud-hulsey-proposes-limiting-local-property-tax-hikes/</t>
        </is>
      </c>
    </row>
    <row r="338" ht="64" customHeight="1">
      <c r="A338" s="13" t="inlineStr">
        <is>
          <t>Tennessee</t>
        </is>
      </c>
      <c r="B338" s="4" t="inlineStr">
        <is>
          <t>Analysis</t>
        </is>
      </c>
      <c r="C338" s="4" t="inlineStr">
        <is>
          <t>State group</t>
        </is>
      </c>
      <c r="D338" s="4" t="inlineStr">
        <is>
          <t>Beacon Center of Tennessee (State Policy Network affiliate)</t>
        </is>
      </c>
      <c r="E338" s="4" t="n"/>
      <c r="F338" s="15" t="inlineStr">
        <is>
          <t>Volunteering for Higher Taxes? Assessing Tennessee's Uncapped Property Taxes</t>
        </is>
      </c>
      <c r="G338" s="4" t="inlineStr">
        <is>
          <t>Nov. 12, 2025</t>
        </is>
      </c>
      <c r="H338" s="4" t="inlineStr">
        <is>
          <t>2025-11-12</t>
        </is>
      </c>
      <c r="I338" s="4" t="inlineStr">
        <is>
          <t>Says Tennessee is one of four states with no statewide limit on property tax increases; the certified tax rate offers transparency and accountability after each reappraisal, yet local governments can still adopt higher rates, as Nashville did with 26% in 2025 after 34% in 2020; recommends a levy cap, a limited rollover of unused increases and a referendum trigger for revenue above the cap.</t>
        </is>
      </c>
      <c r="J338" s="4" t="inlineStr">
        <is>
          <t>Free-market analyses column</t>
        </is>
      </c>
      <c r="K338" s="4" t="inlineStr">
        <is>
          <t>https://www.beacontn.org/wp-content/uploads/2025/11/PropertyTaxBrief_BeaconCenter_11.12.25_3.pdf</t>
        </is>
      </c>
    </row>
    <row r="339" ht="30" customHeight="1">
      <c r="A339" s="13" t="inlineStr">
        <is>
          <t>Tennessee</t>
        </is>
      </c>
      <c r="B339" s="4" t="inlineStr">
        <is>
          <t>Analysis</t>
        </is>
      </c>
      <c r="C339" s="4" t="inlineStr">
        <is>
          <t>National group</t>
        </is>
      </c>
      <c r="D339" s="4" t="inlineStr">
        <is>
          <t>Tax Foundation</t>
        </is>
      </c>
      <c r="E339" s="4" t="n"/>
      <c r="F339" s="15" t="inlineStr">
        <is>
          <t>2026 State Tax Competitiveness Index</t>
        </is>
      </c>
      <c r="G339" s="4" t="inlineStr">
        <is>
          <t>Oct. 30, 2025</t>
        </is>
      </c>
      <c r="H339" s="4" t="inlineStr">
        <is>
          <t>2025-10-30</t>
        </is>
      </c>
      <c r="I339" s="4" t="inlineStr">
        <is>
          <t>Ranks Tennessee's tax system 8th overall and 32nd on property tax (Table 6 of the full study).</t>
        </is>
      </c>
      <c r="J339" s="4" t="inlineStr">
        <is>
          <t>Free-market analyses column</t>
        </is>
      </c>
      <c r="K339" s="4" t="inlineStr">
        <is>
          <t>https://taxfoundation.org/location/tennessee/</t>
        </is>
      </c>
    </row>
    <row r="340" ht="49" customHeight="1">
      <c r="A340" s="13" t="inlineStr">
        <is>
          <t>Tennessee</t>
        </is>
      </c>
      <c r="B340" s="4" t="inlineStr">
        <is>
          <t>Analysis</t>
        </is>
      </c>
      <c r="C340" s="4" t="inlineStr">
        <is>
          <t>State group</t>
        </is>
      </c>
      <c r="D340" s="4" t="inlineStr">
        <is>
          <t>Americans for Prosperity-Tennessee</t>
        </is>
      </c>
      <c r="E340" s="4" t="n"/>
      <c r="F340" s="15" t="inlineStr">
        <is>
          <t>AFP-TN and Conservative Coalition Launches Campaign to Fight Property Tax Increase in Nashville</t>
        </is>
      </c>
      <c r="G340" s="4" t="inlineStr">
        <is>
          <t>April 24, 2025</t>
        </is>
      </c>
      <c r="H340" s="4" t="inlineStr">
        <is>
          <t>2025-04-24</t>
        </is>
      </c>
      <c r="I340" s="4" t="inlineStr">
        <is>
          <t>Announces a coalition with GOP-Nashville and the Nashville Tea Party against any Metro Nashville property tax increase, citing the earlier 34% increase and the loss of more than 40,000 Davidson County residents since 2014 while Wilson, Sumner and Rutherford counties gained more than 100,000.</t>
        </is>
      </c>
      <c r="J340" s="4" t="inlineStr">
        <is>
          <t>Free-market analyses column</t>
        </is>
      </c>
      <c r="K340" s="4" t="inlineStr">
        <is>
          <t>https://americansforprosperity.org/press-release/afp-tn-and-conservative-coalition-launches-campaign-to-fight-property-tax-increase-in-nashville/</t>
        </is>
      </c>
    </row>
    <row r="341" ht="34" customHeight="1">
      <c r="A341" s="13" t="inlineStr">
        <is>
          <t>Tennessee</t>
        </is>
      </c>
      <c r="B341" s="4" t="inlineStr">
        <is>
          <t>Checked: no report since 2021</t>
        </is>
      </c>
      <c r="C341" s="4" t="inlineStr">
        <is>
          <t>State group</t>
        </is>
      </c>
      <c r="D341" s="4" t="inlineStr">
        <is>
          <t>Millennial Debt Foundation</t>
        </is>
      </c>
      <c r="E341" s="4" t="n"/>
      <c r="F341" s="4" t="inlineStr">
        <is>
          <t>(no report found)</t>
        </is>
      </c>
      <c r="G341" s="4" t="n"/>
      <c r="H341" s="4" t="n"/>
      <c r="I341" s="4" t="inlineStr">
        <is>
          <t>Millennial Debt Foundation (State Policy Network associate): no property tax report since 2021 was found.</t>
        </is>
      </c>
      <c r="J341" s="4" t="inlineStr">
        <is>
          <t>Free-market analyses column</t>
        </is>
      </c>
      <c r="K341" s="4" t="n"/>
    </row>
    <row r="342" ht="49" customHeight="1">
      <c r="A342" s="13" t="inlineStr">
        <is>
          <t>Texas</t>
        </is>
      </c>
      <c r="B342" s="4" t="inlineStr">
        <is>
          <t>Analysis</t>
        </is>
      </c>
      <c r="C342" s="4" t="inlineStr">
        <is>
          <t>State group</t>
        </is>
      </c>
      <c r="D342" s="4" t="inlineStr">
        <is>
          <t>Texas Public Policy Foundation</t>
        </is>
      </c>
      <c r="E342" s="4" t="n"/>
      <c r="F342" s="15" t="inlineStr">
        <is>
          <t>These 12 Small &amp; Mid-Sized Cities and Counties are Threatening Huge Tax Hikes</t>
        </is>
      </c>
      <c r="G342" s="4" t="inlineStr">
        <is>
          <t>Sept. 14, 2026</t>
        </is>
      </c>
      <c r="H342" s="4" t="inlineStr">
        <is>
          <t>2026-09-14</t>
        </is>
      </c>
      <c r="I342" s="4" t="inlineStr">
        <is>
          <t>Surveys the legally required Notices of Public Hearing on Tax Increase and charts the 12 largest proposed homeowner bill increases among smaller cities and counties, with hikes as high as 36%, 48% and 92%; calls for "stronger taxpayer protections and stricter rules governing local property tax growth."</t>
        </is>
      </c>
      <c r="J342" s="4" t="inlineStr">
        <is>
          <t>Free-market analyses column</t>
        </is>
      </c>
      <c r="K342" s="4" t="inlineStr">
        <is>
          <t>https://www.texaspolicy.com/these-12-small-mid-sized-cities-and-counties-are-threatening-huge-tax-hikes/</t>
        </is>
      </c>
    </row>
    <row r="343" ht="64" customHeight="1">
      <c r="A343" s="13" t="inlineStr">
        <is>
          <t>Texas</t>
        </is>
      </c>
      <c r="B343" s="4" t="inlineStr">
        <is>
          <t>Analysis</t>
        </is>
      </c>
      <c r="C343" s="4" t="inlineStr">
        <is>
          <t>State group</t>
        </is>
      </c>
      <c r="D343" s="4" t="inlineStr">
        <is>
          <t>Texas Public Policy Foundation</t>
        </is>
      </c>
      <c r="E343" s="4" t="n"/>
      <c r="F343" s="15" t="inlineStr">
        <is>
          <t>Just the Facts: Local Government Spending</t>
        </is>
      </c>
      <c r="G343" s="4" t="inlineStr">
        <is>
          <t>Aug. 10, 2026</t>
        </is>
      </c>
      <c r="H343" s="4" t="inlineStr">
        <is>
          <t>2026-08-10</t>
        </is>
      </c>
      <c r="I343" s="4" t="inlineStr">
        <is>
          <t>Finds that "Texans' property tax bills continue to increase due to unrestricted spending at the local level" despite state relief, with city and county spending outpacing population and inflation; the state works under four constitutional spending limits and one statutory limit while local governments have none, so the Legislature should apply similar limits to them.</t>
        </is>
      </c>
      <c r="J343" s="4" t="inlineStr">
        <is>
          <t>Free-market analyses column</t>
        </is>
      </c>
      <c r="K343" s="4" t="inlineStr">
        <is>
          <t>https://www.texaspolicy.com/just-the-facts-local-government-spending/</t>
        </is>
      </c>
    </row>
    <row r="344" ht="34" customHeight="1">
      <c r="A344" s="13" t="inlineStr">
        <is>
          <t>Texas</t>
        </is>
      </c>
      <c r="B344" s="4" t="inlineStr">
        <is>
          <t>Analysis</t>
        </is>
      </c>
      <c r="C344" s="4" t="inlineStr">
        <is>
          <t>State group</t>
        </is>
      </c>
      <c r="D344" s="4" t="inlineStr">
        <is>
          <t>Common Sense Institute</t>
        </is>
      </c>
      <c r="E344" s="4" t="n"/>
      <c r="F344" s="15" t="inlineStr">
        <is>
          <t>Iowa Leads the Nation in Property Tax Relief: Ranking State Reforms of the Past Decade</t>
        </is>
      </c>
      <c r="G344" s="4" t="inlineStr">
        <is>
          <t>Aug. 6, 2026</t>
        </is>
      </c>
      <c r="H344" s="4" t="inlineStr">
        <is>
          <t>2026-08-06</t>
        </is>
      </c>
      <c r="I344" s="4" t="inlineStr">
        <is>
          <t>Counts relief the state backfills as no net tax relief, so Texas's 2023 property tax reform falls off its ranking of state reforms.</t>
        </is>
      </c>
      <c r="J344" s="4" t="inlineStr">
        <is>
          <t>Free-market analyses column</t>
        </is>
      </c>
      <c r="K344" s="4" t="inlineStr">
        <is>
          <t>https://archive.commonsenseinstituteus.org/iowa/research/taxes-and-fees/iowa-leads-the-nation-in-property-tax-relief-ranking-state-reforms-of-the-past-decade</t>
        </is>
      </c>
    </row>
    <row r="345" ht="64" customHeight="1">
      <c r="A345" s="13" t="inlineStr">
        <is>
          <t>Texas</t>
        </is>
      </c>
      <c r="B345" s="4" t="inlineStr">
        <is>
          <t>Analysis</t>
        </is>
      </c>
      <c r="C345" s="4" t="inlineStr">
        <is>
          <t>State group</t>
        </is>
      </c>
      <c r="D345" s="4" t="inlineStr">
        <is>
          <t>Texas Public Policy Foundation</t>
        </is>
      </c>
      <c r="E345" s="4" t="n"/>
      <c r="F345" s="15" t="inlineStr">
        <is>
          <t>Just the Facts: Property Taxes in Texas' Most Populous Cities, Counties, and School Districts 4th Edition</t>
        </is>
      </c>
      <c r="G345" s="4" t="inlineStr">
        <is>
          <t>April 3, 2026</t>
        </is>
      </c>
      <c r="H345" s="4" t="inlineStr">
        <is>
          <t>2026-04-03</t>
        </is>
      </c>
      <c r="I345" s="4" t="inlineStr">
        <is>
          <t>Reports that local governments levied $89.4 billion in property taxes in 2025, that taxing units reached almost 5,000 and that school district levies are the most burdensome; urges the 90th Legislature to strengthen the property tax revenue limitation and require a lower threshold for voter-approved tax rates.</t>
        </is>
      </c>
      <c r="J345" s="4" t="inlineStr">
        <is>
          <t>Free-market analyses column</t>
        </is>
      </c>
      <c r="K345" s="4" t="inlineStr">
        <is>
          <t>https://www.texaspolicy.com/just-the-facts-property-taxes-in-texas-most-populous-cities-counties-and-school-districts-4th-edition/</t>
        </is>
      </c>
    </row>
    <row r="346" ht="49" customHeight="1">
      <c r="A346" s="13" t="inlineStr">
        <is>
          <t>Texas</t>
        </is>
      </c>
      <c r="B346" s="4" t="inlineStr">
        <is>
          <t>Analysis</t>
        </is>
      </c>
      <c r="C346" s="4" t="inlineStr">
        <is>
          <t>State group</t>
        </is>
      </c>
      <c r="D346" s="4" t="inlineStr">
        <is>
          <t>Americans for Prosperity-Texas</t>
        </is>
      </c>
      <c r="E346" s="4" t="n"/>
      <c r="F346" s="15" t="inlineStr">
        <is>
          <t>AFP-Texas Launches Task Force of Local Officials for Property Tax Reform</t>
        </is>
      </c>
      <c r="G346" s="4" t="inlineStr">
        <is>
          <t>March 11, 2026</t>
        </is>
      </c>
      <c r="H346" s="4" t="inlineStr">
        <is>
          <t>2026-03-11</t>
        </is>
      </c>
      <c r="I346" s="4" t="inlineStr">
        <is>
          <t>Launches the Lone Star Property Tax Reform Council of local elected officials to push local spending caps, with Gov. Greg Abbott saying "out-of-control local spending has eroded billions of dollars" of the state's relief.</t>
        </is>
      </c>
      <c r="J346" s="4" t="inlineStr">
        <is>
          <t>Free-market analyses column</t>
        </is>
      </c>
      <c r="K346" s="4" t="inlineStr">
        <is>
          <t>https://americansforprosperity.org/press-release/afp-texas-launches-task-force-of-local-officials-for-property-tax-reform/</t>
        </is>
      </c>
    </row>
    <row r="347" ht="30" customHeight="1">
      <c r="A347" s="13" t="inlineStr">
        <is>
          <t>Texas</t>
        </is>
      </c>
      <c r="B347" s="4" t="inlineStr">
        <is>
          <t>Analysis</t>
        </is>
      </c>
      <c r="C347" s="4" t="inlineStr">
        <is>
          <t>National group</t>
        </is>
      </c>
      <c r="D347" s="4" t="inlineStr">
        <is>
          <t>Tax Foundation</t>
        </is>
      </c>
      <c r="E347" s="4" t="n"/>
      <c r="F347" s="15" t="inlineStr">
        <is>
          <t>2026 State Tax Competitiveness Index</t>
        </is>
      </c>
      <c r="G347" s="4" t="inlineStr">
        <is>
          <t>Oct. 30, 2025</t>
        </is>
      </c>
      <c r="H347" s="4" t="inlineStr">
        <is>
          <t>2025-10-30</t>
        </is>
      </c>
      <c r="I347" s="4" t="inlineStr">
        <is>
          <t>Ranks Texas 7th overall and 38th on property tax.</t>
        </is>
      </c>
      <c r="J347" s="4" t="inlineStr">
        <is>
          <t>Free-market analyses column</t>
        </is>
      </c>
      <c r="K347" s="4" t="inlineStr">
        <is>
          <t>https://taxfoundation.org/research/all/state/2026-state-tax-competitiveness-index/</t>
        </is>
      </c>
    </row>
    <row r="348" ht="64" customHeight="1">
      <c r="A348" s="13" t="inlineStr">
        <is>
          <t>Texas</t>
        </is>
      </c>
      <c r="B348" s="4" t="inlineStr">
        <is>
          <t>Analysis</t>
        </is>
      </c>
      <c r="C348" s="4" t="inlineStr">
        <is>
          <t>State group</t>
        </is>
      </c>
      <c r="D348" s="4" t="inlineStr">
        <is>
          <t>Texas Public Policy Foundation</t>
        </is>
      </c>
      <c r="E348" s="4" t="inlineStr">
        <is>
          <t>James Quintero</t>
        </is>
      </c>
      <c r="F348" s="15" t="inlineStr">
        <is>
          <t>Stop the Steal: How to Prevent Local Governments from Eroding State-Directed Tax Relief</t>
        </is>
      </c>
      <c r="G348" s="4" t="inlineStr">
        <is>
          <t>Aug. 15, 2025</t>
        </is>
      </c>
      <c r="H348" s="4" t="inlineStr">
        <is>
          <t>2025-08-15</t>
        </is>
      </c>
      <c r="I348" s="4" t="inlineStr">
        <is>
          <t>Argues that local rate hikes, frequent voter-approval tax rate elections, bonds and certificates of obligation have largely frustrated state relief since 2019; recommends cutting the voter-approval rate from 3.5% to 2.5% or lower, a local debt limit (local debt outstanding neared $500 billion in FY 2024) and limits on certificate-of-obligation debt, which rose 65% to $22.67 billion from FY 2014 to FY 2023.</t>
        </is>
      </c>
      <c r="J348" s="4" t="inlineStr">
        <is>
          <t>Free-market analyses column</t>
        </is>
      </c>
      <c r="K348" s="4" t="inlineStr">
        <is>
          <t>https://www.texaspolicy.com/wp-content/uploads/2025/08/2025-08-TPP-Stop-the-Steal-Special-Session-Quintero.pdf</t>
        </is>
      </c>
    </row>
    <row r="349" ht="49" customHeight="1">
      <c r="A349" s="13" t="inlineStr">
        <is>
          <t>Texas</t>
        </is>
      </c>
      <c r="B349" s="4" t="inlineStr">
        <is>
          <t>Analysis</t>
        </is>
      </c>
      <c r="C349" s="4" t="inlineStr">
        <is>
          <t>Legislators &amp; officials</t>
        </is>
      </c>
      <c r="D349" s="4" t="inlineStr">
        <is>
          <t>Texas Senate</t>
        </is>
      </c>
      <c r="E349" s="4" t="inlineStr">
        <is>
          <t>Sen. Paul Bettencourt (R-Houston)</t>
        </is>
      </c>
      <c r="F349" s="15" t="inlineStr">
        <is>
          <t>Bettencourt's SB 4 &amp; SB 23 Head to Gov's Desk, Part of $10 Billion in Property Tax Cuts &amp; Relief</t>
        </is>
      </c>
      <c r="G349" s="4" t="inlineStr">
        <is>
          <t>May 30, 2025</t>
        </is>
      </c>
      <c r="H349" s="4" t="inlineStr">
        <is>
          <t>2025-05-30</t>
        </is>
      </c>
      <c r="I349" s="4" t="inlineStr">
        <is>
          <t>Announces the school homestead exemption rising from $100,000 to $140,000 (about $484 a year for 5.7 million homesteads) and the added over-65 and disabled exemption from $10,000 to $60,000, subject to the November 2025 constitutional amendment votes.</t>
        </is>
      </c>
      <c r="J349" s="4" t="inlineStr">
        <is>
          <t>Free-market analyses column</t>
        </is>
      </c>
      <c r="K349" s="4" t="inlineStr">
        <is>
          <t>https://senate.texas.gov/press.php?id=7-20250530a</t>
        </is>
      </c>
    </row>
    <row r="350" ht="34" customHeight="1">
      <c r="A350" s="13" t="inlineStr">
        <is>
          <t>Texas</t>
        </is>
      </c>
      <c r="B350" s="4" t="inlineStr">
        <is>
          <t>Checked: no report since 2021</t>
        </is>
      </c>
      <c r="C350" s="4" t="inlineStr">
        <is>
          <t>State group</t>
        </is>
      </c>
      <c r="D350" s="4" t="inlineStr">
        <is>
          <t>Cicero Institute, Goodman Institute and Institute for Policy Innovation</t>
        </is>
      </c>
      <c r="E350" s="4" t="n"/>
      <c r="F350" s="4" t="inlineStr">
        <is>
          <t>(no report found)</t>
        </is>
      </c>
      <c r="G350" s="4" t="n"/>
      <c r="H350" s="4" t="n"/>
      <c r="I350" s="4" t="inlineStr">
        <is>
          <t>Cicero Institute, Goodman Institute and Institute for Policy Innovation (State Policy Network associates): no Texas property tax report since 2021 was found.</t>
        </is>
      </c>
      <c r="J350" s="4" t="inlineStr">
        <is>
          <t>Free-market analyses column</t>
        </is>
      </c>
      <c r="K350" s="4" t="n"/>
    </row>
    <row r="351" ht="79" customHeight="1">
      <c r="A351" s="13" t="inlineStr">
        <is>
          <t>Utah</t>
        </is>
      </c>
      <c r="B351" s="4" t="inlineStr">
        <is>
          <t>Analysis</t>
        </is>
      </c>
      <c r="C351" s="4" t="inlineStr">
        <is>
          <t>State group</t>
        </is>
      </c>
      <c r="D351" s="4" t="inlineStr">
        <is>
          <t>Utah Taxpayers Association</t>
        </is>
      </c>
      <c r="E351" s="4" t="n"/>
      <c r="F351" s="15" t="inlineStr">
        <is>
          <t>See Who Is Proposing a Property Tax Increase</t>
        </is>
      </c>
      <c r="G351" s="4" t="inlineStr">
        <is>
          <t>Aug. 3, 2026</t>
        </is>
      </c>
      <c r="H351" s="4" t="inlineStr">
        <is>
          <t>2026-08-03</t>
        </is>
      </c>
      <c r="I351" s="4" t="inlineStr">
        <is>
          <t>The association's 2026 truth-in-taxation list puts the largest increases on an average home in Ogden Valley City ($640.51) and Hildale ($448.47); the biggest revenue requests are Granite School District (about $21.1 million) and Salt Lake City ($13.8 million). Salt Lake City, West Jordan, West Valley City, Midvale and Granite School District are holding a truth-in-taxation hearing for the fourth consecutive year.</t>
        </is>
      </c>
      <c r="J351" s="4" t="inlineStr">
        <is>
          <t>Free-market analyses column</t>
        </is>
      </c>
      <c r="K351" s="4" t="inlineStr">
        <is>
          <t>https://utahtaxpayers.org/see-who-is-proposing-a-property-tax-increase/</t>
        </is>
      </c>
    </row>
    <row r="352" ht="79" customHeight="1">
      <c r="A352" s="13" t="inlineStr">
        <is>
          <t>Utah</t>
        </is>
      </c>
      <c r="B352" s="4" t="inlineStr">
        <is>
          <t>Analysis</t>
        </is>
      </c>
      <c r="C352" s="4" t="inlineStr">
        <is>
          <t>State group</t>
        </is>
      </c>
      <c r="D352" s="4" t="inlineStr">
        <is>
          <t>Utah Taxpayers Association</t>
        </is>
      </c>
      <c r="E352" s="4" t="n"/>
      <c r="F352" s="15" t="inlineStr">
        <is>
          <t>2026 Legislative Scorecard</t>
        </is>
      </c>
      <c r="G352" s="4" t="inlineStr">
        <is>
          <t>March 2026</t>
        </is>
      </c>
      <c r="H352" s="4" t="inlineStr">
        <is>
          <t>2026-03-00</t>
        </is>
      </c>
      <c r="I352" s="4" t="inlineStr">
        <is>
          <t>Scores the 2026 session's tax votes, including HB 236 (earlier public notice of property tax increases and an interim budget until an increase is adopted; passed House 67-0, Senate 28-0), HB 170 (a taxpayer referendum on school board tax increases; passed House 50-21, failed Senate 9-15), HB 425 (a utility-bill transportation fee with a truth-in-taxation-style process) and SB 238 (residential exemption applications and notice content).</t>
        </is>
      </c>
      <c r="J352" s="4" t="inlineStr">
        <is>
          <t>Free-market analyses column</t>
        </is>
      </c>
      <c r="K352" s="4" t="inlineStr">
        <is>
          <t>https://utahtaxpayers.org/wp-content/uploads/2026/03/Legislative-Scorecard-2026-v2.pdf</t>
        </is>
      </c>
    </row>
    <row r="353" ht="64" customHeight="1">
      <c r="A353" s="13" t="inlineStr">
        <is>
          <t>Utah</t>
        </is>
      </c>
      <c r="B353" s="4" t="inlineStr">
        <is>
          <t>Analysis</t>
        </is>
      </c>
      <c r="C353" s="4" t="inlineStr">
        <is>
          <t>Legislators &amp; officials</t>
        </is>
      </c>
      <c r="D353" s="4" t="inlineStr">
        <is>
          <t>Utah House of Representatives (Republican majority)</t>
        </is>
      </c>
      <c r="E353" s="4" t="inlineStr">
        <is>
          <t>Rep. Karen Peterson and Utah Taxpayers Association President Billy Hesterman</t>
        </is>
      </c>
      <c r="F353" s="15" t="inlineStr">
        <is>
          <t>Opinion: It's Time to Make Truth in Taxation Work Better</t>
        </is>
      </c>
      <c r="G353" s="4" t="inlineStr">
        <is>
          <t>Jan. 14, 2026</t>
        </is>
      </c>
      <c r="H353" s="4" t="inlineStr">
        <is>
          <t>2026-01-14</t>
        </is>
      </c>
      <c r="I353" s="4" t="inlineStr">
        <is>
          <t>Proposes that local governments considering a tax increase notify the public at least a month before finalizing budgets and operate from July 1 on a baseline budget built on existing revenue; a second budget with the increase could be adopted only after the truth-in-taxation hearing. Rep. Peterson carried the plan as HB 236.</t>
        </is>
      </c>
      <c r="J353" s="4" t="inlineStr">
        <is>
          <t>Free-market analyses column</t>
        </is>
      </c>
      <c r="K353" s="4" t="inlineStr">
        <is>
          <t>https://house.utleg.gov/opinion-its-time-to-make-truth-in-taxation-work-better/</t>
        </is>
      </c>
    </row>
    <row r="354" ht="30" customHeight="1">
      <c r="A354" s="13" t="inlineStr">
        <is>
          <t>Utah</t>
        </is>
      </c>
      <c r="B354" s="4" t="inlineStr">
        <is>
          <t>Analysis</t>
        </is>
      </c>
      <c r="C354" s="4" t="inlineStr">
        <is>
          <t>National group</t>
        </is>
      </c>
      <c r="D354" s="4" t="inlineStr">
        <is>
          <t>Tax Foundation</t>
        </is>
      </c>
      <c r="E354" s="4" t="n"/>
      <c r="F354" s="15" t="inlineStr">
        <is>
          <t>2026 State Tax Competitiveness Index</t>
        </is>
      </c>
      <c r="G354" s="4" t="inlineStr">
        <is>
          <t>Oct. 30, 2025</t>
        </is>
      </c>
      <c r="H354" s="4" t="inlineStr">
        <is>
          <t>2025-10-30</t>
        </is>
      </c>
      <c r="I354" s="4" t="inlineStr">
        <is>
          <t>Ranks Utah 15th overall and 14th on property tax.</t>
        </is>
      </c>
      <c r="J354" s="4" t="inlineStr">
        <is>
          <t>Free-market analyses column</t>
        </is>
      </c>
      <c r="K354" s="4" t="inlineStr">
        <is>
          <t>https://taxfoundation.org/research/all/state/2026-state-tax-competitiveness-index/</t>
        </is>
      </c>
    </row>
    <row r="355" ht="79" customHeight="1">
      <c r="A355" s="13" t="inlineStr">
        <is>
          <t>Utah</t>
        </is>
      </c>
      <c r="B355" s="4" t="inlineStr">
        <is>
          <t>Analysis</t>
        </is>
      </c>
      <c r="C355" s="4" t="inlineStr">
        <is>
          <t>National group</t>
        </is>
      </c>
      <c r="D355" s="4" t="inlineStr">
        <is>
          <t>National Taxpayers Union</t>
        </is>
      </c>
      <c r="E355" s="4" t="inlineStr">
        <is>
          <t>Matthew Putnam</t>
        </is>
      </c>
      <c r="F355" s="15" t="inlineStr">
        <is>
          <t>Opinion: Don't undermine 40 years of success with tax hikes</t>
        </is>
      </c>
      <c r="G355" s="4" t="inlineStr">
        <is>
          <t>Aug. 8, 2025</t>
        </is>
      </c>
      <c r="H355" s="4" t="inlineStr">
        <is>
          <t>2025-08-08</t>
        </is>
      </c>
      <c r="I355" s="4" t="inlineStr">
        <is>
          <t>Marks 40 years of Utah's 1985 Truth in Taxation law, "one of the most effective and long-standing property tax policies in the country," and cites Tax Foundation data that Utah had the seventh-lowest property tax in 2021 and the fourth-lowest effective rate in 2023. Argues assessment limits and other hard caps hamstring local governments or distort assessments, and urges taxpayers at the 2025 hearings to accept only projects "with a clearly defined public benefit, budgeted as tightly as possible."</t>
        </is>
      </c>
      <c r="J355" s="4" t="inlineStr">
        <is>
          <t>Free-market analyses column</t>
        </is>
      </c>
      <c r="K355" s="4" t="inlineStr">
        <is>
          <t>https://www.deseret.com/opinion/2025/08/08/utah-tax-hike-hurts-40-years-policy-success</t>
        </is>
      </c>
    </row>
    <row r="356" ht="79" customHeight="1">
      <c r="A356" s="13" t="inlineStr">
        <is>
          <t>Utah</t>
        </is>
      </c>
      <c r="B356" s="4" t="inlineStr">
        <is>
          <t>Analysis</t>
        </is>
      </c>
      <c r="C356" s="4" t="inlineStr">
        <is>
          <t>State group</t>
        </is>
      </c>
      <c r="D356" s="4" t="inlineStr">
        <is>
          <t>Utah Taxpayers Association</t>
        </is>
      </c>
      <c r="E356" s="4" t="inlineStr">
        <is>
          <t>Billy Hesterman</t>
        </is>
      </c>
      <c r="F356" s="15" t="inlineStr">
        <is>
          <t>President's Message June 2025 – Keeping Property Taxes Affordable</t>
        </is>
      </c>
      <c r="G356" s="4" t="inlineStr">
        <is>
          <t>May 29, 2025</t>
        </is>
      </c>
      <c r="H356" s="4" t="inlineStr">
        <is>
          <t>2025-05-29</t>
        </is>
      </c>
      <c r="I356" s="4" t="inlineStr">
        <is>
          <t>Opposes a Utah Republican Party convention resolution calling for a California-style acquisition-value system; under Truth in Taxation, Utah fell from 23rd highest in property tax collections per $1,000 of personal income in FY 1980 ($34.84) to 35th ($23.54). Points to school districts, which collected 59% of 2023 property taxes and grew collections from about $1.37 billion in FY2014 to $2.86 billion in FY2022 while enrollment rose 4.5%, and asks lawmakers and school boards to examine school budgets.</t>
        </is>
      </c>
      <c r="J356" s="4" t="inlineStr">
        <is>
          <t>Free-market analyses column</t>
        </is>
      </c>
      <c r="K356" s="4" t="inlineStr">
        <is>
          <t>https://utahtaxpayers.org/presidents-message-june-2025-keeping-property-taxes-affordable/</t>
        </is>
      </c>
    </row>
    <row r="357" ht="49" customHeight="1">
      <c r="A357" s="13" t="inlineStr">
        <is>
          <t>Utah</t>
        </is>
      </c>
      <c r="B357" s="4" t="inlineStr">
        <is>
          <t>Analysis</t>
        </is>
      </c>
      <c r="C357" s="4" t="inlineStr">
        <is>
          <t>State group</t>
        </is>
      </c>
      <c r="D357" s="4" t="inlineStr">
        <is>
          <t>Libertas Institute</t>
        </is>
      </c>
      <c r="E357" s="4" t="n"/>
      <c r="F357" s="15" t="inlineStr">
        <is>
          <t>SB 29: More “Truth” in Truth in Taxation</t>
        </is>
      </c>
      <c r="G357" s="4" t="inlineStr">
        <is>
          <t>Jan. 26, 2024</t>
        </is>
      </c>
      <c r="H357" s="4" t="inlineStr">
        <is>
          <t>2024-01-26</t>
        </is>
      </c>
      <c r="I357" s="4" t="inlineStr">
        <is>
          <t>Backs Sen. Chris Wilson's bill requiring notices of proposed increases to state the dollar amount the increase will raise and its primary purpose, with the same disclosure at the public hearing, and allowing county auditors to audit compliance. Calls the 1985 law "a success."</t>
        </is>
      </c>
      <c r="J357" s="4" t="inlineStr">
        <is>
          <t>Free-market analyses column</t>
        </is>
      </c>
      <c r="K357" s="4" t="inlineStr">
        <is>
          <t>https://libertas.institute/bill/sb-29-more-truth-in-truth-in-taxation/</t>
        </is>
      </c>
    </row>
    <row r="358" ht="64" customHeight="1">
      <c r="A358" s="13" t="inlineStr">
        <is>
          <t>Utah</t>
        </is>
      </c>
      <c r="B358" s="4" t="inlineStr">
        <is>
          <t>Analysis</t>
        </is>
      </c>
      <c r="C358" s="4" t="inlineStr">
        <is>
          <t>State group</t>
        </is>
      </c>
      <c r="D358" s="4" t="inlineStr">
        <is>
          <t>Libertas Institute</t>
        </is>
      </c>
      <c r="E358" s="4" t="inlineStr">
        <is>
          <t>Ben Shelton and Danny Harris (AARP Utah)</t>
        </is>
      </c>
      <c r="F358" s="15" t="inlineStr">
        <is>
          <t>Elderly people shouldn't become homeless because of property taxes</t>
        </is>
      </c>
      <c r="G358" s="4" t="inlineStr">
        <is>
          <t>Feb. 22, 2022</t>
        </is>
      </c>
      <c r="H358" s="4" t="inlineStr">
        <is>
          <t>2022-02-22</t>
        </is>
      </c>
      <c r="I358" s="4" t="inlineStr">
        <is>
          <t>Cites 2019 increases of 25% to 70% in Ogden and Brigham City and up to 130% in Charleston and Joseph, and backs SB 25, a deferral program letting homeowners 75 or older with income below $65,000 put off property taxes until the home is sold or transferred, repaid with interest. Argues the deferral protects county revenue and "does not create long-term costs to other taxpayers."</t>
        </is>
      </c>
      <c r="J358" s="4" t="inlineStr">
        <is>
          <t>Free-market analyses column</t>
        </is>
      </c>
      <c r="K358" s="4" t="inlineStr">
        <is>
          <t>https://libertas.institute/op-eds/elderly-people-shouldnt-become-homeless-because-of-property-taxes/</t>
        </is>
      </c>
    </row>
    <row r="359" ht="64" customHeight="1">
      <c r="A359" s="13" t="inlineStr">
        <is>
          <t>Utah</t>
        </is>
      </c>
      <c r="B359" s="4" t="inlineStr">
        <is>
          <t>Analysis</t>
        </is>
      </c>
      <c r="C359" s="4" t="inlineStr">
        <is>
          <t>National group</t>
        </is>
      </c>
      <c r="D359" s="4" t="inlineStr">
        <is>
          <t>American Legislative Exchange Council</t>
        </is>
      </c>
      <c r="E359" s="4" t="inlineStr">
        <is>
          <t>Sen. Howard Stephenson</t>
        </is>
      </c>
      <c r="F359" s="15" t="inlineStr">
        <is>
          <t>Utah's Truth-in-Taxation for Property Taxes</t>
        </is>
      </c>
      <c r="G359" s="4" t="inlineStr">
        <is>
          <t>July 23, 2019</t>
        </is>
      </c>
      <c r="H359" s="4" t="inlineStr">
        <is>
          <t>2019-07-23</t>
        </is>
      </c>
      <c r="I359" s="4" t="inlineStr">
        <is>
          <t>The defining explanation of the law: "Truth-in-Taxation is Utah's most taxpayer-friendly law," enacted in 1985 at the request of the Utah Taxpayers Association; the certified rate falls as values rise, and Utah moved from 24th to 36th in property taxes per $1,000 of personal income, though inflation-adjusted property taxes grew 132% while population grew 86%.</t>
        </is>
      </c>
      <c r="J359" s="4" t="inlineStr">
        <is>
          <t>Free-market analyses column</t>
        </is>
      </c>
      <c r="K359" s="4" t="inlineStr">
        <is>
          <t>https://alec.org/article/utahs-truth-in-taxation-for-property-taxes/</t>
        </is>
      </c>
    </row>
    <row r="360" ht="30" customHeight="1">
      <c r="A360" s="13" t="inlineStr">
        <is>
          <t>Utah</t>
        </is>
      </c>
      <c r="B360" s="4" t="inlineStr">
        <is>
          <t>Checked: no report since 2021</t>
        </is>
      </c>
      <c r="C360" s="4" t="inlineStr">
        <is>
          <t>State group</t>
        </is>
      </c>
      <c r="D360" s="4" t="inlineStr">
        <is>
          <t>Sutherland Institute</t>
        </is>
      </c>
      <c r="E360" s="4" t="n"/>
      <c r="F360" s="4" t="inlineStr">
        <is>
          <t>(no report found)</t>
        </is>
      </c>
      <c r="G360" s="4" t="n"/>
      <c r="H360" s="4" t="n"/>
      <c r="I360" s="4" t="inlineStr">
        <is>
          <t>Sutherland Institute (State Policy Network affiliate): no property tax report since 2021 was found.</t>
        </is>
      </c>
      <c r="J360" s="4" t="inlineStr">
        <is>
          <t>Free-market analyses column</t>
        </is>
      </c>
      <c r="K360" s="4" t="n"/>
    </row>
    <row r="361" ht="34" customHeight="1">
      <c r="A361" s="13" t="inlineStr">
        <is>
          <t>Utah</t>
        </is>
      </c>
      <c r="B361" s="4" t="inlineStr">
        <is>
          <t>Checked: no report since 2021</t>
        </is>
      </c>
      <c r="C361" s="4" t="inlineStr">
        <is>
          <t>State group</t>
        </is>
      </c>
      <c r="D361" s="4" t="inlineStr">
        <is>
          <t>Abundance Institute and Center for Growth and Opportunity</t>
        </is>
      </c>
      <c r="E361" s="4" t="n"/>
      <c r="F361" s="4" t="inlineStr">
        <is>
          <t>(no report found)</t>
        </is>
      </c>
      <c r="G361" s="4" t="n"/>
      <c r="H361" s="4" t="n"/>
      <c r="I361" s="4" t="inlineStr">
        <is>
          <t>Abundance Institute and Center for Growth and Opportunity (State Policy Network associates): no Utah property tax report since 2021 was found.</t>
        </is>
      </c>
      <c r="J361" s="4" t="inlineStr">
        <is>
          <t>Free-market analyses column</t>
        </is>
      </c>
      <c r="K361" s="4" t="n"/>
    </row>
    <row r="362" ht="49" customHeight="1">
      <c r="A362" s="13" t="inlineStr">
        <is>
          <t>Vermont</t>
        </is>
      </c>
      <c r="B362" s="4" t="inlineStr">
        <is>
          <t>Analysis</t>
        </is>
      </c>
      <c r="C362" s="4" t="inlineStr">
        <is>
          <t>State group</t>
        </is>
      </c>
      <c r="D362" s="4" t="inlineStr">
        <is>
          <t>Fiscal Alliance Foundation (State Policy Network affiliate)</t>
        </is>
      </c>
      <c r="E362" s="4" t="inlineStr">
        <is>
          <t>William Ruger and Jason Sorens</t>
        </is>
      </c>
      <c r="F362" s="15" t="inlineStr">
        <is>
          <t>Locked In: The Economic and Fiscal Effects of Vermont's Proposal 3</t>
        </is>
      </c>
      <c r="G362" s="4" t="inlineStr">
        <is>
          <t>Oct. 6, 2026</t>
        </is>
      </c>
      <c r="H362" s="4" t="inlineStr">
        <is>
          <t>2026-10-06</t>
        </is>
      </c>
      <c r="I362" s="4" t="inlineStr">
        <is>
          <t>White paper on the Nov. 3, 2026 collective-bargaining amendment; using $4.1 billion in state and local employee compensation as a base, it estimates $53 million to $135 million a year in added public-sector costs and $140 to $352 a year in higher property taxes on a $400,000 home.</t>
        </is>
      </c>
      <c r="J362" s="4" t="inlineStr">
        <is>
          <t>Free-market analyses column</t>
        </is>
      </c>
      <c r="K362" s="4" t="inlineStr">
        <is>
          <t>https://fiscalalliancefoundation.org/proposal3/</t>
        </is>
      </c>
    </row>
    <row r="363" ht="79" customHeight="1">
      <c r="A363" s="13" t="inlineStr">
        <is>
          <t>Vermont</t>
        </is>
      </c>
      <c r="B363" s="4" t="inlineStr">
        <is>
          <t>Analysis</t>
        </is>
      </c>
      <c r="C363" s="4" t="inlineStr">
        <is>
          <t>State group</t>
        </is>
      </c>
      <c r="D363" s="4" t="inlineStr">
        <is>
          <t>Fiscal Alliance Foundation</t>
        </is>
      </c>
      <c r="E363" s="4" t="n"/>
      <c r="F363" s="15" t="inlineStr">
        <is>
          <t>Vermont poll finds broad affordability concerns across party lines</t>
        </is>
      </c>
      <c r="G363" s="4" t="inlineStr">
        <is>
          <t>Sept. 3, 2026</t>
        </is>
      </c>
      <c r="H363" s="4" t="inlineStr">
        <is>
          <t>2026-09-03</t>
        </is>
      </c>
      <c r="I363" s="4" t="inlineStr">
        <is>
          <t>A poll of 600 Vermont voters (Advantage, Inc., Aug. 24-27, 2026) finds 61% say household income is not keeping pace with costs that include housing and property taxes, and 42.5% say Vermont spends too much on public education after seeing per-pupil spending, property tax and outcome data. Seventy percent say tax relief means reducing the taxes people pay, while 30% count slower increases; Executive Director Paul Diego Craney says lowering the burden "requires reduced spending."</t>
        </is>
      </c>
      <c r="J363" s="4" t="inlineStr">
        <is>
          <t>Free-market analyses column</t>
        </is>
      </c>
      <c r="K363" s="4" t="inlineStr">
        <is>
          <t>https://fiscalalliancefoundation.org/vermont-affordability-poll</t>
        </is>
      </c>
    </row>
    <row r="364" ht="79" customHeight="1">
      <c r="A364" s="13" t="inlineStr">
        <is>
          <t>Vermont</t>
        </is>
      </c>
      <c r="B364" s="4" t="inlineStr">
        <is>
          <t>Analysis</t>
        </is>
      </c>
      <c r="C364" s="4" t="inlineStr">
        <is>
          <t>State group</t>
        </is>
      </c>
      <c r="D364" s="4" t="inlineStr">
        <is>
          <t>Americans for Prosperity</t>
        </is>
      </c>
      <c r="E364" s="4" t="n"/>
      <c r="F364" s="15" t="inlineStr">
        <is>
          <t>AFP Responds to Governor Phil Scott's State of the State Address</t>
        </is>
      </c>
      <c r="G364" s="4" t="inlineStr">
        <is>
          <t>Jan. 8, 2026</t>
        </is>
      </c>
      <c r="H364" s="4" t="inlineStr">
        <is>
          <t>2026-01-08</t>
        </is>
      </c>
      <c r="I364" s="4" t="inlineStr">
        <is>
          <t>Northeast Region Director Ross Connolly says the status quo in Vermont education is unsustainable for students and taxpayers and that "meaningful tax relief must be provided to Vermont families"; calls for reforms that let funding follow students and reduce spending waste "while simultaneously keeping property taxes in check," and says redistricting school districts alone will not remove the burden on property owners.</t>
        </is>
      </c>
      <c r="J364" s="4" t="inlineStr">
        <is>
          <t>Free-market analyses column</t>
        </is>
      </c>
      <c r="K364" s="4" t="inlineStr">
        <is>
          <t>https://americansforprosperity.org/press-release/afp-responds-to-governor-phil-scotts-state-of-the-state-address/</t>
        </is>
      </c>
    </row>
    <row r="365" ht="34" customHeight="1">
      <c r="A365" s="13" t="inlineStr">
        <is>
          <t>Vermont</t>
        </is>
      </c>
      <c r="B365" s="4" t="inlineStr">
        <is>
          <t>Analysis</t>
        </is>
      </c>
      <c r="C365" s="4" t="inlineStr">
        <is>
          <t>State group</t>
        </is>
      </c>
      <c r="D365" s="4" t="inlineStr">
        <is>
          <t>Fiscal Alliance Foundation</t>
        </is>
      </c>
      <c r="E365" s="4" t="n"/>
      <c r="F365" s="15" t="inlineStr">
        <is>
          <t>Vermont chapter launch page</t>
        </is>
      </c>
      <c r="G365" s="4" t="inlineStr">
        <is>
          <t>2026</t>
        </is>
      </c>
      <c r="H365" s="4" t="inlineStr">
        <is>
          <t>2026-00-00</t>
        </is>
      </c>
      <c r="I365" s="4" t="inlineStr">
        <is>
          <t>Says Vermont property taxes "have increased 30% faster than the national average to pay for a system that is broken" and calls for fiscal accountability in education finance.</t>
        </is>
      </c>
      <c r="J365" s="4" t="inlineStr">
        <is>
          <t>Free-market analyses column</t>
        </is>
      </c>
      <c r="K365" s="4" t="inlineStr">
        <is>
          <t>https://fiscalalliancefoundation.org/vermont.html</t>
        </is>
      </c>
    </row>
    <row r="366" ht="79" customHeight="1">
      <c r="A366" s="13" t="inlineStr">
        <is>
          <t>Vermont</t>
        </is>
      </c>
      <c r="B366" s="4" t="inlineStr">
        <is>
          <t>Analysis</t>
        </is>
      </c>
      <c r="C366" s="4" t="inlineStr">
        <is>
          <t>Legislators &amp; officials</t>
        </is>
      </c>
      <c r="D366" s="4" t="inlineStr">
        <is>
          <t>Vermont Senate and House Republican leaders</t>
        </is>
      </c>
      <c r="E366" s="4" t="inlineStr">
        <is>
          <t>Sen. Scott Beck and Rep. Pattie McCoy</t>
        </is>
      </c>
      <c r="F366" s="15" t="inlineStr">
        <is>
          <t>House and Senate Response to Education Tax Letter</t>
        </is>
      </c>
      <c r="G366" s="4" t="inlineStr">
        <is>
          <t>Dec. 1, 2025</t>
        </is>
      </c>
      <c r="H366" s="4" t="inlineStr">
        <is>
          <t>2025-12-01</t>
        </is>
      </c>
      <c r="I366" s="4" t="inlineStr">
        <is>
          <t>Responding to the projected 11.9% average education property tax increase, with school spending up $115 million and per-pupil spending up nearly $1,000 (6.8%), they say the increases are "more than double inflation" and that Vermonters see "diminishing returns" despite nearly the highest per-pupil spending in the nation and the country's highest staffing ratio (3.4:1). Call the Act 73 foundation formula "a step in the right direction." Statement printed in Vermont Business Magazine.</t>
        </is>
      </c>
      <c r="J366" s="4" t="inlineStr">
        <is>
          <t>Free-market analyses column</t>
        </is>
      </c>
      <c r="K366" s="4" t="inlineStr">
        <is>
          <t>https://vermontbiz.com/node/240664</t>
        </is>
      </c>
    </row>
    <row r="367" ht="30" customHeight="1">
      <c r="A367" s="13" t="inlineStr">
        <is>
          <t>Vermont</t>
        </is>
      </c>
      <c r="B367" s="4" t="inlineStr">
        <is>
          <t>Analysis</t>
        </is>
      </c>
      <c r="C367" s="4" t="inlineStr">
        <is>
          <t>National group</t>
        </is>
      </c>
      <c r="D367" s="4" t="inlineStr">
        <is>
          <t>Tax Foundation</t>
        </is>
      </c>
      <c r="E367" s="4" t="n"/>
      <c r="F367" s="15" t="inlineStr">
        <is>
          <t>2026 State Tax Competitiveness Index</t>
        </is>
      </c>
      <c r="G367" s="4" t="inlineStr">
        <is>
          <t>Oct. 30, 2025</t>
        </is>
      </c>
      <c r="H367" s="4" t="inlineStr">
        <is>
          <t>2025-10-30</t>
        </is>
      </c>
      <c r="I367" s="4" t="inlineStr">
        <is>
          <t>Ranks Vermont 42nd overall and 50th, the worst, on property tax.</t>
        </is>
      </c>
      <c r="J367" s="4" t="inlineStr">
        <is>
          <t>Free-market analyses column</t>
        </is>
      </c>
      <c r="K367" s="4" t="inlineStr">
        <is>
          <t>https://taxfoundation.org/research/all/state/2026-state-tax-competitiveness-index/</t>
        </is>
      </c>
    </row>
    <row r="368" ht="49" customHeight="1">
      <c r="A368" s="13" t="inlineStr">
        <is>
          <t>Vermont</t>
        </is>
      </c>
      <c r="B368" s="4" t="inlineStr">
        <is>
          <t>Analysis</t>
        </is>
      </c>
      <c r="C368" s="4" t="inlineStr">
        <is>
          <t>State group</t>
        </is>
      </c>
      <c r="D368" s="4" t="inlineStr">
        <is>
          <t>Ethan Allen Institute</t>
        </is>
      </c>
      <c r="E368" s="4" t="inlineStr">
        <is>
          <t>David Flemming</t>
        </is>
      </c>
      <c r="F368" s="15" t="inlineStr">
        <is>
          <t>Property Tax Limits: a Modest Proposal from 46 States</t>
        </is>
      </c>
      <c r="G368" s="4" t="inlineStr">
        <is>
          <t>July 16, 2021</t>
        </is>
      </c>
      <c r="H368" s="4" t="inlineStr">
        <is>
          <t>2021-07-16</t>
        </is>
      </c>
      <c r="I368" s="4" t="inlineStr">
        <is>
          <t>Notes Vermont is one of four states with no property tax limit (with Hawaii, New Hampshire and Tennessee) and has the fourth-highest property tax rate (1.76%, Tax Foundation); urges adopting a rate, levy or assessment limit as a first step.</t>
        </is>
      </c>
      <c r="J368" s="4" t="inlineStr">
        <is>
          <t>Free-market analyses column</t>
        </is>
      </c>
      <c r="K368" s="4" t="inlineStr">
        <is>
          <t>https://www.ethanallen.org/a_modest_proposal_from_46_states_property_tax_limitations</t>
        </is>
      </c>
    </row>
    <row r="369" ht="64" customHeight="1">
      <c r="A369" s="13" t="inlineStr">
        <is>
          <t>Virginia</t>
        </is>
      </c>
      <c r="B369" s="4" t="inlineStr">
        <is>
          <t>Analysis</t>
        </is>
      </c>
      <c r="C369" s="4" t="inlineStr">
        <is>
          <t>State group</t>
        </is>
      </c>
      <c r="D369" s="4" t="inlineStr">
        <is>
          <t>Jefferson Forum</t>
        </is>
      </c>
      <c r="E369" s="4" t="inlineStr">
        <is>
          <t>Derrick A. Max</t>
        </is>
      </c>
      <c r="F369" s="15" t="inlineStr">
        <is>
          <t>Data Center Misinformation is Killing the Golden Goose</t>
        </is>
      </c>
      <c r="G369" s="4" t="inlineStr">
        <is>
          <t>August 15, 2026</t>
        </is>
      </c>
      <c r="H369" s="4" t="inlineStr">
        <is>
          <t>2026-08-15</t>
        </is>
      </c>
      <c r="I369" s="4" t="inlineStr">
        <is>
          <t>Argues that data centers "reduce pressure on residential property taxes": data center receipts let Loudoun County cut residential rates, and without that commercial base the average Loudoun homeowner would face an estimated $5,800 increase in the annual tax bill. It cites more than $2 billion in local tax revenue from data centers in Northern Virginia in 2024.</t>
        </is>
      </c>
      <c r="J369" s="4" t="inlineStr">
        <is>
          <t>Free-market analyses column</t>
        </is>
      </c>
      <c r="K369" s="4" t="inlineStr">
        <is>
          <t>https://www.jeffersonforum.org/data-center-misinformation-is-killing-the-golden-goose/</t>
        </is>
      </c>
    </row>
    <row r="370" ht="64" customHeight="1">
      <c r="A370" s="13" t="inlineStr">
        <is>
          <t>Virginia</t>
        </is>
      </c>
      <c r="B370" s="4" t="inlineStr">
        <is>
          <t>Analysis</t>
        </is>
      </c>
      <c r="C370" s="4" t="inlineStr">
        <is>
          <t>State group</t>
        </is>
      </c>
      <c r="D370" s="4" t="inlineStr">
        <is>
          <t>Jefferson Forum</t>
        </is>
      </c>
      <c r="E370" s="4" t="inlineStr">
        <is>
          <t>Stephen D. Haner</t>
        </is>
      </c>
      <c r="F370" s="15" t="inlineStr">
        <is>
          <t>First They Came for the Data Centers, But Will It Stop There?</t>
        </is>
      </c>
      <c r="G370" s="4" t="inlineStr">
        <is>
          <t>March 1, 2026</t>
        </is>
      </c>
      <c r="H370" s="4" t="inlineStr">
        <is>
          <t>2026-03-01</t>
        </is>
      </c>
      <c r="I370" s="4" t="inlineStr">
        <is>
          <t>Warns that 2026 General Assembly plans to end or condition the data center sales tax exemption would slow new building and shrink local revenue, because installed equipment owes annual personal property tax; Haner calls that tax "the real golden egg they produce for Virginia’s cities and counties" and says the Department of Taxation found the taxes paid far exceed the value of the exemption.</t>
        </is>
      </c>
      <c r="J370" s="4" t="inlineStr">
        <is>
          <t>Free-market analyses column</t>
        </is>
      </c>
      <c r="K370" s="4" t="inlineStr">
        <is>
          <t>https://www.jeffersonforum.org/first-they-came-for-the-data-centers-but-will-it-stop-there/</t>
        </is>
      </c>
    </row>
    <row r="371" ht="49" customHeight="1">
      <c r="A371" s="13" t="inlineStr">
        <is>
          <t>Virginia</t>
        </is>
      </c>
      <c r="B371" s="4" t="inlineStr">
        <is>
          <t>Analysis</t>
        </is>
      </c>
      <c r="C371" s="4" t="inlineStr">
        <is>
          <t>Legislators &amp; officials</t>
        </is>
      </c>
      <c r="D371" s="4" t="inlineStr">
        <is>
          <t>Virginia House Republicans</t>
        </is>
      </c>
      <c r="E371" s="4" t="n"/>
      <c r="F371" s="15" t="inlineStr">
        <is>
          <t>House Republicans Roll Out Affordability Done Right Agenda to Lower Costs for Virginians</t>
        </is>
      </c>
      <c r="G371" s="4" t="inlineStr">
        <is>
          <t>January 19, 2026</t>
        </is>
      </c>
      <c r="H371" s="4" t="inlineStr">
        <is>
          <t>2026-01-19</t>
        </is>
      </c>
      <c r="I371" s="4" t="inlineStr">
        <is>
          <t>The caucus agenda includes car tax relief; Del. Joe McNamara says families "were promised a full repeal of the car tax up to $20,000, and the General Assembly broke that promise," and Leader Terry Kilgore cites a $1.2 billion surplus in the first half of the fiscal year as room for tax relief.</t>
        </is>
      </c>
      <c r="J371" s="4" t="inlineStr">
        <is>
          <t>Free-market analyses column</t>
        </is>
      </c>
      <c r="K371" s="4" t="inlineStr">
        <is>
          <t>https://virginiahouse.gop/2026/01/19/house-republicans-roll-out-affordability-done-right-agenda-to-lower-costs-for-virginians/</t>
        </is>
      </c>
    </row>
    <row r="372" ht="64" customHeight="1">
      <c r="A372" s="13" t="inlineStr">
        <is>
          <t>Virginia</t>
        </is>
      </c>
      <c r="B372" s="4" t="inlineStr">
        <is>
          <t>Analysis</t>
        </is>
      </c>
      <c r="C372" s="4" t="inlineStr">
        <is>
          <t>State group</t>
        </is>
      </c>
      <c r="D372" s="4" t="inlineStr">
        <is>
          <t>Thomas Jefferson Institute for Public Policy (merged into the Jefferson Forum in 2026)</t>
        </is>
      </c>
      <c r="E372" s="4" t="n"/>
      <c r="F372" s="15" t="inlineStr">
        <is>
          <t>Standard Deductions, Opportunity Scholarships and Car Taxes: Gov. Youngkin Proposes Three of TJI's Key Policy Priorities</t>
        </is>
      </c>
      <c r="G372" s="4" t="inlineStr">
        <is>
          <t>December 19, 2024</t>
        </is>
      </c>
      <c r="H372" s="4" t="inlineStr">
        <is>
          <t>2024-12-19</t>
        </is>
      </c>
      <c r="I372" s="4" t="inlineStr">
        <is>
          <t>Backs Gov. Youngkin's proposed permanent, refundable income tax credit equal to local property tax paid on personal-use vehicles, up to $150 ($300 for joint filers), for filers earning under $50,000 ($100,000 joint); the credit "is limited to Virginians living in jurisdictions where the tax credit is not increased by more than 2.5 percent annually." It notes a $4.7 billion current and projected state surplus.</t>
        </is>
      </c>
      <c r="J372" s="4" t="inlineStr">
        <is>
          <t>Free-market analyses column</t>
        </is>
      </c>
      <c r="K372" s="4" t="inlineStr">
        <is>
          <t>https://www.thomasjeffersoninst.org/standard-deductions-opportunity-scholarships-and-car-taxes-gov-youngkin-proposes-three-of-tjis-key-policy-priorities/</t>
        </is>
      </c>
    </row>
    <row r="373" ht="49" customHeight="1">
      <c r="A373" s="13" t="inlineStr">
        <is>
          <t>Virginia</t>
        </is>
      </c>
      <c r="B373" s="4" t="inlineStr">
        <is>
          <t>Analysis</t>
        </is>
      </c>
      <c r="C373" s="4" t="inlineStr">
        <is>
          <t>State group</t>
        </is>
      </c>
      <c r="D373" s="4" t="inlineStr">
        <is>
          <t>Thomas Jefferson Institute for Public Policy</t>
        </is>
      </c>
      <c r="E373" s="4" t="inlineStr">
        <is>
          <t>Kimberly Pinter and Callahan Burton</t>
        </is>
      </c>
      <c r="F373" s="15" t="inlineStr">
        <is>
          <t>It's Car Tax Day, Let's Move Forward on Governor Gilmore's 'No Car Tax' Pledge</t>
        </is>
      </c>
      <c r="G373" s="4" t="inlineStr">
        <is>
          <t>October 7, 2024</t>
        </is>
      </c>
      <c r="H373" s="4" t="inlineStr">
        <is>
          <t>2024-10-07</t>
        </is>
      </c>
      <c r="I373" s="4" t="inlineStr">
        <is>
          <t>Says Virginians pay the highest car tax rate in the country, an average effective rate of 4.05% and an average annual bill of $1,011; recounts how state relief rose from 12.5% in 1998 to 70%, was frozen at 70% in 2002 and capped at $950 million a year from 2006, and urges finishing the "No Car Tax" pledge.</t>
        </is>
      </c>
      <c r="J373" s="4" t="inlineStr">
        <is>
          <t>Free-market analyses column</t>
        </is>
      </c>
      <c r="K373" s="4" t="inlineStr">
        <is>
          <t>https://www.thomasjeffersoninst.org/its-car-tax-day-lets-move-forward-on-governor-gilmores-no-car-tax-pledge/</t>
        </is>
      </c>
    </row>
    <row r="374" ht="34" customHeight="1">
      <c r="A374" s="13" t="inlineStr">
        <is>
          <t>Virginia</t>
        </is>
      </c>
      <c r="B374" s="4" t="inlineStr">
        <is>
          <t>Checked: no report since 2021</t>
        </is>
      </c>
      <c r="C374" s="4" t="inlineStr">
        <is>
          <t>State group</t>
        </is>
      </c>
      <c r="D374" s="4" t="inlineStr">
        <is>
          <t>Virginia Institute for Public Policy</t>
        </is>
      </c>
      <c r="E374" s="4" t="n"/>
      <c r="F374" s="4" t="inlineStr">
        <is>
          <t>(no report found)</t>
        </is>
      </c>
      <c r="G374" s="4" t="n"/>
      <c r="H374" s="4" t="n"/>
      <c r="I374" s="4" t="inlineStr">
        <is>
          <t>Virginia Institute for Public Policy (State Policy Network affiliate): no property tax report since 2021 was found.</t>
        </is>
      </c>
      <c r="J374" s="4" t="inlineStr">
        <is>
          <t>Free-market analyses column</t>
        </is>
      </c>
      <c r="K374" s="4" t="n"/>
    </row>
    <row r="375" ht="79" customHeight="1">
      <c r="A375" s="13" t="inlineStr">
        <is>
          <t>Washington</t>
        </is>
      </c>
      <c r="B375" s="4" t="inlineStr">
        <is>
          <t>Analysis</t>
        </is>
      </c>
      <c r="C375" s="4" t="inlineStr">
        <is>
          <t>Legislators &amp; officials</t>
        </is>
      </c>
      <c r="D375" s="4" t="inlineStr">
        <is>
          <t>Washington State House Republicans</t>
        </is>
      </c>
      <c r="E375" s="4" t="n"/>
      <c r="F375" s="15" t="inlineStr">
        <is>
          <t>The largest tax increase in state history: How Democrats are taxing you</t>
        </is>
      </c>
      <c r="G375" s="4" t="inlineStr">
        <is>
          <t>March 18, 2026</t>
        </is>
      </c>
      <c r="H375" s="4" t="inlineStr">
        <is>
          <t>2026-03-18</t>
        </is>
      </c>
      <c r="I375" s="4" t="inlineStr">
        <is>
          <t>Lists property tax measures adopted in 2025, including HB 2049, which "Increased the property tax levy authority of local school districts by 55%," and HB 1488, which raised the rate counties may levy for conservation districts; among bills it says Republicans helped stop, it lists HB 1334, which "Triples the property tax growth limit," and a new county property tax for public health clinics "not subject to aggregate statutory limits."</t>
        </is>
      </c>
      <c r="J375" s="4" t="inlineStr">
        <is>
          <t>Free-market analyses column</t>
        </is>
      </c>
      <c r="K375" s="4" t="inlineStr">
        <is>
          <t>https://houserepublicans.wa.gov/how-democrats-are-taxing-you/</t>
        </is>
      </c>
    </row>
    <row r="376" ht="49" customHeight="1">
      <c r="A376" s="13" t="inlineStr">
        <is>
          <t>Washington</t>
        </is>
      </c>
      <c r="B376" s="4" t="inlineStr">
        <is>
          <t>Analysis</t>
        </is>
      </c>
      <c r="C376" s="4" t="inlineStr">
        <is>
          <t>Legislators &amp; officials</t>
        </is>
      </c>
      <c r="D376" s="4" t="inlineStr">
        <is>
          <t>Washington State House Republicans</t>
        </is>
      </c>
      <c r="E376" s="4" t="n"/>
      <c r="F376" s="15" t="inlineStr">
        <is>
          <t>Tax increases passed by Democrats</t>
        </is>
      </c>
      <c r="G376" s="4" t="inlineStr">
        <is>
          <t>January 22, 2026</t>
        </is>
      </c>
      <c r="H376" s="4" t="inlineStr">
        <is>
          <t>2026-01-22</t>
        </is>
      </c>
      <c r="I376" s="4" t="inlineStr">
        <is>
          <t>Tallies $131.2 billion in 10-year estimated tax increases since 2017, including HB 2049 (2025), which "Increases the property tax limit for large school districts," at $5.755 billion; SB 5313 (2020) local school levies at $7 billion; and the 2017 McCleary property tax increase (HB 2242) at $13 billion.</t>
        </is>
      </c>
      <c r="J376" s="4" t="inlineStr">
        <is>
          <t>Free-market analyses column</t>
        </is>
      </c>
      <c r="K376" s="4" t="inlineStr">
        <is>
          <t>https://houserepublicans.wa.gov/tax-increases/</t>
        </is>
      </c>
    </row>
    <row r="377" ht="79" customHeight="1">
      <c r="A377" s="13" t="inlineStr">
        <is>
          <t>Washington</t>
        </is>
      </c>
      <c r="B377" s="4" t="inlineStr">
        <is>
          <t>Analysis</t>
        </is>
      </c>
      <c r="C377" s="4" t="inlineStr">
        <is>
          <t>Legislators &amp; officials</t>
        </is>
      </c>
      <c r="D377" s="4" t="inlineStr">
        <is>
          <t>Washington State Senate Republican Caucus</t>
        </is>
      </c>
      <c r="E377" s="4" t="n"/>
      <c r="F377" s="15" t="inlineStr">
        <is>
          <t>Democrat legislators still on track for supporting property-tax hikes, just by a different route</t>
        </is>
      </c>
      <c r="G377" s="4" t="inlineStr">
        <is>
          <t>April 21, 2025</t>
        </is>
      </c>
      <c r="H377" s="4" t="inlineStr">
        <is>
          <t>2025-04-21</t>
        </is>
      </c>
      <c r="I377" s="4" t="inlineStr">
        <is>
          <t>Says that after Democrats dropped the plan to triple the 1% annual cap, HB 2049 would still raise the school levy cap, with areas outside Seattle facing an increase of "nearly 20% next year and 55% over the next 6 years"; Sen. Nikki Torres says the amended bill raises levy authority by $500 per pupil above inflation in the first year and 3.3% above inflation after that, and Leader John Braun warns it risks a "McCleary 2.0" lawsuit.</t>
        </is>
      </c>
      <c r="J377" s="4" t="inlineStr">
        <is>
          <t>Free-market analyses column</t>
        </is>
      </c>
      <c r="K377" s="4" t="inlineStr">
        <is>
          <t>https://src.wastateleg.org/?p=23212</t>
        </is>
      </c>
    </row>
    <row r="378" ht="49" customHeight="1">
      <c r="A378" s="13" t="inlineStr">
        <is>
          <t>Washington</t>
        </is>
      </c>
      <c r="B378" s="4" t="inlineStr">
        <is>
          <t>Analysis</t>
        </is>
      </c>
      <c r="C378" s="4" t="inlineStr">
        <is>
          <t>State group</t>
        </is>
      </c>
      <c r="D378" s="4" t="inlineStr">
        <is>
          <t>Citizen Action Defense Fund</t>
        </is>
      </c>
      <c r="E378" s="4" t="n"/>
      <c r="F378" s="15" t="inlineStr">
        <is>
          <t>Back . . . Back in the Northwest Groove!!</t>
        </is>
      </c>
      <c r="G378" s="4" t="inlineStr">
        <is>
          <t>April 4, 2025</t>
        </is>
      </c>
      <c r="H378" s="4" t="inlineStr">
        <is>
          <t>2025-04-04</t>
        </is>
      </c>
      <c r="I378" s="4" t="inlineStr">
        <is>
          <t>Reviewing the 2025 session against a forecast $10 billion to $16 billion four-year shortfall, it warns that a proposed wealth tax combined with "pushes to remove the 5% and 1% caps on payroll and property taxes, respectively," makes "a perfect recipe for wealth and brain drain."</t>
        </is>
      </c>
      <c r="J378" s="4" t="inlineStr">
        <is>
          <t>Free-market analyses column</t>
        </is>
      </c>
      <c r="K378" s="4" t="inlineStr">
        <is>
          <t>https://citizenactiondefense.org/back-back-in-the-northwest-groove/</t>
        </is>
      </c>
    </row>
    <row r="379" ht="64" customHeight="1">
      <c r="A379" s="13" t="inlineStr">
        <is>
          <t>Washington</t>
        </is>
      </c>
      <c r="B379" s="4" t="inlineStr">
        <is>
          <t>Analysis</t>
        </is>
      </c>
      <c r="C379" s="4" t="inlineStr">
        <is>
          <t>State group</t>
        </is>
      </c>
      <c r="D379" s="4" t="inlineStr">
        <is>
          <t>Washington Policy Center</t>
        </is>
      </c>
      <c r="E379" s="4" t="inlineStr">
        <is>
          <t>Mark Harmsworth</t>
        </is>
      </c>
      <c r="F379" s="15" t="inlineStr">
        <is>
          <t>Senate Bill 5798 is a massive tax increase on the homeowners of Washington</t>
        </is>
      </c>
      <c r="G379" s="4" t="inlineStr">
        <is>
          <t>March 28, 2025</t>
        </is>
      </c>
      <c r="H379" s="4" t="inlineStr">
        <is>
          <t>2025-03-28</t>
        </is>
      </c>
      <c r="I379" s="4" t="inlineStr">
        <is>
          <t>Argues that SB 5798's limit factor, the greater of 101% or 100% plus population change and inflation, would dismantle the 1% cap that voters approved 58% to 42% in Initiative 747 (2001), noting that cities and counties could raise property taxes 6% a year before it; he writes that he served seven years on a city council under the 1% rule without voting to raise property taxes.</t>
        </is>
      </c>
      <c r="J379" s="4" t="inlineStr">
        <is>
          <t>Free-market analyses column</t>
        </is>
      </c>
      <c r="K379" s="4" t="inlineStr">
        <is>
          <t>https://washingtonpolicy.org/publications/detail/senate-bill-5798-is-a-massive-tax-increase-on-the-homeowners-of-washington</t>
        </is>
      </c>
    </row>
    <row r="380" ht="49" customHeight="1">
      <c r="A380" s="13" t="inlineStr">
        <is>
          <t>Washington</t>
        </is>
      </c>
      <c r="B380" s="4" t="inlineStr">
        <is>
          <t>Analysis</t>
        </is>
      </c>
      <c r="C380" s="4" t="inlineStr">
        <is>
          <t>State group</t>
        </is>
      </c>
      <c r="D380" s="4" t="inlineStr">
        <is>
          <t>Mountain States Policy Center</t>
        </is>
      </c>
      <c r="E380" s="4" t="n"/>
      <c r="F380" s="15" t="inlineStr">
        <is>
          <t>Washington lawmakers propose billions in new tax increases</t>
        </is>
      </c>
      <c r="G380" s="4" t="inlineStr">
        <is>
          <t>March 24, 2025</t>
        </is>
      </c>
      <c r="H380" s="4" t="inlineStr">
        <is>
          <t>2025-03-24</t>
        </is>
      </c>
      <c r="I380" s="4" t="inlineStr">
        <is>
          <t>Citing the Washington Research Council, it reports that the Senate Democrats' 2025-27 revenue plan would raise the property tax growth limit for $779 million over four years, alongside a $12 billion wealth tax and a $6.9 billion payroll expense tax.</t>
        </is>
      </c>
      <c r="J380" s="4" t="inlineStr">
        <is>
          <t>Free-market analyses column</t>
        </is>
      </c>
      <c r="K380" s="4" t="inlineStr">
        <is>
          <t>https://www.mountainstatespolicy.org/post/washington-lawmakers-propose-billions-in-new-tax-increases</t>
        </is>
      </c>
    </row>
    <row r="381" ht="79" customHeight="1">
      <c r="A381" s="13" t="inlineStr">
        <is>
          <t>Washington</t>
        </is>
      </c>
      <c r="B381" s="4" t="inlineStr">
        <is>
          <t>Analysis</t>
        </is>
      </c>
      <c r="C381" s="4" t="inlineStr">
        <is>
          <t>State group</t>
        </is>
      </c>
      <c r="D381" s="4" t="inlineStr">
        <is>
          <t>Washington Policy Center</t>
        </is>
      </c>
      <c r="E381" s="4" t="inlineStr">
        <is>
          <t>Mark Harmsworth</t>
        </is>
      </c>
      <c r="F381" s="15" t="inlineStr">
        <is>
          <t>House Bill 1334 would allow municipalities to increase property taxes significantly</t>
        </is>
      </c>
      <c r="G381" s="4" t="inlineStr">
        <is>
          <t>January 23, 2025</t>
        </is>
      </c>
      <c r="H381" s="4" t="inlineStr">
        <is>
          <t>2025-01-23</t>
        </is>
      </c>
      <c r="I381" s="4" t="inlineStr">
        <is>
          <t>HB 1334 would switch the levy limit's inflation measure from the implicit price deflator to the Consumer Price Index, which typically runs 2% to 2.4% a year, and add up to 3% for population growth, so it estimates local property taxes could rise 5% to 6% a year depending on inflation and population. It notes that SB 5570, which would have removed the 1% cap set by Initiative 747 (2001), failed in the Senate in 2024.</t>
        </is>
      </c>
      <c r="J381" s="4" t="inlineStr">
        <is>
          <t>Free-market analyses column</t>
        </is>
      </c>
      <c r="K381" s="4" t="inlineStr">
        <is>
          <t>https://www.washingtonpolicy.org/publications/detail/house-bill-1334-would-allow-municipalities-to-increase-property-taxes-significantly</t>
        </is>
      </c>
    </row>
    <row r="382" ht="34" customHeight="1">
      <c r="A382" s="13" t="inlineStr">
        <is>
          <t>Washington</t>
        </is>
      </c>
      <c r="B382" s="4" t="inlineStr">
        <is>
          <t>Checked: no report since 2021</t>
        </is>
      </c>
      <c r="C382" s="4" t="inlineStr">
        <is>
          <t>State group</t>
        </is>
      </c>
      <c r="D382" s="4" t="inlineStr">
        <is>
          <t>Freedom Foundation</t>
        </is>
      </c>
      <c r="E382" s="4" t="n"/>
      <c r="F382" s="4" t="inlineStr">
        <is>
          <t>(no report found)</t>
        </is>
      </c>
      <c r="G382" s="4" t="n"/>
      <c r="H382" s="4" t="n"/>
      <c r="I382" s="4" t="inlineStr">
        <is>
          <t>Freedom Foundation (State Policy Network affiliate): no property tax report since 2021 was found; its Washington tax work covers the capital gains tax and the 2026 millionaire tax.</t>
        </is>
      </c>
      <c r="J382" s="4" t="inlineStr">
        <is>
          <t>Free-market analyses column</t>
        </is>
      </c>
      <c r="K382" s="4" t="n"/>
    </row>
    <row r="383" ht="64" customHeight="1">
      <c r="A383" s="13" t="inlineStr">
        <is>
          <t>West Virginia</t>
        </is>
      </c>
      <c r="B383" s="4" t="inlineStr">
        <is>
          <t>Analysis</t>
        </is>
      </c>
      <c r="C383" s="4" t="inlineStr">
        <is>
          <t>State group</t>
        </is>
      </c>
      <c r="D383" s="4" t="inlineStr">
        <is>
          <t>Cardinal Institute for West Virginia Policy</t>
        </is>
      </c>
      <c r="E383" s="4" t="n"/>
      <c r="F383" s="15" t="inlineStr">
        <is>
          <t>How K-12 Funding Works in West Virginia</t>
        </is>
      </c>
      <c r="G383" s="4" t="inlineStr">
        <is>
          <t>February 17, 2026</t>
        </is>
      </c>
      <c r="H383" s="4" t="inlineStr">
        <is>
          <t>2026-02-17</t>
        </is>
      </c>
      <c r="I383" s="4" t="inlineStr">
        <is>
          <t>A one-pager on the Hope Scholarship finds that property taxes and county levies average $5,000 to $6,000 per student and stay with the district when a student leaves, while only the state formula share of $7,000 to $9,000 follows the student. Its message for local taxpayers: "Hope Scholarships do not reduce local or federal resources."</t>
        </is>
      </c>
      <c r="J383" s="4" t="inlineStr">
        <is>
          <t>Free-market analyses column</t>
        </is>
      </c>
      <c r="K383" s="4" t="inlineStr">
        <is>
          <t>https://cardinalinstitute.com/research/how-k-12-funding-works-in-west-virginia/</t>
        </is>
      </c>
    </row>
    <row r="384" ht="64" customHeight="1">
      <c r="A384" s="13" t="inlineStr">
        <is>
          <t>West Virginia</t>
        </is>
      </c>
      <c r="B384" s="4" t="inlineStr">
        <is>
          <t>Analysis</t>
        </is>
      </c>
      <c r="C384" s="4" t="inlineStr">
        <is>
          <t>National group</t>
        </is>
      </c>
      <c r="D384" s="4" t="inlineStr">
        <is>
          <t>Tax Foundation</t>
        </is>
      </c>
      <c r="E384" s="4" t="inlineStr">
        <is>
          <t>Abir Mandal</t>
        </is>
      </c>
      <c r="F384" s="15" t="inlineStr">
        <is>
          <t>Good Policy Leads to More Tax Cuts for West Virginia</t>
        </is>
      </c>
      <c r="G384" s="4" t="inlineStr">
        <is>
          <t>July 26, 2024</t>
        </is>
      </c>
      <c r="H384" s="4" t="inlineStr">
        <is>
          <t>2024-07-26</t>
        </is>
      </c>
      <c r="I384" s="4" t="inlineStr">
        <is>
          <t>Notes that many lawmakers are frustrated with Gov. Jim Justice's opposition to structural reforms, "including tackling the state's tangible personal property tax," and says the state, 22nd on the State Business Tax Climate Index, could improve its system by "tackling the inventory tax, and reducing or eliminating the taxation of all tangible personal property (machinery and equipment)."</t>
        </is>
      </c>
      <c r="J384" s="4" t="inlineStr">
        <is>
          <t>Free-market analyses column</t>
        </is>
      </c>
      <c r="K384" s="4" t="inlineStr">
        <is>
          <t>https://taxfoundation.org/blog/west-virginia-tax-cuts/</t>
        </is>
      </c>
    </row>
    <row r="385" ht="79" customHeight="1">
      <c r="A385" s="13" t="inlineStr">
        <is>
          <t>West Virginia</t>
        </is>
      </c>
      <c r="B385" s="4" t="inlineStr">
        <is>
          <t>Analysis</t>
        </is>
      </c>
      <c r="C385" s="4" t="inlineStr">
        <is>
          <t>National group</t>
        </is>
      </c>
      <c r="D385" s="4" t="inlineStr">
        <is>
          <t>Tax Foundation</t>
        </is>
      </c>
      <c r="E385" s="4" t="inlineStr">
        <is>
          <t>Jared Walczak</t>
        </is>
      </c>
      <c r="F385" s="15" t="inlineStr">
        <is>
          <t>West Virginia Lawmakers Reach Deal on Tax Relief</t>
        </is>
      </c>
      <c r="G385" s="4" t="inlineStr">
        <is>
          <t>March 1, 2023</t>
        </is>
      </c>
      <c r="H385" s="4" t="inlineStr">
        <is>
          <t>2023-03-01</t>
        </is>
      </c>
      <c r="I385" s="4" t="inlineStr">
        <is>
          <t>On HB 2526: because legislators "lack the constitutional authority to repeal local taxes on tangible personal property," the deal offers "a fully refundable income tax credit for car tax liability, and a 50 percent credit against businesses' property taxes on machinery, equipment, and inventory," plus a full property tax credit for disabled veterans, alongside an income tax rate cut of about 21.2 percent. Walczak: "This approach isn't perfect, but it does reduce the tax burden on in-state capital investment."</t>
        </is>
      </c>
      <c r="J385" s="4" t="inlineStr">
        <is>
          <t>Free-market analyses column</t>
        </is>
      </c>
      <c r="K385" s="4" t="inlineStr">
        <is>
          <t>https://taxfoundation.org/blog/west-virginia-tax-relief/</t>
        </is>
      </c>
    </row>
    <row r="386" ht="79" customHeight="1">
      <c r="A386" s="13" t="inlineStr">
        <is>
          <t>West Virginia</t>
        </is>
      </c>
      <c r="B386" s="4" t="inlineStr">
        <is>
          <t>Analysis</t>
        </is>
      </c>
      <c r="C386" s="4" t="inlineStr">
        <is>
          <t>State group</t>
        </is>
      </c>
      <c r="D386" s="4" t="inlineStr">
        <is>
          <t>Cardinal Institute for West Virginia Policy</t>
        </is>
      </c>
      <c r="E386" s="4" t="n"/>
      <c r="F386" s="15" t="inlineStr">
        <is>
          <t>Keep the Receipt for Tax Rebates</t>
        </is>
      </c>
      <c r="G386" s="4" t="inlineStr">
        <is>
          <t>February 17, 2023</t>
        </is>
      </c>
      <c r="H386" s="4" t="inlineStr">
        <is>
          <t>2023-02-17</t>
        </is>
      </c>
      <c r="I386" s="4" t="inlineStr">
        <is>
          <t>Garrett Ballengee notes that Amendment Two, which would have let the Legislature exempt business personal property, won only 35% of the vote in 2022, seven points below the next closest amendment, and argues against the tax rebates then before the Legislature: "Tax rebates are immensely burdensome and grossly inefficient, necessitate growth in the department of revenue, and will create a time lag between filing and issuance of the rebate."</t>
        </is>
      </c>
      <c r="J386" s="4" t="inlineStr">
        <is>
          <t>Free-market analyses column</t>
        </is>
      </c>
      <c r="K386" s="4" t="inlineStr">
        <is>
          <t>https://cardinalinstitute.com/tax-debates-and-tax-rebates/</t>
        </is>
      </c>
    </row>
    <row r="387" ht="49" customHeight="1">
      <c r="A387" s="13" t="inlineStr">
        <is>
          <t>West Virginia</t>
        </is>
      </c>
      <c r="B387" s="4" t="inlineStr">
        <is>
          <t>Analysis</t>
        </is>
      </c>
      <c r="C387" s="4" t="inlineStr">
        <is>
          <t>State group</t>
        </is>
      </c>
      <c r="D387" s="4" t="inlineStr">
        <is>
          <t>Americans for Prosperity-West Virginia</t>
        </is>
      </c>
      <c r="E387" s="4" t="n"/>
      <c r="F387" s="15" t="inlineStr">
        <is>
          <t>WTAS: Historic Tax Reform for West Virginians</t>
        </is>
      </c>
      <c r="G387" s="4" t="inlineStr">
        <is>
          <t>February 15, 2023</t>
        </is>
      </c>
      <c r="H387" s="4" t="inlineStr">
        <is>
          <t>2023-02-15</t>
        </is>
      </c>
      <c r="I387" s="4" t="inlineStr">
        <is>
          <t>AFP-WV's view of the Senate plan (SB 424): "Tax rebates are not sound policy," and property tax rebate schemes tried in other states "have largely failed to positively move the needle economically." It urged lawmakers to put the full amount the Senate would commit to tax reform into a personal income tax cut.</t>
        </is>
      </c>
      <c r="J387" s="4" t="inlineStr">
        <is>
          <t>Free-market analyses column</t>
        </is>
      </c>
      <c r="K387" s="4" t="inlineStr">
        <is>
          <t>https://americansforprosperity.org/press-release/wtas-historic-tax-reform-for-west-virginians/</t>
        </is>
      </c>
    </row>
    <row r="388" ht="79" customHeight="1">
      <c r="A388" s="13" t="inlineStr">
        <is>
          <t>West Virginia</t>
        </is>
      </c>
      <c r="B388" s="4" t="inlineStr">
        <is>
          <t>Analysis</t>
        </is>
      </c>
      <c r="C388" s="4" t="inlineStr">
        <is>
          <t>Legislators &amp; officials</t>
        </is>
      </c>
      <c r="D388" s="4" t="inlineStr">
        <is>
          <t>West Virginia Senate (Republican majority)</t>
        </is>
      </c>
      <c r="E388" s="4" t="n"/>
      <c r="F388" s="15" t="inlineStr">
        <is>
          <t>Senate Releases Comprehensive Plan to Provide Tax Relief to West Virginians</t>
        </is>
      </c>
      <c r="G388" s="4" t="inlineStr">
        <is>
          <t>February 8, 2023</t>
        </is>
      </c>
      <c r="H388" s="4" t="inlineStr">
        <is>
          <t>2023-02-08</t>
        </is>
      </c>
      <c r="I388" s="4" t="inlineStr">
        <is>
          <t>Senate President Craig Blair (R-Berkeley) presented about $600 million in relief that paired a 15 percent income tax cut with property tax rebates for vehicle owners and small businesses (50 percent of equipment and inventory taxes), and said the plan "does not interfere in any way with the revenues collected by the levying bodies." Majority Leader Tom Takubo: "About 98 percent of businesses in West Virginia are small, family-owned businesses, and this 50 percent rebate will directly benefit those families."</t>
        </is>
      </c>
      <c r="J388" s="4" t="inlineStr">
        <is>
          <t>Free-market analyses column</t>
        </is>
      </c>
      <c r="K388" s="4" t="inlineStr">
        <is>
          <t>https://home.wvlegislature.gov/senate-releases-comprehensive-plan-to-provide-tax-relief-to-west-virginians/</t>
        </is>
      </c>
    </row>
    <row r="389" ht="79" customHeight="1">
      <c r="A389" s="13" t="inlineStr">
        <is>
          <t>West Virginia</t>
        </is>
      </c>
      <c r="B389" s="4" t="inlineStr">
        <is>
          <t>Analysis</t>
        </is>
      </c>
      <c r="C389" s="4" t="inlineStr">
        <is>
          <t>National group</t>
        </is>
      </c>
      <c r="D389" s="4" t="inlineStr">
        <is>
          <t>Tax Foundation</t>
        </is>
      </c>
      <c r="E389" s="4" t="inlineStr">
        <is>
          <t>Jared Walczak</t>
        </is>
      </c>
      <c r="F389" s="15" t="inlineStr">
        <is>
          <t>West Virginia Voters Will Determine the Scope of Potential State Tax Reform</t>
        </is>
      </c>
      <c r="G389" s="4" t="inlineStr">
        <is>
          <t>October 12, 2022</t>
        </is>
      </c>
      <c r="H389" s="4" t="inlineStr">
        <is>
          <t>2022-10-12</t>
        </is>
      </c>
      <c r="I389" s="4" t="inlineStr">
        <is>
          <t>On Amendment 2, which would let the Legislature scale back or repeal tangible personal property taxes: West Virginia is "one of only nine states to fully tax business inventory," repeal was recommended by the 1999 Governor's Commission on Fair Taxation and the 2006 Tax Modernization Project, and "the state's unusually burdensome taxes on investment and business property are not helping." An update notes voters rejected the amendment on November 8, 2022.</t>
        </is>
      </c>
      <c r="J389" s="4" t="inlineStr">
        <is>
          <t>Free-market analyses column</t>
        </is>
      </c>
      <c r="K389" s="4" t="inlineStr">
        <is>
          <t>https://taxfoundation.org/blog/west-virginia-amendment-2/</t>
        </is>
      </c>
    </row>
    <row r="390" ht="64" customHeight="1">
      <c r="A390" s="13" t="inlineStr">
        <is>
          <t>West Virginia</t>
        </is>
      </c>
      <c r="B390" s="4" t="inlineStr">
        <is>
          <t>Analysis</t>
        </is>
      </c>
      <c r="C390" s="4" t="inlineStr">
        <is>
          <t>State group</t>
        </is>
      </c>
      <c r="D390" s="4" t="inlineStr">
        <is>
          <t>Cardinal Institute for West Virginia Policy</t>
        </is>
      </c>
      <c r="E390" s="4" t="n"/>
      <c r="F390" s="15" t="inlineStr">
        <is>
          <t>Amendment 2: What You Need To Know</t>
        </is>
      </c>
      <c r="G390" s="4" t="inlineStr">
        <is>
          <t>September 29, 2022</t>
        </is>
      </c>
      <c r="H390" s="4" t="inlineStr">
        <is>
          <t>2022-09-29</t>
        </is>
      </c>
      <c r="I390" s="4" t="inlineStr">
        <is>
          <t>Explains that Amendment 2 (HJR 3, introduced by Del. Phillip Mallow in 2021 and passed by the Senate 29-5 on April 10, 2021) would let the Legislature exempt business machinery, equipment and inventory and personal motor vehicles from property tax, and sets out the arguments for and against, noting that Gov. Jim Justice and the state Democratic Party opposed it.</t>
        </is>
      </c>
      <c r="J390" s="4" t="inlineStr">
        <is>
          <t>Free-market analyses column</t>
        </is>
      </c>
      <c r="K390" s="4" t="inlineStr">
        <is>
          <t>https://cardinalinstitute.com/amendment-2-what-you-need-to-know/</t>
        </is>
      </c>
    </row>
    <row r="391" ht="49" customHeight="1">
      <c r="A391" s="13" t="inlineStr">
        <is>
          <t>West Virginia</t>
        </is>
      </c>
      <c r="B391" s="4" t="inlineStr">
        <is>
          <t>Analysis</t>
        </is>
      </c>
      <c r="C391" s="4" t="inlineStr">
        <is>
          <t>State group</t>
        </is>
      </c>
      <c r="D391" s="4" t="inlineStr">
        <is>
          <t>Americans for Prosperity-West Virginia</t>
        </is>
      </c>
      <c r="E391" s="4" t="n"/>
      <c r="F391" s="15" t="inlineStr">
        <is>
          <t>Americans for Prosperity West Virginia Steps Up Ballot Measure and Candidate Engagement</t>
        </is>
      </c>
      <c r="G391" s="4" t="inlineStr">
        <is>
          <t>September 21, 2022</t>
        </is>
      </c>
      <c r="H391" s="4" t="inlineStr">
        <is>
          <t>2022-09-21</t>
        </is>
      </c>
      <c r="I391" s="4" t="inlineStr">
        <is>
          <t>Announced a door-to-door campaign to reach tens of thousands of voters for yes votes on Amendments 2 and 4; State Director Jason Huffman: "Passage of Amendment 2 will give lawmakers the ability to cut property taxes that have held the Mountain State back for too long."</t>
        </is>
      </c>
      <c r="J391" s="4" t="inlineStr">
        <is>
          <t>Free-market analyses column</t>
        </is>
      </c>
      <c r="K391" s="4" t="inlineStr">
        <is>
          <t>https://americansforprosperity.org/press-release/americans-for-prosperity-west-virginia-steps-up-ballot-measure-and-candidate-engagement/</t>
        </is>
      </c>
    </row>
    <row r="392" ht="64" customHeight="1">
      <c r="A392" s="13" t="inlineStr">
        <is>
          <t>Wisconsin</t>
        </is>
      </c>
      <c r="B392" s="4" t="inlineStr">
        <is>
          <t>Analysis</t>
        </is>
      </c>
      <c r="C392" s="4" t="inlineStr">
        <is>
          <t>State group</t>
        </is>
      </c>
      <c r="D392" s="4" t="inlineStr">
        <is>
          <t>Wisconsin Institute for Law &amp; Liberty</t>
        </is>
      </c>
      <c r="E392" s="4" t="inlineStr">
        <is>
          <t>Will Flanders</t>
        </is>
      </c>
      <c r="F392" s="15" t="inlineStr">
        <is>
          <t>Analysis: Property Taxes in Wisconsin are Heating Up!</t>
        </is>
      </c>
      <c r="G392" s="4" t="inlineStr">
        <is>
          <t>September 2, 2026</t>
        </is>
      </c>
      <c r="H392" s="4" t="inlineStr">
        <is>
          <t>2026-09-02</t>
        </is>
      </c>
      <c r="I392" s="4" t="inlineStr">
        <is>
          <t>Finds that the taxing authority created by Gov. Tony Evers' 400-year veto has grown 300% since 2023 while inflation rose about 9%, and that only 77 school districts under-levied by more than $1 in 2025-26, by an average of $21,673. Urges a yes vote on the fall constitutional amendment that would bar governors from using the line-item veto to increase taxes.</t>
        </is>
      </c>
      <c r="J392" s="4" t="inlineStr">
        <is>
          <t>Free-market analyses column</t>
        </is>
      </c>
      <c r="K392" s="4" t="inlineStr">
        <is>
          <t>https://will-law.org/analysis-property-taxes-in-wisconsin-are-heating-up/</t>
        </is>
      </c>
    </row>
    <row r="393" ht="79" customHeight="1">
      <c r="A393" s="13" t="inlineStr">
        <is>
          <t>Wisconsin</t>
        </is>
      </c>
      <c r="B393" s="4" t="inlineStr">
        <is>
          <t>Analysis</t>
        </is>
      </c>
      <c r="C393" s="4" t="inlineStr">
        <is>
          <t>State group</t>
        </is>
      </c>
      <c r="D393" s="4" t="inlineStr">
        <is>
          <t>Americans for Prosperity-Wisconsin</t>
        </is>
      </c>
      <c r="E393" s="4" t="n"/>
      <c r="F393" s="15" t="inlineStr">
        <is>
          <t>AFP-WI: Crowley's 'Affordability' Ad Omits the $12 Million Property Tax Increase in His Own Budget</t>
        </is>
      </c>
      <c r="G393" s="4" t="inlineStr">
        <is>
          <t>August 21, 2026</t>
        </is>
      </c>
      <c r="H393" s="4" t="inlineStr">
        <is>
          <t>2026-08-21</t>
        </is>
      </c>
      <c r="I393" s="4" t="inlineStr">
        <is>
          <t>Says Milwaukee County Executive David Crowley, now running for governor, raised the county property tax levy three years in a row, with a 2.5% increase in the adopted 2025 budget and about $12 million more in his latest proposal. State Director Megan Novak: "Seventy-two percent of Wisconsin homeowners will tell you they are not getting their money's worth from their property tax bill, and Milwaukee County is the reason why they are right."</t>
        </is>
      </c>
      <c r="J393" s="4" t="inlineStr">
        <is>
          <t>Free-market analyses column</t>
        </is>
      </c>
      <c r="K393" s="4" t="inlineStr">
        <is>
          <t>https://americansforprosperity.org/press-release/afp-wi-crowleys-affordability-ad-omits-the-12-million-property-tax-increase-in-his-own-budget/</t>
        </is>
      </c>
    </row>
    <row r="394" ht="64" customHeight="1">
      <c r="A394" s="13" t="inlineStr">
        <is>
          <t>Wisconsin</t>
        </is>
      </c>
      <c r="B394" s="4" t="inlineStr">
        <is>
          <t>Analysis</t>
        </is>
      </c>
      <c r="C394" s="4" t="inlineStr">
        <is>
          <t>State group</t>
        </is>
      </c>
      <c r="D394" s="4" t="inlineStr">
        <is>
          <t>Badger Institute</t>
        </is>
      </c>
      <c r="E394" s="4" t="n"/>
      <c r="F394" s="15" t="inlineStr">
        <is>
          <t>How a development tool can increase property taxes</t>
        </is>
      </c>
      <c r="G394" s="4" t="inlineStr">
        <is>
          <t>August 20, 2026</t>
        </is>
      </c>
      <c r="H394" s="4" t="inlineStr">
        <is>
          <t>2026-08-20</t>
        </is>
      </c>
      <c r="I394" s="4" t="inlineStr">
        <is>
          <t>Patrick McIlheran reports that tax incremental financing interacts with the municipal levy limit: growth spurred inside a TIF district raises the limit while the added value stays out of the city's tax base until the district's costs are paid, which can raise other owners' bills. Former state Sen. Duey Stroebel says a city can avoid that effect by levying less than the limit allows.</t>
        </is>
      </c>
      <c r="J394" s="4" t="inlineStr">
        <is>
          <t>Free-market analyses column</t>
        </is>
      </c>
      <c r="K394" s="4" t="inlineStr">
        <is>
          <t>https://www.badgerinstitute.org/how-a-development-tool-can-increase-property-taxes/</t>
        </is>
      </c>
    </row>
    <row r="395" ht="79" customHeight="1">
      <c r="A395" s="13" t="inlineStr">
        <is>
          <t>Wisconsin</t>
        </is>
      </c>
      <c r="B395" s="4" t="inlineStr">
        <is>
          <t>Analysis</t>
        </is>
      </c>
      <c r="C395" s="4" t="inlineStr">
        <is>
          <t>State group</t>
        </is>
      </c>
      <c r="D395" s="4" t="inlineStr">
        <is>
          <t>Badger Institute</t>
        </is>
      </c>
      <c r="E395" s="4" t="inlineStr">
        <is>
          <t>Wyatt Eichholz</t>
        </is>
      </c>
      <c r="F395" s="15" t="inlineStr">
        <is>
          <t>School levy tax credits reward big spenders at the expense of frugal districts</t>
        </is>
      </c>
      <c r="G395" s="4" t="inlineStr">
        <is>
          <t>February 19, 2026</t>
        </is>
      </c>
      <c r="H395" s="4" t="inlineStr">
        <is>
          <t>2026-02-19</t>
        </is>
      </c>
      <c r="I395" s="4" t="inlineStr">
        <is>
          <t>The $1.275 billion school levy tax credit is divided by each municipality's share of three-year average school levies, so districts that pass referendums and raise levies fastest gain credit at the expense of restrained ones; of 895 municipalities whose credit fell, 532 still saw their average school levy rise. Notes Evers proposed a one-time $550 million increase in the credit and Republican lawmakers countered with $500 million.</t>
        </is>
      </c>
      <c r="J395" s="4" t="inlineStr">
        <is>
          <t>Free-market analyses column</t>
        </is>
      </c>
      <c r="K395" s="4" t="inlineStr">
        <is>
          <t>https://www.badgerinstitute.org/school-levy-tax-credits-reward-big-spenders-at-the-expense-of-frugal-districts/</t>
        </is>
      </c>
    </row>
    <row r="396" ht="64" customHeight="1">
      <c r="A396" s="13" t="inlineStr">
        <is>
          <t>Wisconsin</t>
        </is>
      </c>
      <c r="B396" s="4" t="inlineStr">
        <is>
          <t>Analysis</t>
        </is>
      </c>
      <c r="C396" s="4" t="inlineStr">
        <is>
          <t>State group</t>
        </is>
      </c>
      <c r="D396" s="4" t="inlineStr">
        <is>
          <t>Institute for Reforming Government</t>
        </is>
      </c>
      <c r="E396" s="4" t="n"/>
      <c r="F396" s="15" t="inlineStr">
        <is>
          <t>Decoupling vote has IRG talking about property taxes, again</t>
        </is>
      </c>
      <c r="G396" s="4" t="inlineStr">
        <is>
          <t>January 27, 2026</t>
        </is>
      </c>
      <c r="H396" s="4" t="inlineStr">
        <is>
          <t>2026-01-27</t>
        </is>
      </c>
      <c r="I396" s="4" t="inlineStr">
        <is>
          <t>IRG argues that "the state deducts state funding from your local district for choice students" and "your district makes up the difference by raising property taxes," and The Center Square reports that IRG accused the Wisconsin Association of School Boards of "refusing to lower property taxes" in its vote on the latest decoupling plan.</t>
        </is>
      </c>
      <c r="J396" s="4" t="inlineStr">
        <is>
          <t>Free-market analyses column</t>
        </is>
      </c>
      <c r="K396" s="4" t="inlineStr">
        <is>
          <t>https://reforminggovernment.org/decoupling-vote-has-irg-talking-about-property-taxes-again/</t>
        </is>
      </c>
    </row>
    <row r="397" ht="79" customHeight="1">
      <c r="A397" s="13" t="inlineStr">
        <is>
          <t>Wisconsin</t>
        </is>
      </c>
      <c r="B397" s="4" t="inlineStr">
        <is>
          <t>Analysis</t>
        </is>
      </c>
      <c r="C397" s="4" t="inlineStr">
        <is>
          <t>State group</t>
        </is>
      </c>
      <c r="D397" s="4" t="inlineStr">
        <is>
          <t>Badger Institute</t>
        </is>
      </c>
      <c r="E397" s="4" t="inlineStr">
        <is>
          <t>Jared Walczak</t>
        </is>
      </c>
      <c r="F397" s="15" t="inlineStr">
        <is>
          <t>Governor Evers' property tax relief plan fails to constrain property tax growth</t>
        </is>
      </c>
      <c r="G397" s="4" t="inlineStr">
        <is>
          <t>January 21, 2026</t>
        </is>
      </c>
      <c r="H397" s="4" t="inlineStr">
        <is>
          <t>2026-01-21</t>
        </is>
      </c>
      <c r="I397" s="4" t="inlineStr">
        <is>
          <t>Argues that Evers' plan to spend $1.3 billion of surplus buying down property tax bills shifts costs to state taxes for two years and leaves in place the main driver, the 400-year veto, which adds $325 per pupil to school revenue limits every year until 2425, so the fiscal 2026 limit is $975 per pupil higher than it would be without it. Warns that local governments taking levy-freeze aid would "face a substantial budget hole in year three."</t>
        </is>
      </c>
      <c r="J397" s="4" t="inlineStr">
        <is>
          <t>Free-market analyses column</t>
        </is>
      </c>
      <c r="K397" s="4" t="inlineStr">
        <is>
          <t>https://www.badgerinstitute.org/governor-evers-property-tax-relief-plan-fails-to-constrain-property-tax-growth/</t>
        </is>
      </c>
    </row>
    <row r="398" ht="49" customHeight="1">
      <c r="A398" s="13" t="inlineStr">
        <is>
          <t>Wisconsin</t>
        </is>
      </c>
      <c r="B398" s="4" t="inlineStr">
        <is>
          <t>Analysis</t>
        </is>
      </c>
      <c r="C398" s="4" t="inlineStr">
        <is>
          <t>State group</t>
        </is>
      </c>
      <c r="D398" s="4" t="inlineStr">
        <is>
          <t>Wisconsin Senate President Mary Felzkowski (R-Tomahawk)</t>
        </is>
      </c>
      <c r="E398" s="4" t="n"/>
      <c r="F398" s="15" t="inlineStr">
        <is>
          <t>Felzkowski Responds to Court Upholding Evers' 400 Year Property Tax Increase</t>
        </is>
      </c>
      <c r="G398" s="4" t="inlineStr">
        <is>
          <t>April 18, 2025</t>
        </is>
      </c>
      <c r="H398" s="4" t="inlineStr">
        <is>
          <t>2025-04-18</t>
        </is>
      </c>
      <c r="I398" s="4" t="inlineStr">
        <is>
          <t>After the Wisconsin Supreme Court upheld the 400-year veto, Felzkowski said the ruling means "a $246 increase every two years" for the median homeowner and that the idea of the state backfilling the money for 400 years "is wildly unrealistic and would be fiscally unsustainable."</t>
        </is>
      </c>
      <c r="J398" s="4" t="inlineStr">
        <is>
          <t>Free-market analyses column</t>
        </is>
      </c>
      <c r="K398" s="4" t="inlineStr">
        <is>
          <t>https://legis.wisconsin.gov/senate/12/Felzkowski/media/i3hjvqyr/20250418-400-year-veto-upheld.pdf</t>
        </is>
      </c>
    </row>
    <row r="399" ht="49" customHeight="1">
      <c r="A399" s="13" t="inlineStr">
        <is>
          <t>Wisconsin</t>
        </is>
      </c>
      <c r="B399" s="4" t="inlineStr">
        <is>
          <t>Analysis</t>
        </is>
      </c>
      <c r="C399" s="4" t="inlineStr">
        <is>
          <t>State group</t>
        </is>
      </c>
      <c r="D399" s="4" t="inlineStr">
        <is>
          <t>Institute for Reforming Government</t>
        </is>
      </c>
      <c r="E399" s="4" t="n"/>
      <c r="F399" s="15" t="inlineStr">
        <is>
          <t>Court Watch: Property Taxes Could Skyrocket if Supreme Court Overturns Act 10</t>
        </is>
      </c>
      <c r="G399" s="4" t="inlineStr">
        <is>
          <t>February 5, 2025</t>
        </is>
      </c>
      <c r="H399" s="4" t="inlineStr">
        <is>
          <t>2025-02-05</t>
        </is>
      </c>
      <c r="I399" s="4" t="inlineStr">
        <is>
          <t>IRG's primer says Act 10 has saved taxpayers $16.8 billion, or $5,600 per taxpayer, and that because levy limits constrain local property tax increases, a court repeal would strain local budgets; the release says repeal "would wipe out hundreds of dollars in annual property tax savings for homeowners."</t>
        </is>
      </c>
      <c r="J399" s="4" t="inlineStr">
        <is>
          <t>Free-market analyses column</t>
        </is>
      </c>
      <c r="K399" s="4" t="inlineStr">
        <is>
          <t>https://reforminggovernment.org/court-watch-property-taxes-could-skyrocket-if-supreme-court-overturns-act-10/</t>
        </is>
      </c>
    </row>
    <row r="400" ht="79" customHeight="1">
      <c r="A400" s="13" t="inlineStr">
        <is>
          <t>Wisconsin</t>
        </is>
      </c>
      <c r="B400" s="4" t="inlineStr">
        <is>
          <t>Analysis</t>
        </is>
      </c>
      <c r="C400" s="4" t="inlineStr">
        <is>
          <t>State group</t>
        </is>
      </c>
      <c r="D400" s="4" t="inlineStr">
        <is>
          <t>MacIver Institute</t>
        </is>
      </c>
      <c r="E400" s="4" t="inlineStr">
        <is>
          <t>William Osmulski</t>
        </is>
      </c>
      <c r="F400" s="15" t="inlineStr">
        <is>
          <t>On the Ballot: City and Village Referendums</t>
        </is>
      </c>
      <c r="G400" s="4" t="inlineStr">
        <is>
          <t>January 29, 2025</t>
        </is>
      </c>
      <c r="H400" s="4" t="inlineStr">
        <is>
          <t>2025-01-29</t>
        </is>
      </c>
      <c r="I400" s="4" t="inlineStr">
        <is>
          <t>Argues municipalities are following school districts in asking voters for permanent levy increases: the Village of Oregon's $1.95 million operating referendum would add $429 to the typical bill, and Brookfield's projected gap disappears once more than $4 million a year in debt service, which falls outside levy limits, is taken out. Osmulski: "Facts don't matter when the government is trying to get more of your money."</t>
        </is>
      </c>
      <c r="J400" s="4" t="inlineStr">
        <is>
          <t>Free-market analyses column</t>
        </is>
      </c>
      <c r="K400" s="4" t="inlineStr">
        <is>
          <t>https://www.maciverinstitute.com/research/on-the-ballot-city-and-village-referendums</t>
        </is>
      </c>
    </row>
    <row r="401" ht="79" customHeight="1">
      <c r="A401" s="13" t="inlineStr">
        <is>
          <t>Wisconsin</t>
        </is>
      </c>
      <c r="B401" s="4" t="inlineStr">
        <is>
          <t>Analysis</t>
        </is>
      </c>
      <c r="C401" s="4" t="inlineStr">
        <is>
          <t>State group</t>
        </is>
      </c>
      <c r="D401" s="4" t="inlineStr">
        <is>
          <t>Wisconsin Institute for Law &amp; Liberty</t>
        </is>
      </c>
      <c r="E401" s="4" t="n"/>
      <c r="F401" s="15" t="inlineStr">
        <is>
          <t>Wisconsin's Referendum Process Results in Misleading Tax Increases, Leaves Voters in the Dark</t>
        </is>
      </c>
      <c r="G401" s="4" t="inlineStr">
        <is>
          <t>April 9, 2024</t>
        </is>
      </c>
      <c r="H401" s="4" t="inlineStr">
        <is>
          <t>2024-04-09</t>
        </is>
      </c>
      <c r="I401" s="4" t="inlineStr">
        <is>
          <t>Releases the report "Piercing the Fog: Shedding Light on School District Referenda in Wisconsin," which finds districts stress mill rates while property values rise and use "ballooning" debt payments that obscure the full cost, and offers model legislation requiring each referendum to state its net tax impact per $100,000 of value and how far tax rates would drop if it fails. More than 90 districts went to referendum in spring 2024, and 58.8% passed.</t>
        </is>
      </c>
      <c r="J401" s="4" t="inlineStr">
        <is>
          <t>Free-market analyses column</t>
        </is>
      </c>
      <c r="K401" s="4" t="inlineStr">
        <is>
          <t>https://will-law.org/wisconsins-referendum-process-results-in-misleading-tax-increases-leave-voters-in-the-dark/</t>
        </is>
      </c>
    </row>
    <row r="402" ht="49" customHeight="1">
      <c r="A402" s="13" t="inlineStr">
        <is>
          <t>Wisconsin</t>
        </is>
      </c>
      <c r="B402" s="4" t="inlineStr">
        <is>
          <t>Analysis</t>
        </is>
      </c>
      <c r="C402" s="4" t="inlineStr">
        <is>
          <t>State group</t>
        </is>
      </c>
      <c r="D402" s="4" t="inlineStr">
        <is>
          <t>Badger Institute</t>
        </is>
      </c>
      <c r="E402" s="4" t="n"/>
      <c r="F402" s="15" t="inlineStr">
        <is>
          <t>Badger Institute urges 'no' vote on MPS referendum</t>
        </is>
      </c>
      <c r="G402" s="4" t="inlineStr">
        <is>
          <t>March 14, 2024</t>
        </is>
      </c>
      <c r="H402" s="4" t="inlineStr">
        <is>
          <t>2024-03-14</t>
        </is>
      </c>
      <c r="I402" s="4" t="inlineStr">
        <is>
          <t>Opposed Milwaukee Public Schools' request for $252 million more a year, estimating an added $864 a year on a house assessed at $400,000, and noted that Milwaukee ranked sixth-highest in property tax rate among the 50 largest U.S. cities in a 2023 study.</t>
        </is>
      </c>
      <c r="J402" s="4" t="inlineStr">
        <is>
          <t>Free-market analyses column</t>
        </is>
      </c>
      <c r="K402" s="4" t="inlineStr">
        <is>
          <t>https://www.badgerinstitute.org/badger-institute-urges-no-vote-on-mps-referendum/</t>
        </is>
      </c>
    </row>
    <row r="403" ht="79" customHeight="1">
      <c r="A403" s="13" t="inlineStr">
        <is>
          <t>Wisconsin</t>
        </is>
      </c>
      <c r="B403" s="4" t="inlineStr">
        <is>
          <t>Cited elsewhere in the matrix</t>
        </is>
      </c>
      <c r="C403" s="4" t="inlineStr">
        <is>
          <t>State group</t>
        </is>
      </c>
      <c r="D403" s="4" t="inlineStr">
        <is>
          <t>Badger Institute</t>
        </is>
      </c>
      <c r="E403" s="4" t="n"/>
      <c r="F403" s="15" t="inlineStr">
        <is>
          <t>Failure of tax-and-schools deal offers chance to do better</t>
        </is>
      </c>
      <c r="G403" s="4" t="inlineStr">
        <is>
          <t>May 14, 2026</t>
        </is>
      </c>
      <c r="H403" s="4" t="inlineStr">
        <is>
          <t>2026-05-14</t>
        </is>
      </c>
      <c r="I403" s="4" t="inlineStr">
        <is>
          <t>The Badger Institute estimated the cost at $864 a year on a house assessed at $400,000 and noted that Milwaukee had the sixth-highest property tax rate among the 50 largest U.S. cities (2023). TIF: growth inside tax incremental districts raises municipal levy limits while the added value stays off the tax base until the district's costs are paid, so mill rates on other owners can rise (Badger Institute, August 20, 2026).</t>
        </is>
      </c>
      <c r="J403" s="4" t="inlineStr">
        <is>
          <t>Source URLs and Loopholes &amp; has it worked?, Recent reforms</t>
        </is>
      </c>
      <c r="K403" s="4" t="inlineStr">
        <is>
          <t>https://www.badgerinstitute.org/failure-of-tax-and-schools-deal-offers-chance-to-do-better/</t>
        </is>
      </c>
    </row>
    <row r="404" ht="30" customHeight="1">
      <c r="A404" s="13" t="inlineStr">
        <is>
          <t>Wisconsin</t>
        </is>
      </c>
      <c r="B404" s="4" t="inlineStr">
        <is>
          <t>Checked: no report since 2021</t>
        </is>
      </c>
      <c r="C404" s="4" t="inlineStr">
        <is>
          <t>State group</t>
        </is>
      </c>
      <c r="D404" s="4" t="inlineStr">
        <is>
          <t>Lucy Burns Institute</t>
        </is>
      </c>
      <c r="E404" s="4" t="n"/>
      <c r="F404" s="4" t="inlineStr">
        <is>
          <t>(no report found)</t>
        </is>
      </c>
      <c r="G404" s="4" t="n"/>
      <c r="H404" s="4" t="n"/>
      <c r="I404" s="4" t="inlineStr">
        <is>
          <t>Lucy Burns Institute (State Policy Network associate): no property tax report since 2021 was found.</t>
        </is>
      </c>
      <c r="J404" s="4" t="inlineStr">
        <is>
          <t>Free-market analyses column</t>
        </is>
      </c>
      <c r="K404" s="4" t="n"/>
    </row>
    <row r="405" ht="109" customHeight="1">
      <c r="A405" s="13" t="inlineStr">
        <is>
          <t>Wyoming</t>
        </is>
      </c>
      <c r="B405" s="4" t="inlineStr">
        <is>
          <t>Analysis</t>
        </is>
      </c>
      <c r="C405" s="4" t="inlineStr">
        <is>
          <t>State group</t>
        </is>
      </c>
      <c r="D405" s="4" t="inlineStr">
        <is>
          <t>Mountain States Policy Center</t>
        </is>
      </c>
      <c r="E405" s="4" t="n"/>
      <c r="F405" s="15" t="inlineStr">
        <is>
          <t>Ballot Guide 2026: Wyoming's Initiative 1 (Property taxes)</t>
        </is>
      </c>
      <c r="G405" s="4" t="inlineStr">
        <is>
          <t>October 6, 2026</t>
        </is>
      </c>
      <c r="H405" s="4" t="inlineStr">
        <is>
          <t>2026-10-06</t>
        </is>
      </c>
      <c r="I405" s="4" t="inlineStr">
        <is>
          <t>Releases Marta Mossburg's study of Initiative 1, which would exempt 50% of a primary residence's assessed dwelling value (land excluded): the certified ballot language puts the state revenue loss at $92.6 million in fiscal 2028, and a Department of Revenue analysis puts the state and local loss at up to $124.7 million that year. The study warns that replacing the money with a higher sales tax would add revenue volatility and shift control of local tax dollars to Cheyenne; noting that property taxes supply 84% of local government revenue in Wyoming (72% nationally), it asks lawmakers to consider "levy limits, Truth in Taxation and circuit breakers."</t>
        </is>
      </c>
      <c r="J405" s="4" t="inlineStr">
        <is>
          <t>Free-market analyses column</t>
        </is>
      </c>
      <c r="K405" s="4" t="inlineStr">
        <is>
          <t>https://www.mountainstatespolicy.org/post/ballot-guide-2026-wyoming-s-initiative-1</t>
        </is>
      </c>
    </row>
    <row r="406" ht="79" customHeight="1">
      <c r="A406" s="13" t="inlineStr">
        <is>
          <t>Wyoming</t>
        </is>
      </c>
      <c r="B406" s="4" t="inlineStr">
        <is>
          <t>Analysis</t>
        </is>
      </c>
      <c r="C406" s="4" t="inlineStr">
        <is>
          <t>State group</t>
        </is>
      </c>
      <c r="D406" s="4" t="inlineStr">
        <is>
          <t>Wyoming Taxpayers Association</t>
        </is>
      </c>
      <c r="E406" s="4" t="inlineStr">
        <is>
          <t>Jennifer Ford</t>
        </is>
      </c>
      <c r="F406" s="15" t="inlineStr">
        <is>
          <t>REFORM, DON’T BREAK: Wyoming Taxpayers Association Opposes Prop 1</t>
        </is>
      </c>
      <c r="G406" s="4" t="inlineStr">
        <is>
          <t>September 30, 2026</t>
        </is>
      </c>
      <c r="H406" s="4" t="inlineStr">
        <is>
          <t>2026-09-30</t>
        </is>
      </c>
      <c r="I406" s="4" t="inlineStr">
        <is>
          <t>The state taxpayer association opposes Initiative 1 and launches its "Reform Don’t Break" campaign; it says the 2024 and 2025 laws provided "nearly $216 million of property tax exemptions and refunds" in 2025, an average savings of $1,282.65 for homeowners using both the homeowner exemption and the refund program. It adds that no evidence has been presented that new economic activity would make up the lost local revenue.</t>
        </is>
      </c>
      <c r="J406" s="4" t="inlineStr">
        <is>
          <t>Free-market analyses column</t>
        </is>
      </c>
      <c r="K406" s="4" t="inlineStr">
        <is>
          <t>https://wyotax.org/reform-dont-break-wyoming-taxpayers-association-opposes-prop-1/</t>
        </is>
      </c>
    </row>
    <row r="407" ht="34" customHeight="1">
      <c r="A407" s="13" t="inlineStr">
        <is>
          <t>Wyoming</t>
        </is>
      </c>
      <c r="B407" s="4" t="inlineStr">
        <is>
          <t>Analysis</t>
        </is>
      </c>
      <c r="C407" s="4" t="inlineStr">
        <is>
          <t>Legislators &amp; officials</t>
        </is>
      </c>
      <c r="D407" s="4" t="inlineStr">
        <is>
          <t>Republican Party of Wyoming (state party)</t>
        </is>
      </c>
      <c r="E407" s="4" t="inlineStr">
        <is>
          <t>statement as covered by the Wyoming Tribune Eagle in</t>
        </is>
      </c>
      <c r="F407" s="15" t="inlineStr">
        <is>
          <t>Wyoming Republican Party backs property tax cut ballot initiative</t>
        </is>
      </c>
      <c r="G407" s="4" t="inlineStr">
        <is>
          <t>September 22, 2026</t>
        </is>
      </c>
      <c r="H407" s="4" t="inlineStr">
        <is>
          <t>2026-09-22</t>
        </is>
      </c>
      <c r="I407" s="4" t="inlineStr">
        <is>
          <t>At a Sept. 19 meeting in Thayne the party pledged "financial and marketing support" for Initiative 1, and Chairman Bryan Miller said "Wyoming homeowners deserve meaningful, durable property-tax relief."</t>
        </is>
      </c>
      <c r="J407" s="4" t="inlineStr">
        <is>
          <t>Free-market analyses column</t>
        </is>
      </c>
      <c r="K407" s="4" t="inlineStr">
        <is>
          <t>https://www.wyomingnews.com/news/elections/wyoming-republican-party-backs-property-tax-cut-ballot-initiative/article_a8dff312-4616-467c-a20b-7c7dd3c1ea22.html</t>
        </is>
      </c>
    </row>
    <row r="408" ht="49" customHeight="1">
      <c r="A408" s="13" t="inlineStr">
        <is>
          <t>Wyoming</t>
        </is>
      </c>
      <c r="B408" s="4" t="inlineStr">
        <is>
          <t>Analysis</t>
        </is>
      </c>
      <c r="C408" s="4" t="inlineStr">
        <is>
          <t>State group</t>
        </is>
      </c>
      <c r="D408" s="4" t="inlineStr">
        <is>
          <t>Common Sense Institute</t>
        </is>
      </c>
      <c r="E408" s="4" t="n"/>
      <c r="F408" s="15" t="inlineStr">
        <is>
          <t>Iowa Leads the Nation in Property Tax Relief: Ranking State Reforms of the Past Decade</t>
        </is>
      </c>
      <c r="G408" s="4" t="inlineStr">
        <is>
          <t>August 6, 2026</t>
        </is>
      </c>
      <c r="H408" s="4" t="inlineStr">
        <is>
          <t>2026-08-06</t>
        </is>
      </c>
      <c r="I408" s="4" t="inlineStr">
        <is>
          <t>Ranks state property tax relief laws of the past decade by estimated household savings, excluding state backfills; Wyoming's SF 69 (2025) makes the national top 10, listed sixth after bills from Iowa, Indiana, Colorado and Nebraska (Iowa's top bill saves an estimated $1,463 per household).</t>
        </is>
      </c>
      <c r="J408" s="4" t="inlineStr">
        <is>
          <t>Free-market analyses column</t>
        </is>
      </c>
      <c r="K408" s="4" t="inlineStr">
        <is>
          <t>https://archive.commonsenseinstituteus.org/iowa/research/taxes-and-fees/iowa-leads-the-nation-in-property-tax-relief-ranking-state-reforms-of-the-past-decade</t>
        </is>
      </c>
    </row>
    <row r="409" ht="79" customHeight="1">
      <c r="A409" s="13" t="inlineStr">
        <is>
          <t>Wyoming</t>
        </is>
      </c>
      <c r="B409" s="4" t="inlineStr">
        <is>
          <t>Analysis</t>
        </is>
      </c>
      <c r="C409" s="4" t="inlineStr">
        <is>
          <t>State group</t>
        </is>
      </c>
      <c r="D409" s="4" t="inlineStr">
        <is>
          <t>Wyoming Liberty Group</t>
        </is>
      </c>
      <c r="E409" s="4" t="n"/>
      <c r="F409" s="15" t="inlineStr">
        <is>
          <t>WY 2026 SF 39 - Long-Term Homeowner Tax Exemption - Sunset Repeal</t>
        </is>
      </c>
      <c r="G409" s="4" t="inlineStr">
        <is>
          <t>February 11, 2026</t>
        </is>
      </c>
      <c r="H409" s="4" t="inlineStr">
        <is>
          <t>2026-02-11</t>
        </is>
      </c>
      <c r="I409" s="4" t="inlineStr">
        <is>
          <t>Gives a "Caution" verdict on SF 39, which would have made permanent the 50% exemption for homeowners 65 and older who have paid Wyoming property tax for 25 years: WLG says it "strengthens private property rights," but it narrows the tax base and would cut school and local revenue by "$47 million in FY 2028" "without a corresponding reduction in mandated spending." SF 39 failed on third reading in the House on March 5, 2026; HB 45 (2026) later repealed the exemption's sunset.</t>
        </is>
      </c>
      <c r="J409" s="4" t="inlineStr">
        <is>
          <t>Free-market analyses column</t>
        </is>
      </c>
      <c r="K409" s="4" t="inlineStr">
        <is>
          <t>https://wyliberty.org/blog/political-perspectives/wy-2026-sf-39-long-term-homeowner-tax-exemption-sunset-repeal</t>
        </is>
      </c>
    </row>
    <row r="410" ht="79" customHeight="1">
      <c r="A410" s="13" t="inlineStr">
        <is>
          <t>Wyoming</t>
        </is>
      </c>
      <c r="B410" s="4" t="inlineStr">
        <is>
          <t>Analysis</t>
        </is>
      </c>
      <c r="C410" s="4" t="inlineStr">
        <is>
          <t>State group</t>
        </is>
      </c>
      <c r="D410" s="4" t="inlineStr">
        <is>
          <t>Wyoming Liberty Group</t>
        </is>
      </c>
      <c r="E410" s="4" t="n"/>
      <c r="F410" s="15" t="inlineStr">
        <is>
          <t>WY 2026 HJ 4 - Residential Property Tax Value – Constitutional Amendment</t>
        </is>
      </c>
      <c r="G410" s="4" t="inlineStr">
        <is>
          <t>February 11, 2026</t>
        </is>
      </c>
      <c r="H410" s="4" t="inlineStr">
        <is>
          <t>2026-02-11</t>
        </is>
      </c>
      <c r="I410" s="4" t="inlineStr">
        <is>
          <t>Scores HJ 4, which would have let the Legislature set the valuation used for residential property, against its policy compass (verdict "Risk to Liberty &amp; Markets," with 3 passes and 3 cautions): it gives lawmakers "constitutional flexibility to treat residential property differently from other property classes," and WLG cautions that its effect "depends entirely on follow-up legislation" and that it relies on "the prolonged adherence to free-market principles by current and future legislators."</t>
        </is>
      </c>
      <c r="J410" s="4" t="inlineStr">
        <is>
          <t>Free-market analyses column</t>
        </is>
      </c>
      <c r="K410" s="4" t="inlineStr">
        <is>
          <t>https://wyliberty.org/blog/political-perspectives/wy-2026-hj-4-residential-property-tax-value-constitutional-amendment</t>
        </is>
      </c>
    </row>
    <row r="411" ht="94" customHeight="1">
      <c r="A411" s="13" t="inlineStr">
        <is>
          <t>Wyoming</t>
        </is>
      </c>
      <c r="B411" s="4" t="inlineStr">
        <is>
          <t>Analysis</t>
        </is>
      </c>
      <c r="C411" s="4" t="inlineStr">
        <is>
          <t>Legislators &amp; officials</t>
        </is>
      </c>
      <c r="D411" s="4" t="inlineStr">
        <is>
          <t>Wyoming Freedom Caucus (Republican legislative caucus)</t>
        </is>
      </c>
      <c r="E411" s="4" t="inlineStr">
        <is>
          <t>statement as covered by the Wyoming Tribune Eagle in</t>
        </is>
      </c>
      <c r="F411" s="15" t="inlineStr">
        <is>
          <t>Wyoming Freedom Caucus calls for more tax cuts</t>
        </is>
      </c>
      <c r="G411" s="4" t="inlineStr">
        <is>
          <t>November 3, 2025</t>
        </is>
      </c>
      <c r="H411" s="4" t="inlineStr">
        <is>
          <t>2025-11-03</t>
        </is>
      </c>
      <c r="I411" s="4" t="inlineStr">
        <is>
          <t>At a news conference after the state's October 2025 revenue forecast, caucus members called for holding state spending growth to inflation plus population growth and returning to "pre-COVID" spending levels; Rep. Scott Smith said the average residential property tax increase (11.9%) far outpaced the rise in median household income (3.9%). Among the boldest proposals is a plan to eliminate the part of residential property taxes that funds local K-12 schools, with surpluses from restrained spending sent to counties to pay homeowners' taxes.</t>
        </is>
      </c>
      <c r="J411" s="4" t="inlineStr">
        <is>
          <t>Free-market analyses column</t>
        </is>
      </c>
      <c r="K411" s="4" t="inlineStr">
        <is>
          <t>https://newslj.com/wyoming-freedom-caucus-calls-more-tax-cuts</t>
        </is>
      </c>
    </row>
    <row r="412" ht="79" customHeight="1">
      <c r="A412" s="13" t="inlineStr">
        <is>
          <t>Wyoming</t>
        </is>
      </c>
      <c r="B412" s="4" t="inlineStr">
        <is>
          <t>Analysis</t>
        </is>
      </c>
      <c r="C412" s="4" t="inlineStr">
        <is>
          <t>State group</t>
        </is>
      </c>
      <c r="D412" s="4" t="inlineStr">
        <is>
          <t>Mountain States Policy Center</t>
        </is>
      </c>
      <c r="E412" s="4" t="inlineStr">
        <is>
          <t>Marta Mossburg</t>
        </is>
      </c>
      <c r="F412" s="15" t="inlineStr">
        <is>
          <t>Wyoming property tax relief law won’t stop bills from rising</t>
        </is>
      </c>
      <c r="G412" s="4" t="inlineStr">
        <is>
          <t>April 3, 2025</t>
        </is>
      </c>
      <c r="H412" s="4" t="inlineStr">
        <is>
          <t>2025-04-03</t>
        </is>
      </c>
      <c r="I412" s="4" t="inlineStr">
        <is>
          <t>Argues the 2025 25% homeowner exemption (Enrolled Act 60) treats renters and second-home owners worse and, citing the Tax Foundation's Manish Bhatt, may raise equal protection questions; it cites a legislative report that property tax levies rose 80% from $1.2 billion in 2017 to $2.2 billion in 2023 ($977 million a year more). MSPC says lawmakers should have passed a levy limit holding collections to the prior year plus inflation and new population growth, paired with Truth in Taxation.</t>
        </is>
      </c>
      <c r="J412" s="4" t="inlineStr">
        <is>
          <t>Free-market analyses column</t>
        </is>
      </c>
      <c r="K412" s="4" t="inlineStr">
        <is>
          <t>https://www.mountainstatespolicy.org/post/wyoming-property-tax-relief-law-won-t-stop-bills-from-rising</t>
        </is>
      </c>
    </row>
    <row r="413" ht="64" customHeight="1">
      <c r="A413" s="13" t="inlineStr">
        <is>
          <t>Wyoming</t>
        </is>
      </c>
      <c r="B413" s="4" t="inlineStr">
        <is>
          <t>Analysis</t>
        </is>
      </c>
      <c r="C413" s="4" t="inlineStr">
        <is>
          <t>National group</t>
        </is>
      </c>
      <c r="D413" s="4" t="inlineStr">
        <is>
          <t>Tax Foundation</t>
        </is>
      </c>
      <c r="E413" s="4" t="inlineStr">
        <is>
          <t>Milly Higgs</t>
        </is>
      </c>
      <c r="F413" s="15" t="inlineStr">
        <is>
          <t>Wyoming Voters to Consider Property Tax Changes, but Sound Property Tax Relief Is Not on the Ballot</t>
        </is>
      </c>
      <c r="G413" s="4" t="inlineStr">
        <is>
          <t>September 12, 2024</t>
        </is>
      </c>
      <c r="H413" s="4" t="inlineStr">
        <is>
          <t>2024-09-12</t>
        </is>
      </c>
      <c r="I413" s="4" t="inlineStr">
        <is>
          <t>Argues Constitutional Amendment A, which created a residential class and allowed an owner-occupied subclass (approved in November 2024), would deepen Wyoming's split roll and shift the burden to other property classes, with renters bearing much of it. It urges "strong levy (or revenue) limits, which Wyoming currently lacks."</t>
        </is>
      </c>
      <c r="J413" s="4" t="inlineStr">
        <is>
          <t>Free-market analyses column</t>
        </is>
      </c>
      <c r="K413" s="4" t="inlineStr">
        <is>
          <t>https://taxfoundation.org/blog/wyoming-property-tax-ballot-measure/</t>
        </is>
      </c>
    </row>
    <row r="414" ht="34" customHeight="1">
      <c r="A414" s="13" t="inlineStr">
        <is>
          <t>Wyoming</t>
        </is>
      </c>
      <c r="B414" s="4" t="inlineStr">
        <is>
          <t>Checked: no report since 2021</t>
        </is>
      </c>
      <c r="C414" s="4" t="inlineStr">
        <is>
          <t>State group</t>
        </is>
      </c>
      <c r="D414" s="4" t="inlineStr">
        <is>
          <t>Americans for Prosperity-Wyoming</t>
        </is>
      </c>
      <c r="E414" s="4" t="n"/>
      <c r="F414" s="4" t="inlineStr">
        <is>
          <t>(no report found)</t>
        </is>
      </c>
      <c r="G414" s="4" t="n"/>
      <c r="H414" s="4" t="n"/>
      <c r="I414" s="4" t="inlineStr">
        <is>
          <t>Americans for Prosperity-Wyoming: no property tax report or Initiative 1 position since 2021 was found in AFP's site search.</t>
        </is>
      </c>
      <c r="J414" s="4" t="inlineStr">
        <is>
          <t>Free-market analyses column</t>
        </is>
      </c>
      <c r="K414" s="4" t="n"/>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4" r:id="rId9"/>
    <hyperlink xmlns:r="http://schemas.openxmlformats.org/officeDocument/2006/relationships" ref="F15"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 xmlns:r="http://schemas.openxmlformats.org/officeDocument/2006/relationships" ref="F19" r:id="rId14"/>
    <hyperlink xmlns:r="http://schemas.openxmlformats.org/officeDocument/2006/relationships" ref="F20" r:id="rId15"/>
    <hyperlink xmlns:r="http://schemas.openxmlformats.org/officeDocument/2006/relationships" ref="F21" r:id="rId16"/>
    <hyperlink xmlns:r="http://schemas.openxmlformats.org/officeDocument/2006/relationships" ref="F22" r:id="rId17"/>
    <hyperlink xmlns:r="http://schemas.openxmlformats.org/officeDocument/2006/relationships" ref="F23" r:id="rId18"/>
    <hyperlink xmlns:r="http://schemas.openxmlformats.org/officeDocument/2006/relationships" ref="F26" r:id="rId19"/>
    <hyperlink xmlns:r="http://schemas.openxmlformats.org/officeDocument/2006/relationships" ref="F27" r:id="rId20"/>
    <hyperlink xmlns:r="http://schemas.openxmlformats.org/officeDocument/2006/relationships" ref="F28" r:id="rId21"/>
    <hyperlink xmlns:r="http://schemas.openxmlformats.org/officeDocument/2006/relationships" ref="F29" r:id="rId22"/>
    <hyperlink xmlns:r="http://schemas.openxmlformats.org/officeDocument/2006/relationships" ref="F30" r:id="rId23"/>
    <hyperlink xmlns:r="http://schemas.openxmlformats.org/officeDocument/2006/relationships" ref="F34" r:id="rId24"/>
    <hyperlink xmlns:r="http://schemas.openxmlformats.org/officeDocument/2006/relationships" ref="F35" r:id="rId25"/>
    <hyperlink xmlns:r="http://schemas.openxmlformats.org/officeDocument/2006/relationships" ref="F36" r:id="rId26"/>
    <hyperlink xmlns:r="http://schemas.openxmlformats.org/officeDocument/2006/relationships" ref="F37" r:id="rId27"/>
    <hyperlink xmlns:r="http://schemas.openxmlformats.org/officeDocument/2006/relationships" ref="F38" r:id="rId28"/>
    <hyperlink xmlns:r="http://schemas.openxmlformats.org/officeDocument/2006/relationships" ref="F39" r:id="rId29"/>
    <hyperlink xmlns:r="http://schemas.openxmlformats.org/officeDocument/2006/relationships" ref="F40" r:id="rId30"/>
    <hyperlink xmlns:r="http://schemas.openxmlformats.org/officeDocument/2006/relationships" ref="F41" r:id="rId31"/>
    <hyperlink xmlns:r="http://schemas.openxmlformats.org/officeDocument/2006/relationships" ref="F42" r:id="rId32"/>
    <hyperlink xmlns:r="http://schemas.openxmlformats.org/officeDocument/2006/relationships" ref="F43" r:id="rId33"/>
    <hyperlink xmlns:r="http://schemas.openxmlformats.org/officeDocument/2006/relationships" ref="F44" r:id="rId34"/>
    <hyperlink xmlns:r="http://schemas.openxmlformats.org/officeDocument/2006/relationships" ref="F45" r:id="rId35"/>
    <hyperlink xmlns:r="http://schemas.openxmlformats.org/officeDocument/2006/relationships" ref="F46" r:id="rId36"/>
    <hyperlink xmlns:r="http://schemas.openxmlformats.org/officeDocument/2006/relationships" ref="F47" r:id="rId37"/>
    <hyperlink xmlns:r="http://schemas.openxmlformats.org/officeDocument/2006/relationships" ref="F49" r:id="rId38"/>
    <hyperlink xmlns:r="http://schemas.openxmlformats.org/officeDocument/2006/relationships" ref="F50" r:id="rId39"/>
    <hyperlink xmlns:r="http://schemas.openxmlformats.org/officeDocument/2006/relationships" ref="F51" r:id="rId40"/>
    <hyperlink xmlns:r="http://schemas.openxmlformats.org/officeDocument/2006/relationships" ref="F52" r:id="rId41"/>
    <hyperlink xmlns:r="http://schemas.openxmlformats.org/officeDocument/2006/relationships" ref="F53" r:id="rId42"/>
    <hyperlink xmlns:r="http://schemas.openxmlformats.org/officeDocument/2006/relationships" ref="F54" r:id="rId43"/>
    <hyperlink xmlns:r="http://schemas.openxmlformats.org/officeDocument/2006/relationships" ref="F55" r:id="rId44"/>
    <hyperlink xmlns:r="http://schemas.openxmlformats.org/officeDocument/2006/relationships" ref="F57" r:id="rId45"/>
    <hyperlink xmlns:r="http://schemas.openxmlformats.org/officeDocument/2006/relationships" ref="F58" r:id="rId46"/>
    <hyperlink xmlns:r="http://schemas.openxmlformats.org/officeDocument/2006/relationships" ref="F59" r:id="rId47"/>
    <hyperlink xmlns:r="http://schemas.openxmlformats.org/officeDocument/2006/relationships" ref="F60" r:id="rId48"/>
    <hyperlink xmlns:r="http://schemas.openxmlformats.org/officeDocument/2006/relationships" ref="F61" r:id="rId49"/>
    <hyperlink xmlns:r="http://schemas.openxmlformats.org/officeDocument/2006/relationships" ref="F62" r:id="rId50"/>
    <hyperlink xmlns:r="http://schemas.openxmlformats.org/officeDocument/2006/relationships" ref="F63" r:id="rId51"/>
    <hyperlink xmlns:r="http://schemas.openxmlformats.org/officeDocument/2006/relationships" ref="F64" r:id="rId52"/>
    <hyperlink xmlns:r="http://schemas.openxmlformats.org/officeDocument/2006/relationships" ref="F65" r:id="rId53"/>
    <hyperlink xmlns:r="http://schemas.openxmlformats.org/officeDocument/2006/relationships" ref="F66" r:id="rId54"/>
    <hyperlink xmlns:r="http://schemas.openxmlformats.org/officeDocument/2006/relationships" ref="F67" r:id="rId55"/>
    <hyperlink xmlns:r="http://schemas.openxmlformats.org/officeDocument/2006/relationships" ref="F68" r:id="rId56"/>
    <hyperlink xmlns:r="http://schemas.openxmlformats.org/officeDocument/2006/relationships" ref="F69" r:id="rId57"/>
    <hyperlink xmlns:r="http://schemas.openxmlformats.org/officeDocument/2006/relationships" ref="F70" r:id="rId58"/>
    <hyperlink xmlns:r="http://schemas.openxmlformats.org/officeDocument/2006/relationships" ref="F71" r:id="rId59"/>
    <hyperlink xmlns:r="http://schemas.openxmlformats.org/officeDocument/2006/relationships" ref="F72" r:id="rId60"/>
    <hyperlink xmlns:r="http://schemas.openxmlformats.org/officeDocument/2006/relationships" ref="F73" r:id="rId61"/>
    <hyperlink xmlns:r="http://schemas.openxmlformats.org/officeDocument/2006/relationships" ref="F74" r:id="rId62"/>
    <hyperlink xmlns:r="http://schemas.openxmlformats.org/officeDocument/2006/relationships" ref="F75" r:id="rId63"/>
    <hyperlink xmlns:r="http://schemas.openxmlformats.org/officeDocument/2006/relationships" ref="F76" r:id="rId64"/>
    <hyperlink xmlns:r="http://schemas.openxmlformats.org/officeDocument/2006/relationships" ref="F77" r:id="rId65"/>
    <hyperlink xmlns:r="http://schemas.openxmlformats.org/officeDocument/2006/relationships" ref="F78" r:id="rId66"/>
    <hyperlink xmlns:r="http://schemas.openxmlformats.org/officeDocument/2006/relationships" ref="F79" r:id="rId67"/>
    <hyperlink xmlns:r="http://schemas.openxmlformats.org/officeDocument/2006/relationships" ref="F80" r:id="rId68"/>
    <hyperlink xmlns:r="http://schemas.openxmlformats.org/officeDocument/2006/relationships" ref="F81" r:id="rId69"/>
    <hyperlink xmlns:r="http://schemas.openxmlformats.org/officeDocument/2006/relationships" ref="F82" r:id="rId70"/>
    <hyperlink xmlns:r="http://schemas.openxmlformats.org/officeDocument/2006/relationships" ref="F83" r:id="rId71"/>
    <hyperlink xmlns:r="http://schemas.openxmlformats.org/officeDocument/2006/relationships" ref="F84" r:id="rId72"/>
    <hyperlink xmlns:r="http://schemas.openxmlformats.org/officeDocument/2006/relationships" ref="F85" r:id="rId73"/>
    <hyperlink xmlns:r="http://schemas.openxmlformats.org/officeDocument/2006/relationships" ref="F86" r:id="rId74"/>
    <hyperlink xmlns:r="http://schemas.openxmlformats.org/officeDocument/2006/relationships" ref="F87" r:id="rId75"/>
    <hyperlink xmlns:r="http://schemas.openxmlformats.org/officeDocument/2006/relationships" ref="F88" r:id="rId76"/>
    <hyperlink xmlns:r="http://schemas.openxmlformats.org/officeDocument/2006/relationships" ref="F89" r:id="rId77"/>
    <hyperlink xmlns:r="http://schemas.openxmlformats.org/officeDocument/2006/relationships" ref="F91" r:id="rId78"/>
    <hyperlink xmlns:r="http://schemas.openxmlformats.org/officeDocument/2006/relationships" ref="F92" r:id="rId79"/>
    <hyperlink xmlns:r="http://schemas.openxmlformats.org/officeDocument/2006/relationships" ref="F93" r:id="rId80"/>
    <hyperlink xmlns:r="http://schemas.openxmlformats.org/officeDocument/2006/relationships" ref="F94" r:id="rId81"/>
    <hyperlink xmlns:r="http://schemas.openxmlformats.org/officeDocument/2006/relationships" ref="F95" r:id="rId82"/>
    <hyperlink xmlns:r="http://schemas.openxmlformats.org/officeDocument/2006/relationships" ref="F96" r:id="rId83"/>
    <hyperlink xmlns:r="http://schemas.openxmlformats.org/officeDocument/2006/relationships" ref="F97" r:id="rId84"/>
    <hyperlink xmlns:r="http://schemas.openxmlformats.org/officeDocument/2006/relationships" ref="F98" r:id="rId85"/>
    <hyperlink xmlns:r="http://schemas.openxmlformats.org/officeDocument/2006/relationships" ref="F99" r:id="rId86"/>
    <hyperlink xmlns:r="http://schemas.openxmlformats.org/officeDocument/2006/relationships" ref="F100" r:id="rId87"/>
    <hyperlink xmlns:r="http://schemas.openxmlformats.org/officeDocument/2006/relationships" ref="F101" r:id="rId88"/>
    <hyperlink xmlns:r="http://schemas.openxmlformats.org/officeDocument/2006/relationships" ref="F102" r:id="rId89"/>
    <hyperlink xmlns:r="http://schemas.openxmlformats.org/officeDocument/2006/relationships" ref="F103" r:id="rId90"/>
    <hyperlink xmlns:r="http://schemas.openxmlformats.org/officeDocument/2006/relationships" ref="F104" r:id="rId91"/>
    <hyperlink xmlns:r="http://schemas.openxmlformats.org/officeDocument/2006/relationships" ref="F105" r:id="rId92"/>
    <hyperlink xmlns:r="http://schemas.openxmlformats.org/officeDocument/2006/relationships" ref="F106" r:id="rId93"/>
    <hyperlink xmlns:r="http://schemas.openxmlformats.org/officeDocument/2006/relationships" ref="F107" r:id="rId94"/>
    <hyperlink xmlns:r="http://schemas.openxmlformats.org/officeDocument/2006/relationships" ref="F108" r:id="rId95"/>
    <hyperlink xmlns:r="http://schemas.openxmlformats.org/officeDocument/2006/relationships" ref="F109" r:id="rId96"/>
    <hyperlink xmlns:r="http://schemas.openxmlformats.org/officeDocument/2006/relationships" ref="F110" r:id="rId97"/>
    <hyperlink xmlns:r="http://schemas.openxmlformats.org/officeDocument/2006/relationships" ref="F111" r:id="rId98"/>
    <hyperlink xmlns:r="http://schemas.openxmlformats.org/officeDocument/2006/relationships" ref="F114" r:id="rId99"/>
    <hyperlink xmlns:r="http://schemas.openxmlformats.org/officeDocument/2006/relationships" ref="F115" r:id="rId100"/>
    <hyperlink xmlns:r="http://schemas.openxmlformats.org/officeDocument/2006/relationships" ref="F116" r:id="rId101"/>
    <hyperlink xmlns:r="http://schemas.openxmlformats.org/officeDocument/2006/relationships" ref="F117" r:id="rId102"/>
    <hyperlink xmlns:r="http://schemas.openxmlformats.org/officeDocument/2006/relationships" ref="F118" r:id="rId103"/>
    <hyperlink xmlns:r="http://schemas.openxmlformats.org/officeDocument/2006/relationships" ref="F119" r:id="rId104"/>
    <hyperlink xmlns:r="http://schemas.openxmlformats.org/officeDocument/2006/relationships" ref="F120" r:id="rId105"/>
    <hyperlink xmlns:r="http://schemas.openxmlformats.org/officeDocument/2006/relationships" ref="F122" r:id="rId106"/>
    <hyperlink xmlns:r="http://schemas.openxmlformats.org/officeDocument/2006/relationships" ref="F123" r:id="rId107"/>
    <hyperlink xmlns:r="http://schemas.openxmlformats.org/officeDocument/2006/relationships" ref="F124" r:id="rId108"/>
    <hyperlink xmlns:r="http://schemas.openxmlformats.org/officeDocument/2006/relationships" ref="F125" r:id="rId109"/>
    <hyperlink xmlns:r="http://schemas.openxmlformats.org/officeDocument/2006/relationships" ref="F126" r:id="rId110"/>
    <hyperlink xmlns:r="http://schemas.openxmlformats.org/officeDocument/2006/relationships" ref="F127" r:id="rId111"/>
    <hyperlink xmlns:r="http://schemas.openxmlformats.org/officeDocument/2006/relationships" ref="F128" r:id="rId112"/>
    <hyperlink xmlns:r="http://schemas.openxmlformats.org/officeDocument/2006/relationships" ref="F129" r:id="rId113"/>
    <hyperlink xmlns:r="http://schemas.openxmlformats.org/officeDocument/2006/relationships" ref="F130" r:id="rId114"/>
    <hyperlink xmlns:r="http://schemas.openxmlformats.org/officeDocument/2006/relationships" ref="F131" r:id="rId115"/>
    <hyperlink xmlns:r="http://schemas.openxmlformats.org/officeDocument/2006/relationships" ref="F132" r:id="rId116"/>
    <hyperlink xmlns:r="http://schemas.openxmlformats.org/officeDocument/2006/relationships" ref="F133" r:id="rId117"/>
    <hyperlink xmlns:r="http://schemas.openxmlformats.org/officeDocument/2006/relationships" ref="F134" r:id="rId118"/>
    <hyperlink xmlns:r="http://schemas.openxmlformats.org/officeDocument/2006/relationships" ref="F135" r:id="rId119"/>
    <hyperlink xmlns:r="http://schemas.openxmlformats.org/officeDocument/2006/relationships" ref="F136" r:id="rId120"/>
    <hyperlink xmlns:r="http://schemas.openxmlformats.org/officeDocument/2006/relationships" ref="F137" r:id="rId121"/>
    <hyperlink xmlns:r="http://schemas.openxmlformats.org/officeDocument/2006/relationships" ref="F138" r:id="rId122"/>
    <hyperlink xmlns:r="http://schemas.openxmlformats.org/officeDocument/2006/relationships" ref="F139" r:id="rId123"/>
    <hyperlink xmlns:r="http://schemas.openxmlformats.org/officeDocument/2006/relationships" ref="F140" r:id="rId124"/>
    <hyperlink xmlns:r="http://schemas.openxmlformats.org/officeDocument/2006/relationships" ref="F141" r:id="rId125"/>
    <hyperlink xmlns:r="http://schemas.openxmlformats.org/officeDocument/2006/relationships" ref="F142" r:id="rId126"/>
    <hyperlink xmlns:r="http://schemas.openxmlformats.org/officeDocument/2006/relationships" ref="F143" r:id="rId127"/>
    <hyperlink xmlns:r="http://schemas.openxmlformats.org/officeDocument/2006/relationships" ref="F144" r:id="rId128"/>
    <hyperlink xmlns:r="http://schemas.openxmlformats.org/officeDocument/2006/relationships" ref="F146" r:id="rId129"/>
    <hyperlink xmlns:r="http://schemas.openxmlformats.org/officeDocument/2006/relationships" ref="F147" r:id="rId130"/>
    <hyperlink xmlns:r="http://schemas.openxmlformats.org/officeDocument/2006/relationships" ref="F148" r:id="rId131"/>
    <hyperlink xmlns:r="http://schemas.openxmlformats.org/officeDocument/2006/relationships" ref="F149" r:id="rId132"/>
    <hyperlink xmlns:r="http://schemas.openxmlformats.org/officeDocument/2006/relationships" ref="F150" r:id="rId133"/>
    <hyperlink xmlns:r="http://schemas.openxmlformats.org/officeDocument/2006/relationships" ref="F151" r:id="rId134"/>
    <hyperlink xmlns:r="http://schemas.openxmlformats.org/officeDocument/2006/relationships" ref="F152" r:id="rId135"/>
    <hyperlink xmlns:r="http://schemas.openxmlformats.org/officeDocument/2006/relationships" ref="F154" r:id="rId136"/>
    <hyperlink xmlns:r="http://schemas.openxmlformats.org/officeDocument/2006/relationships" ref="F155" r:id="rId137"/>
    <hyperlink xmlns:r="http://schemas.openxmlformats.org/officeDocument/2006/relationships" ref="F156" r:id="rId138"/>
    <hyperlink xmlns:r="http://schemas.openxmlformats.org/officeDocument/2006/relationships" ref="F157" r:id="rId139"/>
    <hyperlink xmlns:r="http://schemas.openxmlformats.org/officeDocument/2006/relationships" ref="F158" r:id="rId140"/>
    <hyperlink xmlns:r="http://schemas.openxmlformats.org/officeDocument/2006/relationships" ref="F159" r:id="rId141"/>
    <hyperlink xmlns:r="http://schemas.openxmlformats.org/officeDocument/2006/relationships" ref="F160" r:id="rId142"/>
    <hyperlink xmlns:r="http://schemas.openxmlformats.org/officeDocument/2006/relationships" ref="F161" r:id="rId143"/>
    <hyperlink xmlns:r="http://schemas.openxmlformats.org/officeDocument/2006/relationships" ref="F162" r:id="rId144"/>
    <hyperlink xmlns:r="http://schemas.openxmlformats.org/officeDocument/2006/relationships" ref="F163" r:id="rId145"/>
    <hyperlink xmlns:r="http://schemas.openxmlformats.org/officeDocument/2006/relationships" ref="F164" r:id="rId146"/>
    <hyperlink xmlns:r="http://schemas.openxmlformats.org/officeDocument/2006/relationships" ref="F165" r:id="rId147"/>
    <hyperlink xmlns:r="http://schemas.openxmlformats.org/officeDocument/2006/relationships" ref="F170" r:id="rId148"/>
    <hyperlink xmlns:r="http://schemas.openxmlformats.org/officeDocument/2006/relationships" ref="F171" r:id="rId149"/>
    <hyperlink xmlns:r="http://schemas.openxmlformats.org/officeDocument/2006/relationships" ref="F172" r:id="rId150"/>
    <hyperlink xmlns:r="http://schemas.openxmlformats.org/officeDocument/2006/relationships" ref="F173" r:id="rId151"/>
    <hyperlink xmlns:r="http://schemas.openxmlformats.org/officeDocument/2006/relationships" ref="F174" r:id="rId152"/>
    <hyperlink xmlns:r="http://schemas.openxmlformats.org/officeDocument/2006/relationships" ref="F175" r:id="rId153"/>
    <hyperlink xmlns:r="http://schemas.openxmlformats.org/officeDocument/2006/relationships" ref="F176" r:id="rId154"/>
    <hyperlink xmlns:r="http://schemas.openxmlformats.org/officeDocument/2006/relationships" ref="F177" r:id="rId155"/>
    <hyperlink xmlns:r="http://schemas.openxmlformats.org/officeDocument/2006/relationships" ref="F178" r:id="rId156"/>
    <hyperlink xmlns:r="http://schemas.openxmlformats.org/officeDocument/2006/relationships" ref="F182" r:id="rId157"/>
    <hyperlink xmlns:r="http://schemas.openxmlformats.org/officeDocument/2006/relationships" ref="F183" r:id="rId158"/>
    <hyperlink xmlns:r="http://schemas.openxmlformats.org/officeDocument/2006/relationships" ref="F184" r:id="rId159"/>
    <hyperlink xmlns:r="http://schemas.openxmlformats.org/officeDocument/2006/relationships" ref="F185" r:id="rId160"/>
    <hyperlink xmlns:r="http://schemas.openxmlformats.org/officeDocument/2006/relationships" ref="F186" r:id="rId161"/>
    <hyperlink xmlns:r="http://schemas.openxmlformats.org/officeDocument/2006/relationships" ref="F187" r:id="rId162"/>
    <hyperlink xmlns:r="http://schemas.openxmlformats.org/officeDocument/2006/relationships" ref="F188" r:id="rId163"/>
    <hyperlink xmlns:r="http://schemas.openxmlformats.org/officeDocument/2006/relationships" ref="F189" r:id="rId164"/>
    <hyperlink xmlns:r="http://schemas.openxmlformats.org/officeDocument/2006/relationships" ref="F192" r:id="rId165"/>
    <hyperlink xmlns:r="http://schemas.openxmlformats.org/officeDocument/2006/relationships" ref="F193" r:id="rId166"/>
    <hyperlink xmlns:r="http://schemas.openxmlformats.org/officeDocument/2006/relationships" ref="F194" r:id="rId167"/>
    <hyperlink xmlns:r="http://schemas.openxmlformats.org/officeDocument/2006/relationships" ref="F195" r:id="rId168"/>
    <hyperlink xmlns:r="http://schemas.openxmlformats.org/officeDocument/2006/relationships" ref="F196" r:id="rId169"/>
    <hyperlink xmlns:r="http://schemas.openxmlformats.org/officeDocument/2006/relationships" ref="F197" r:id="rId170"/>
    <hyperlink xmlns:r="http://schemas.openxmlformats.org/officeDocument/2006/relationships" ref="F198" r:id="rId171"/>
    <hyperlink xmlns:r="http://schemas.openxmlformats.org/officeDocument/2006/relationships" ref="F199" r:id="rId172"/>
    <hyperlink xmlns:r="http://schemas.openxmlformats.org/officeDocument/2006/relationships" ref="F200" r:id="rId173"/>
    <hyperlink xmlns:r="http://schemas.openxmlformats.org/officeDocument/2006/relationships" ref="F204" r:id="rId174"/>
    <hyperlink xmlns:r="http://schemas.openxmlformats.org/officeDocument/2006/relationships" ref="F205" r:id="rId175"/>
    <hyperlink xmlns:r="http://schemas.openxmlformats.org/officeDocument/2006/relationships" ref="F206" r:id="rId176"/>
    <hyperlink xmlns:r="http://schemas.openxmlformats.org/officeDocument/2006/relationships" ref="F207" r:id="rId177"/>
    <hyperlink xmlns:r="http://schemas.openxmlformats.org/officeDocument/2006/relationships" ref="F208" r:id="rId178"/>
    <hyperlink xmlns:r="http://schemas.openxmlformats.org/officeDocument/2006/relationships" ref="F209" r:id="rId179"/>
    <hyperlink xmlns:r="http://schemas.openxmlformats.org/officeDocument/2006/relationships" ref="F210" r:id="rId180"/>
    <hyperlink xmlns:r="http://schemas.openxmlformats.org/officeDocument/2006/relationships" ref="F213" r:id="rId181"/>
    <hyperlink xmlns:r="http://schemas.openxmlformats.org/officeDocument/2006/relationships" ref="F214" r:id="rId182"/>
    <hyperlink xmlns:r="http://schemas.openxmlformats.org/officeDocument/2006/relationships" ref="F215" r:id="rId183"/>
    <hyperlink xmlns:r="http://schemas.openxmlformats.org/officeDocument/2006/relationships" ref="F216" r:id="rId184"/>
    <hyperlink xmlns:r="http://schemas.openxmlformats.org/officeDocument/2006/relationships" ref="F217" r:id="rId185"/>
    <hyperlink xmlns:r="http://schemas.openxmlformats.org/officeDocument/2006/relationships" ref="F218" r:id="rId186"/>
    <hyperlink xmlns:r="http://schemas.openxmlformats.org/officeDocument/2006/relationships" ref="F220" r:id="rId187"/>
    <hyperlink xmlns:r="http://schemas.openxmlformats.org/officeDocument/2006/relationships" ref="F221" r:id="rId188"/>
    <hyperlink xmlns:r="http://schemas.openxmlformats.org/officeDocument/2006/relationships" ref="F222" r:id="rId189"/>
    <hyperlink xmlns:r="http://schemas.openxmlformats.org/officeDocument/2006/relationships" ref="F223" r:id="rId190"/>
    <hyperlink xmlns:r="http://schemas.openxmlformats.org/officeDocument/2006/relationships" ref="F224" r:id="rId191"/>
    <hyperlink xmlns:r="http://schemas.openxmlformats.org/officeDocument/2006/relationships" ref="F225" r:id="rId192"/>
    <hyperlink xmlns:r="http://schemas.openxmlformats.org/officeDocument/2006/relationships" ref="F226" r:id="rId193"/>
    <hyperlink xmlns:r="http://schemas.openxmlformats.org/officeDocument/2006/relationships" ref="F227" r:id="rId194"/>
    <hyperlink xmlns:r="http://schemas.openxmlformats.org/officeDocument/2006/relationships" ref="F230" r:id="rId195"/>
    <hyperlink xmlns:r="http://schemas.openxmlformats.org/officeDocument/2006/relationships" ref="F231" r:id="rId196"/>
    <hyperlink xmlns:r="http://schemas.openxmlformats.org/officeDocument/2006/relationships" ref="F232" r:id="rId197"/>
    <hyperlink xmlns:r="http://schemas.openxmlformats.org/officeDocument/2006/relationships" ref="F233" r:id="rId198"/>
    <hyperlink xmlns:r="http://schemas.openxmlformats.org/officeDocument/2006/relationships" ref="F234" r:id="rId199"/>
    <hyperlink xmlns:r="http://schemas.openxmlformats.org/officeDocument/2006/relationships" ref="F235" r:id="rId200"/>
    <hyperlink xmlns:r="http://schemas.openxmlformats.org/officeDocument/2006/relationships" ref="F236" r:id="rId201"/>
    <hyperlink xmlns:r="http://schemas.openxmlformats.org/officeDocument/2006/relationships" ref="F237" r:id="rId202"/>
    <hyperlink xmlns:r="http://schemas.openxmlformats.org/officeDocument/2006/relationships" ref="F238" r:id="rId203"/>
    <hyperlink xmlns:r="http://schemas.openxmlformats.org/officeDocument/2006/relationships" ref="F239" r:id="rId204"/>
    <hyperlink xmlns:r="http://schemas.openxmlformats.org/officeDocument/2006/relationships" ref="F241" r:id="rId205"/>
    <hyperlink xmlns:r="http://schemas.openxmlformats.org/officeDocument/2006/relationships" ref="F242" r:id="rId206"/>
    <hyperlink xmlns:r="http://schemas.openxmlformats.org/officeDocument/2006/relationships" ref="F243" r:id="rId207"/>
    <hyperlink xmlns:r="http://schemas.openxmlformats.org/officeDocument/2006/relationships" ref="F244" r:id="rId208"/>
    <hyperlink xmlns:r="http://schemas.openxmlformats.org/officeDocument/2006/relationships" ref="F245" r:id="rId209"/>
    <hyperlink xmlns:r="http://schemas.openxmlformats.org/officeDocument/2006/relationships" ref="F246" r:id="rId210"/>
    <hyperlink xmlns:r="http://schemas.openxmlformats.org/officeDocument/2006/relationships" ref="F247" r:id="rId211"/>
    <hyperlink xmlns:r="http://schemas.openxmlformats.org/officeDocument/2006/relationships" ref="F248" r:id="rId212"/>
    <hyperlink xmlns:r="http://schemas.openxmlformats.org/officeDocument/2006/relationships" ref="F249" r:id="rId213"/>
    <hyperlink xmlns:r="http://schemas.openxmlformats.org/officeDocument/2006/relationships" ref="F252" r:id="rId214"/>
    <hyperlink xmlns:r="http://schemas.openxmlformats.org/officeDocument/2006/relationships" ref="F253" r:id="rId215"/>
    <hyperlink xmlns:r="http://schemas.openxmlformats.org/officeDocument/2006/relationships" ref="F254" r:id="rId216"/>
    <hyperlink xmlns:r="http://schemas.openxmlformats.org/officeDocument/2006/relationships" ref="F255" r:id="rId217"/>
    <hyperlink xmlns:r="http://schemas.openxmlformats.org/officeDocument/2006/relationships" ref="F256" r:id="rId218"/>
    <hyperlink xmlns:r="http://schemas.openxmlformats.org/officeDocument/2006/relationships" ref="F257" r:id="rId219"/>
    <hyperlink xmlns:r="http://schemas.openxmlformats.org/officeDocument/2006/relationships" ref="F258" r:id="rId220"/>
    <hyperlink xmlns:r="http://schemas.openxmlformats.org/officeDocument/2006/relationships" ref="F259" r:id="rId221"/>
    <hyperlink xmlns:r="http://schemas.openxmlformats.org/officeDocument/2006/relationships" ref="F260" r:id="rId222"/>
    <hyperlink xmlns:r="http://schemas.openxmlformats.org/officeDocument/2006/relationships" ref="F261" r:id="rId223"/>
    <hyperlink xmlns:r="http://schemas.openxmlformats.org/officeDocument/2006/relationships" ref="F262" r:id="rId224"/>
    <hyperlink xmlns:r="http://schemas.openxmlformats.org/officeDocument/2006/relationships" ref="F263" r:id="rId225"/>
    <hyperlink xmlns:r="http://schemas.openxmlformats.org/officeDocument/2006/relationships" ref="F264" r:id="rId226"/>
    <hyperlink xmlns:r="http://schemas.openxmlformats.org/officeDocument/2006/relationships" ref="F265" r:id="rId227"/>
    <hyperlink xmlns:r="http://schemas.openxmlformats.org/officeDocument/2006/relationships" ref="F266" r:id="rId228"/>
    <hyperlink xmlns:r="http://schemas.openxmlformats.org/officeDocument/2006/relationships" ref="F267" r:id="rId229"/>
    <hyperlink xmlns:r="http://schemas.openxmlformats.org/officeDocument/2006/relationships" ref="F268" r:id="rId230"/>
    <hyperlink xmlns:r="http://schemas.openxmlformats.org/officeDocument/2006/relationships" ref="F269" r:id="rId231"/>
    <hyperlink xmlns:r="http://schemas.openxmlformats.org/officeDocument/2006/relationships" ref="F272" r:id="rId232"/>
    <hyperlink xmlns:r="http://schemas.openxmlformats.org/officeDocument/2006/relationships" ref="F273" r:id="rId233"/>
    <hyperlink xmlns:r="http://schemas.openxmlformats.org/officeDocument/2006/relationships" ref="F274" r:id="rId234"/>
    <hyperlink xmlns:r="http://schemas.openxmlformats.org/officeDocument/2006/relationships" ref="F275" r:id="rId235"/>
    <hyperlink xmlns:r="http://schemas.openxmlformats.org/officeDocument/2006/relationships" ref="F276" r:id="rId236"/>
    <hyperlink xmlns:r="http://schemas.openxmlformats.org/officeDocument/2006/relationships" ref="F277" r:id="rId237"/>
    <hyperlink xmlns:r="http://schemas.openxmlformats.org/officeDocument/2006/relationships" ref="F279" r:id="rId238"/>
    <hyperlink xmlns:r="http://schemas.openxmlformats.org/officeDocument/2006/relationships" ref="F280" r:id="rId239"/>
    <hyperlink xmlns:r="http://schemas.openxmlformats.org/officeDocument/2006/relationships" ref="F281" r:id="rId240"/>
    <hyperlink xmlns:r="http://schemas.openxmlformats.org/officeDocument/2006/relationships" ref="F282" r:id="rId241"/>
    <hyperlink xmlns:r="http://schemas.openxmlformats.org/officeDocument/2006/relationships" ref="F283" r:id="rId242"/>
    <hyperlink xmlns:r="http://schemas.openxmlformats.org/officeDocument/2006/relationships" ref="F284" r:id="rId243"/>
    <hyperlink xmlns:r="http://schemas.openxmlformats.org/officeDocument/2006/relationships" ref="F285" r:id="rId244"/>
    <hyperlink xmlns:r="http://schemas.openxmlformats.org/officeDocument/2006/relationships" ref="F286" r:id="rId245"/>
    <hyperlink xmlns:r="http://schemas.openxmlformats.org/officeDocument/2006/relationships" ref="F287" r:id="rId246"/>
    <hyperlink xmlns:r="http://schemas.openxmlformats.org/officeDocument/2006/relationships" ref="F288" r:id="rId247"/>
    <hyperlink xmlns:r="http://schemas.openxmlformats.org/officeDocument/2006/relationships" ref="F289" r:id="rId248"/>
    <hyperlink xmlns:r="http://schemas.openxmlformats.org/officeDocument/2006/relationships" ref="F292" r:id="rId249"/>
    <hyperlink xmlns:r="http://schemas.openxmlformats.org/officeDocument/2006/relationships" ref="F293" r:id="rId250"/>
    <hyperlink xmlns:r="http://schemas.openxmlformats.org/officeDocument/2006/relationships" ref="F294" r:id="rId251"/>
    <hyperlink xmlns:r="http://schemas.openxmlformats.org/officeDocument/2006/relationships" ref="F295" r:id="rId252"/>
    <hyperlink xmlns:r="http://schemas.openxmlformats.org/officeDocument/2006/relationships" ref="F296" r:id="rId253"/>
    <hyperlink xmlns:r="http://schemas.openxmlformats.org/officeDocument/2006/relationships" ref="F298" r:id="rId254"/>
    <hyperlink xmlns:r="http://schemas.openxmlformats.org/officeDocument/2006/relationships" ref="F299" r:id="rId255"/>
    <hyperlink xmlns:r="http://schemas.openxmlformats.org/officeDocument/2006/relationships" ref="F300" r:id="rId256"/>
    <hyperlink xmlns:r="http://schemas.openxmlformats.org/officeDocument/2006/relationships" ref="F301" r:id="rId257"/>
    <hyperlink xmlns:r="http://schemas.openxmlformats.org/officeDocument/2006/relationships" ref="F302" r:id="rId258"/>
    <hyperlink xmlns:r="http://schemas.openxmlformats.org/officeDocument/2006/relationships" ref="F303" r:id="rId259"/>
    <hyperlink xmlns:r="http://schemas.openxmlformats.org/officeDocument/2006/relationships" ref="F304" r:id="rId260"/>
    <hyperlink xmlns:r="http://schemas.openxmlformats.org/officeDocument/2006/relationships" ref="F306" r:id="rId261"/>
    <hyperlink xmlns:r="http://schemas.openxmlformats.org/officeDocument/2006/relationships" ref="F307" r:id="rId262"/>
    <hyperlink xmlns:r="http://schemas.openxmlformats.org/officeDocument/2006/relationships" ref="F308" r:id="rId263"/>
    <hyperlink xmlns:r="http://schemas.openxmlformats.org/officeDocument/2006/relationships" ref="F311" r:id="rId264"/>
    <hyperlink xmlns:r="http://schemas.openxmlformats.org/officeDocument/2006/relationships" ref="F312" r:id="rId265"/>
    <hyperlink xmlns:r="http://schemas.openxmlformats.org/officeDocument/2006/relationships" ref="F313" r:id="rId266"/>
    <hyperlink xmlns:r="http://schemas.openxmlformats.org/officeDocument/2006/relationships" ref="F314" r:id="rId267"/>
    <hyperlink xmlns:r="http://schemas.openxmlformats.org/officeDocument/2006/relationships" ref="F315" r:id="rId268"/>
    <hyperlink xmlns:r="http://schemas.openxmlformats.org/officeDocument/2006/relationships" ref="F316" r:id="rId269"/>
    <hyperlink xmlns:r="http://schemas.openxmlformats.org/officeDocument/2006/relationships" ref="F317" r:id="rId270"/>
    <hyperlink xmlns:r="http://schemas.openxmlformats.org/officeDocument/2006/relationships" ref="F318" r:id="rId271"/>
    <hyperlink xmlns:r="http://schemas.openxmlformats.org/officeDocument/2006/relationships" ref="F319" r:id="rId272"/>
    <hyperlink xmlns:r="http://schemas.openxmlformats.org/officeDocument/2006/relationships" ref="F320" r:id="rId273"/>
    <hyperlink xmlns:r="http://schemas.openxmlformats.org/officeDocument/2006/relationships" ref="F321" r:id="rId274"/>
    <hyperlink xmlns:r="http://schemas.openxmlformats.org/officeDocument/2006/relationships" ref="F322" r:id="rId275"/>
    <hyperlink xmlns:r="http://schemas.openxmlformats.org/officeDocument/2006/relationships" ref="F323" r:id="rId276"/>
    <hyperlink xmlns:r="http://schemas.openxmlformats.org/officeDocument/2006/relationships" ref="F324" r:id="rId277"/>
    <hyperlink xmlns:r="http://schemas.openxmlformats.org/officeDocument/2006/relationships" ref="F325" r:id="rId278"/>
    <hyperlink xmlns:r="http://schemas.openxmlformats.org/officeDocument/2006/relationships" ref="F326" r:id="rId279"/>
    <hyperlink xmlns:r="http://schemas.openxmlformats.org/officeDocument/2006/relationships" ref="F327" r:id="rId280"/>
    <hyperlink xmlns:r="http://schemas.openxmlformats.org/officeDocument/2006/relationships" ref="F328" r:id="rId281"/>
    <hyperlink xmlns:r="http://schemas.openxmlformats.org/officeDocument/2006/relationships" ref="F329" r:id="rId282"/>
    <hyperlink xmlns:r="http://schemas.openxmlformats.org/officeDocument/2006/relationships" ref="F330" r:id="rId283"/>
    <hyperlink xmlns:r="http://schemas.openxmlformats.org/officeDocument/2006/relationships" ref="F331" r:id="rId284"/>
    <hyperlink xmlns:r="http://schemas.openxmlformats.org/officeDocument/2006/relationships" ref="F333" r:id="rId285"/>
    <hyperlink xmlns:r="http://schemas.openxmlformats.org/officeDocument/2006/relationships" ref="F334" r:id="rId286"/>
    <hyperlink xmlns:r="http://schemas.openxmlformats.org/officeDocument/2006/relationships" ref="F335" r:id="rId287"/>
    <hyperlink xmlns:r="http://schemas.openxmlformats.org/officeDocument/2006/relationships" ref="F336" r:id="rId288"/>
    <hyperlink xmlns:r="http://schemas.openxmlformats.org/officeDocument/2006/relationships" ref="F337" r:id="rId289"/>
    <hyperlink xmlns:r="http://schemas.openxmlformats.org/officeDocument/2006/relationships" ref="F338" r:id="rId290"/>
    <hyperlink xmlns:r="http://schemas.openxmlformats.org/officeDocument/2006/relationships" ref="F339" r:id="rId291"/>
    <hyperlink xmlns:r="http://schemas.openxmlformats.org/officeDocument/2006/relationships" ref="F340" r:id="rId292"/>
    <hyperlink xmlns:r="http://schemas.openxmlformats.org/officeDocument/2006/relationships" ref="F342" r:id="rId293"/>
    <hyperlink xmlns:r="http://schemas.openxmlformats.org/officeDocument/2006/relationships" ref="F343" r:id="rId294"/>
    <hyperlink xmlns:r="http://schemas.openxmlformats.org/officeDocument/2006/relationships" ref="F344" r:id="rId295"/>
    <hyperlink xmlns:r="http://schemas.openxmlformats.org/officeDocument/2006/relationships" ref="F345" r:id="rId296"/>
    <hyperlink xmlns:r="http://schemas.openxmlformats.org/officeDocument/2006/relationships" ref="F346" r:id="rId297"/>
    <hyperlink xmlns:r="http://schemas.openxmlformats.org/officeDocument/2006/relationships" ref="F347" r:id="rId298"/>
    <hyperlink xmlns:r="http://schemas.openxmlformats.org/officeDocument/2006/relationships" ref="F348" r:id="rId299"/>
    <hyperlink xmlns:r="http://schemas.openxmlformats.org/officeDocument/2006/relationships" ref="F349" r:id="rId300"/>
    <hyperlink xmlns:r="http://schemas.openxmlformats.org/officeDocument/2006/relationships" ref="F351" r:id="rId301"/>
    <hyperlink xmlns:r="http://schemas.openxmlformats.org/officeDocument/2006/relationships" ref="F352" r:id="rId302"/>
    <hyperlink xmlns:r="http://schemas.openxmlformats.org/officeDocument/2006/relationships" ref="F353" r:id="rId303"/>
    <hyperlink xmlns:r="http://schemas.openxmlformats.org/officeDocument/2006/relationships" ref="F354" r:id="rId304"/>
    <hyperlink xmlns:r="http://schemas.openxmlformats.org/officeDocument/2006/relationships" ref="F355" r:id="rId305"/>
    <hyperlink xmlns:r="http://schemas.openxmlformats.org/officeDocument/2006/relationships" ref="F356" r:id="rId306"/>
    <hyperlink xmlns:r="http://schemas.openxmlformats.org/officeDocument/2006/relationships" ref="F357" r:id="rId307"/>
    <hyperlink xmlns:r="http://schemas.openxmlformats.org/officeDocument/2006/relationships" ref="F358" r:id="rId308"/>
    <hyperlink xmlns:r="http://schemas.openxmlformats.org/officeDocument/2006/relationships" ref="F359" r:id="rId309"/>
    <hyperlink xmlns:r="http://schemas.openxmlformats.org/officeDocument/2006/relationships" ref="F362" r:id="rId310"/>
    <hyperlink xmlns:r="http://schemas.openxmlformats.org/officeDocument/2006/relationships" ref="F363" r:id="rId311"/>
    <hyperlink xmlns:r="http://schemas.openxmlformats.org/officeDocument/2006/relationships" ref="F364" r:id="rId312"/>
    <hyperlink xmlns:r="http://schemas.openxmlformats.org/officeDocument/2006/relationships" ref="F365" r:id="rId313"/>
    <hyperlink xmlns:r="http://schemas.openxmlformats.org/officeDocument/2006/relationships" ref="F366" r:id="rId314"/>
    <hyperlink xmlns:r="http://schemas.openxmlformats.org/officeDocument/2006/relationships" ref="F367" r:id="rId315"/>
    <hyperlink xmlns:r="http://schemas.openxmlformats.org/officeDocument/2006/relationships" ref="F368" r:id="rId316"/>
    <hyperlink xmlns:r="http://schemas.openxmlformats.org/officeDocument/2006/relationships" ref="F369" r:id="rId317"/>
    <hyperlink xmlns:r="http://schemas.openxmlformats.org/officeDocument/2006/relationships" ref="F370" r:id="rId318"/>
    <hyperlink xmlns:r="http://schemas.openxmlformats.org/officeDocument/2006/relationships" ref="F371" r:id="rId319"/>
    <hyperlink xmlns:r="http://schemas.openxmlformats.org/officeDocument/2006/relationships" ref="F372" r:id="rId320"/>
    <hyperlink xmlns:r="http://schemas.openxmlformats.org/officeDocument/2006/relationships" ref="F373" r:id="rId321"/>
    <hyperlink xmlns:r="http://schemas.openxmlformats.org/officeDocument/2006/relationships" ref="F375" r:id="rId322"/>
    <hyperlink xmlns:r="http://schemas.openxmlformats.org/officeDocument/2006/relationships" ref="F376" r:id="rId323"/>
    <hyperlink xmlns:r="http://schemas.openxmlformats.org/officeDocument/2006/relationships" ref="F377" r:id="rId324"/>
    <hyperlink xmlns:r="http://schemas.openxmlformats.org/officeDocument/2006/relationships" ref="F378" r:id="rId325"/>
    <hyperlink xmlns:r="http://schemas.openxmlformats.org/officeDocument/2006/relationships" ref="F379" r:id="rId326"/>
    <hyperlink xmlns:r="http://schemas.openxmlformats.org/officeDocument/2006/relationships" ref="F380" r:id="rId327"/>
    <hyperlink xmlns:r="http://schemas.openxmlformats.org/officeDocument/2006/relationships" ref="F381" r:id="rId328"/>
    <hyperlink xmlns:r="http://schemas.openxmlformats.org/officeDocument/2006/relationships" ref="F383" r:id="rId329"/>
    <hyperlink xmlns:r="http://schemas.openxmlformats.org/officeDocument/2006/relationships" ref="F384" r:id="rId330"/>
    <hyperlink xmlns:r="http://schemas.openxmlformats.org/officeDocument/2006/relationships" ref="F385" r:id="rId331"/>
    <hyperlink xmlns:r="http://schemas.openxmlformats.org/officeDocument/2006/relationships" ref="F386" r:id="rId332"/>
    <hyperlink xmlns:r="http://schemas.openxmlformats.org/officeDocument/2006/relationships" ref="F387" r:id="rId333"/>
    <hyperlink xmlns:r="http://schemas.openxmlformats.org/officeDocument/2006/relationships" ref="F388" r:id="rId334"/>
    <hyperlink xmlns:r="http://schemas.openxmlformats.org/officeDocument/2006/relationships" ref="F389" r:id="rId335"/>
    <hyperlink xmlns:r="http://schemas.openxmlformats.org/officeDocument/2006/relationships" ref="F390" r:id="rId336"/>
    <hyperlink xmlns:r="http://schemas.openxmlformats.org/officeDocument/2006/relationships" ref="F391" r:id="rId337"/>
    <hyperlink xmlns:r="http://schemas.openxmlformats.org/officeDocument/2006/relationships" ref="F392" r:id="rId338"/>
    <hyperlink xmlns:r="http://schemas.openxmlformats.org/officeDocument/2006/relationships" ref="F393" r:id="rId339"/>
    <hyperlink xmlns:r="http://schemas.openxmlformats.org/officeDocument/2006/relationships" ref="F394" r:id="rId340"/>
    <hyperlink xmlns:r="http://schemas.openxmlformats.org/officeDocument/2006/relationships" ref="F395" r:id="rId341"/>
    <hyperlink xmlns:r="http://schemas.openxmlformats.org/officeDocument/2006/relationships" ref="F396" r:id="rId342"/>
    <hyperlink xmlns:r="http://schemas.openxmlformats.org/officeDocument/2006/relationships" ref="F397" r:id="rId343"/>
    <hyperlink xmlns:r="http://schemas.openxmlformats.org/officeDocument/2006/relationships" ref="F398" r:id="rId344"/>
    <hyperlink xmlns:r="http://schemas.openxmlformats.org/officeDocument/2006/relationships" ref="F399" r:id="rId345"/>
    <hyperlink xmlns:r="http://schemas.openxmlformats.org/officeDocument/2006/relationships" ref="F400" r:id="rId346"/>
    <hyperlink xmlns:r="http://schemas.openxmlformats.org/officeDocument/2006/relationships" ref="F401" r:id="rId347"/>
    <hyperlink xmlns:r="http://schemas.openxmlformats.org/officeDocument/2006/relationships" ref="F402" r:id="rId348"/>
    <hyperlink xmlns:r="http://schemas.openxmlformats.org/officeDocument/2006/relationships" ref="F403" r:id="rId349"/>
    <hyperlink xmlns:r="http://schemas.openxmlformats.org/officeDocument/2006/relationships" ref="F405" r:id="rId350"/>
    <hyperlink xmlns:r="http://schemas.openxmlformats.org/officeDocument/2006/relationships" ref="F406" r:id="rId351"/>
    <hyperlink xmlns:r="http://schemas.openxmlformats.org/officeDocument/2006/relationships" ref="F407" r:id="rId352"/>
    <hyperlink xmlns:r="http://schemas.openxmlformats.org/officeDocument/2006/relationships" ref="F408" r:id="rId353"/>
    <hyperlink xmlns:r="http://schemas.openxmlformats.org/officeDocument/2006/relationships" ref="F409" r:id="rId354"/>
    <hyperlink xmlns:r="http://schemas.openxmlformats.org/officeDocument/2006/relationships" ref="F410" r:id="rId355"/>
    <hyperlink xmlns:r="http://schemas.openxmlformats.org/officeDocument/2006/relationships" ref="F411" r:id="rId356"/>
    <hyperlink xmlns:r="http://schemas.openxmlformats.org/officeDocument/2006/relationships" ref="F412" r:id="rId357"/>
    <hyperlink xmlns:r="http://schemas.openxmlformats.org/officeDocument/2006/relationships" ref="F413" r:id="rId358"/>
  </hyperlinks>
  <pageMargins left="0.75" right="0.75" top="1" bottom="1" header="0.5" footer="0.5"/>
  <tableParts count="1">
    <tablePart xmlns:r="http://schemas.openxmlformats.org/officeDocument/2006/relationships" r:id="rId359"/>
  </tableParts>
</worksheet>
</file>

<file path=xl/worksheets/sheet3.xml><?xml version="1.0" encoding="utf-8"?>
<worksheet xmlns="http://schemas.openxmlformats.org/spreadsheetml/2006/main">
  <sheetPr>
    <outlinePr summaryBelow="1" summaryRight="1"/>
    <pageSetUpPr/>
  </sheetPr>
  <dimension ref="A1:G1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28" customWidth="1" min="3" max="3"/>
    <col width="70" customWidth="1" min="4" max="4"/>
    <col width="12" customWidth="1" min="5" max="5"/>
    <col width="16" customWidth="1" min="6" max="6"/>
    <col width="60" customWidth="1" min="7" max="7"/>
  </cols>
  <sheetData>
    <row r="1" ht="34" customHeight="1">
      <c r="A1" s="3" t="inlineStr">
        <is>
          <t>State</t>
        </is>
      </c>
      <c r="B1" s="3" t="inlineStr">
        <is>
          <t>Type</t>
        </is>
      </c>
      <c r="C1" s="3" t="inlineStr">
        <is>
          <t>Publisher (site)</t>
        </is>
      </c>
      <c r="D1" s="3" t="inlineStr">
        <is>
          <t>Title (click to open)</t>
        </is>
      </c>
      <c r="E1" s="3" t="inlineStr">
        <is>
          <t>Page date</t>
        </is>
      </c>
      <c r="F1" s="3" t="inlineStr">
        <is>
          <t>Also cited for</t>
        </is>
      </c>
      <c r="G1" s="3" t="inlineStr">
        <is>
          <t>URL</t>
        </is>
      </c>
    </row>
    <row r="2" ht="30" customHeight="1">
      <c r="A2" s="13" t="inlineStr">
        <is>
          <t>Alabama</t>
        </is>
      </c>
      <c r="B2" s="4" t="inlineStr">
        <is>
          <t>State government</t>
        </is>
      </c>
      <c r="C2" s="4" t="inlineStr">
        <is>
          <t>revenue.alabama.gov</t>
        </is>
      </c>
      <c r="D2" s="15" t="inlineStr">
        <is>
          <t>HB73 ENROLLED ACT #2024-3^^/</t>
        </is>
      </c>
      <c r="E2" s="4" t="inlineStr">
        <is>
          <t>2024</t>
        </is>
      </c>
      <c r="F2" s="4" t="n"/>
      <c r="G2" s="4" t="inlineStr">
        <is>
          <t>https://www.revenue.alabama.gov/wp-content/uploads/2025/03/HB73.pdf</t>
        </is>
      </c>
    </row>
    <row r="3" ht="30" customHeight="1">
      <c r="A3" s="13" t="inlineStr">
        <is>
          <t>Alabama</t>
        </is>
      </c>
      <c r="B3" s="4" t="inlineStr">
        <is>
          <t>State government</t>
        </is>
      </c>
      <c r="C3" s="4" t="inlineStr">
        <is>
          <t>revenue.alabama.gov</t>
        </is>
      </c>
      <c r="D3" s="15" t="inlineStr">
        <is>
          <t>Homestead Exemptions</t>
        </is>
      </c>
      <c r="E3" s="4" t="n"/>
      <c r="F3" s="4" t="n"/>
      <c r="G3" s="4" t="inlineStr">
        <is>
          <t>https://www.revenue.alabama.gov/property-tax/homestead-exemptions/</t>
        </is>
      </c>
    </row>
    <row r="4" ht="30" customHeight="1">
      <c r="A4" s="13" t="inlineStr">
        <is>
          <t>Alabama</t>
        </is>
      </c>
      <c r="B4" s="4" t="inlineStr">
        <is>
          <t>Courts &amp; legal codes</t>
        </is>
      </c>
      <c r="C4" s="4" t="inlineStr">
        <is>
          <t>law.justia.com</t>
        </is>
      </c>
      <c r="D4" s="15" t="inlineStr">
        <is>
          <t>CA-888542</t>
        </is>
      </c>
      <c r="E4" s="4" t="n"/>
      <c r="F4" s="4" t="n"/>
      <c r="G4" s="4" t="inlineStr">
        <is>
          <t>https://law.justia.com/constitution/alabama/CA-888542.html</t>
        </is>
      </c>
    </row>
    <row r="5" ht="30" customHeight="1">
      <c r="A5" s="13" t="inlineStr">
        <is>
          <t>Alabama</t>
        </is>
      </c>
      <c r="B5" s="4" t="inlineStr">
        <is>
          <t>Research &amp; associations</t>
        </is>
      </c>
      <c r="C5" s="4" t="inlineStr">
        <is>
          <t>lincolninst.edu</t>
        </is>
      </c>
      <c r="D5" s="15" t="inlineStr">
        <is>
          <t>Ad Valorem Tax Constitutional Provisions:</t>
        </is>
      </c>
      <c r="E5" s="4" t="inlineStr">
        <is>
          <t>2022</t>
        </is>
      </c>
      <c r="F5" s="4" t="n"/>
      <c r="G5" s="4" t="inlineStr">
        <is>
          <t>https://www.lincolninst.edu/app/uploads/legacy-files/gwipp/upload/sources/Alabama/2021/al_ad_valorem_tax_guide.pdf</t>
        </is>
      </c>
    </row>
    <row r="6" ht="30" customHeight="1">
      <c r="A6" s="13" t="inlineStr">
        <is>
          <t>Alabama</t>
        </is>
      </c>
      <c r="B6" s="4" t="inlineStr">
        <is>
          <t>Free-market groups &amp; GOP caucuses</t>
        </is>
      </c>
      <c r="C6" s="4" t="inlineStr">
        <is>
          <t>1819news.com</t>
        </is>
      </c>
      <c r="D6" s="15" t="inlineStr">
        <is>
          <t>Alabama’s 7% property tax reappraisal cap expires in 2027</t>
        </is>
      </c>
      <c r="E6" s="4" t="inlineStr">
        <is>
          <t>2026-08-22</t>
        </is>
      </c>
      <c r="F6" s="4" t="n"/>
      <c r="G6" s="4" t="inlineStr">
        <is>
          <t>https://1819news.com/news/item/alabamas-7-property-tax-reappraisal-cap-expires-in-2027-will-lawmakers-extend-it</t>
        </is>
      </c>
    </row>
    <row r="7" ht="30" customHeight="1">
      <c r="A7" s="13" t="inlineStr">
        <is>
          <t>Alabama</t>
        </is>
      </c>
      <c r="B7" s="4" t="inlineStr">
        <is>
          <t>Courts &amp; legal codes</t>
        </is>
      </c>
      <c r="C7" s="4" t="inlineStr">
        <is>
          <t>legiscan.com</t>
        </is>
      </c>
      <c r="D7" s="15" t="inlineStr">
        <is>
          <t>text HB310 2026</t>
        </is>
      </c>
      <c r="E7" s="4" t="n"/>
      <c r="F7" s="4" t="n"/>
      <c r="G7" s="4" t="inlineStr">
        <is>
          <t>https://legiscan.com/AL/text/HB310/2026</t>
        </is>
      </c>
    </row>
    <row r="8" ht="30" customHeight="1">
      <c r="A8" s="13" t="inlineStr">
        <is>
          <t>Alabama</t>
        </is>
      </c>
      <c r="B8" s="4" t="inlineStr">
        <is>
          <t>Research &amp; associations</t>
        </is>
      </c>
      <c r="C8" s="4" t="inlineStr">
        <is>
          <t>apps.lincolninst.edu</t>
        </is>
      </c>
      <c r="D8" s="15" t="inlineStr">
        <is>
          <t>rate-limits-2022-4.xlsx</t>
        </is>
      </c>
      <c r="E8" s="4" t="n"/>
      <c r="F8" s="4" t="inlineStr">
        <is>
          <t>FL, IA, ID, KS, KY, LA, MA, MI, MO, NM, NV, SC, SD, UT, WA, WV, WY</t>
        </is>
      </c>
      <c r="G8" s="4" t="inlineStr">
        <is>
          <t>https://apps.lincolninst.edu/uploads/summary-tables/rate-limits-summary-tables/rate-limits-2022-4.xlsx</t>
        </is>
      </c>
    </row>
    <row r="9" ht="30" customHeight="1">
      <c r="A9" s="13" t="inlineStr">
        <is>
          <t>Alabama</t>
        </is>
      </c>
      <c r="B9" s="4" t="inlineStr">
        <is>
          <t>Federal government &amp; data</t>
        </is>
      </c>
      <c r="C9" s="4" t="inlineStr">
        <is>
          <t>www2.census.gov</t>
        </is>
      </c>
      <c r="D9" s="15" t="inlineStr">
        <is>
          <t>22slsstab1.xlsx</t>
        </is>
      </c>
      <c r="E9" s="4" t="n"/>
      <c r="F9" s="4" t="inlineStr">
        <is>
          <t>AR, IA, KS, KY, LA, MA, MD, ME, MI, MN, MO, MS, MT, NC, ND, NE, NH, NJ, NM, NV, NY, OH, OK, OR, PA, RI, SC, SD, TN, TX, UT, VA, VT, WA, WI, WV, WY</t>
        </is>
      </c>
      <c r="G9" s="4" t="inlineStr">
        <is>
          <t>https://www2.census.gov/programs-surveys/gov-finances/tables/2022/22slsstab1.xlsx</t>
        </is>
      </c>
    </row>
    <row r="10" ht="30" customHeight="1">
      <c r="A10" s="13" t="inlineStr">
        <is>
          <t>Alabama</t>
        </is>
      </c>
      <c r="B10" s="4" t="inlineStr">
        <is>
          <t>Free-market groups &amp; GOP caucuses</t>
        </is>
      </c>
      <c r="C10" s="4" t="inlineStr">
        <is>
          <t>taxfoundation.org</t>
        </is>
      </c>
      <c r="D10" s="15" t="inlineStr">
        <is>
          <t>2026 State and Local Sales Tax Rates</t>
        </is>
      </c>
      <c r="E10" s="4" t="inlineStr">
        <is>
          <t>2026-01-20</t>
        </is>
      </c>
      <c r="F10" s="4" t="inlineStr">
        <is>
          <t>KS, LA</t>
        </is>
      </c>
      <c r="G10" s="4" t="inlineStr">
        <is>
          <t>https://taxfoundation.org/data/all/state/sales-tax-rates/</t>
        </is>
      </c>
    </row>
    <row r="11" ht="30" customHeight="1">
      <c r="A11" s="13" t="inlineStr">
        <is>
          <t>Alabama</t>
        </is>
      </c>
      <c r="B11" s="4" t="inlineStr">
        <is>
          <t>State government</t>
        </is>
      </c>
      <c r="C11" s="4" t="inlineStr">
        <is>
          <t>revenue.alabama.gov</t>
        </is>
      </c>
      <c r="D11" s="15" t="inlineStr">
        <is>
          <t>7% Cap Information - HB73 (Act 2024-344)</t>
        </is>
      </c>
      <c r="E11" s="4" t="n"/>
      <c r="F11" s="4" t="n"/>
      <c r="G11" s="4" t="inlineStr">
        <is>
          <t>https://www.revenue.alabama.gov/property-tax/7-cap-information-hb73-act-2024-344/</t>
        </is>
      </c>
    </row>
    <row r="12" ht="30" customHeight="1">
      <c r="A12" s="13" t="inlineStr">
        <is>
          <t>Alabama</t>
        </is>
      </c>
      <c r="B12" s="4" t="inlineStr">
        <is>
          <t>Bills &amp; legislative documents</t>
        </is>
      </c>
      <c r="C12" s="4" t="inlineStr">
        <is>
          <t>alison.legislature.state.al.us</t>
        </is>
      </c>
      <c r="D12" s="15" t="inlineStr">
        <is>
          <t>HB167 INTRODUCED AR88R7Q-1</t>
        </is>
      </c>
      <c r="E12" s="4" t="n"/>
      <c r="F12" s="4" t="n"/>
      <c r="G12" s="4" t="inlineStr">
        <is>
          <t>https://alison.legislature.state.al.us/files/pdf/SearchableInstruments/2026RS/HB167-int.pdf</t>
        </is>
      </c>
    </row>
    <row r="13" ht="30" customHeight="1">
      <c r="A13" s="13" t="inlineStr">
        <is>
          <t>Alabama</t>
        </is>
      </c>
      <c r="B13" s="4" t="inlineStr">
        <is>
          <t>Research &amp; associations</t>
        </is>
      </c>
      <c r="C13" s="4" t="inlineStr">
        <is>
          <t>alabar.org</t>
        </is>
      </c>
      <c r="D13" s="15" t="inlineStr">
        <is>
          <t>Tax - 2026 Regular Session</t>
        </is>
      </c>
      <c r="E13" s="4" t="n"/>
      <c r="F13" s="4" t="n"/>
      <c r="G13" s="4" t="inlineStr">
        <is>
          <t>https://www.alabar.org/assets/2026/03/Tax-3.20.26.pdf</t>
        </is>
      </c>
    </row>
    <row r="14" ht="30" customHeight="1">
      <c r="A14" s="13" t="inlineStr">
        <is>
          <t>Alabama</t>
        </is>
      </c>
      <c r="B14" s="4" t="inlineStr">
        <is>
          <t>News</t>
        </is>
      </c>
      <c r="C14" s="4" t="inlineStr">
        <is>
          <t>fox10tv.com</t>
        </is>
      </c>
      <c r="D14" s="15" t="inlineStr">
        <is>
          <t>Decision 2026: Alabama sample ballots now available for Nov. 3 election</t>
        </is>
      </c>
      <c r="E14" s="4" t="inlineStr">
        <is>
          <t>2026-09-14</t>
        </is>
      </c>
      <c r="F14" s="4" t="n"/>
      <c r="G14" s="4" t="inlineStr">
        <is>
          <t>https://www.fox10tv.com/2026/09/14/decision-2026-alabama-sample-ballots-now-available-nov-3-election/</t>
        </is>
      </c>
    </row>
    <row r="15" ht="30" customHeight="1">
      <c r="A15" s="13" t="inlineStr">
        <is>
          <t>Alabama</t>
        </is>
      </c>
      <c r="B15" s="4" t="inlineStr">
        <is>
          <t>News</t>
        </is>
      </c>
      <c r="C15" s="4" t="inlineStr">
        <is>
          <t>alreporter.com</t>
        </is>
      </c>
      <c r="D15" s="15" t="inlineStr">
        <is>
          <t>Tuscaloosa residents reject property tax increase for schools</t>
        </is>
      </c>
      <c r="E15" s="4" t="inlineStr">
        <is>
          <t>2024-09-25</t>
        </is>
      </c>
      <c r="F15" s="4" t="n"/>
      <c r="G15" s="4" t="inlineStr">
        <is>
          <t>https://www.alreporter.com/2024/09/25/tuscaloosa-residents-reject-property-tax-increase-for-schools/</t>
        </is>
      </c>
    </row>
    <row r="16" ht="30" customHeight="1">
      <c r="A16" s="13" t="inlineStr">
        <is>
          <t>Alabama</t>
        </is>
      </c>
      <c r="B16" s="4" t="inlineStr">
        <is>
          <t>Free-market groups &amp; GOP caucuses</t>
        </is>
      </c>
      <c r="C16" s="4" t="inlineStr">
        <is>
          <t>alabamapolicy.org</t>
        </is>
      </c>
      <c r="D16" s="15" t="inlineStr">
        <is>
          <t>API: Top 10 Things the AL Legislature Should Accomplish in 2024</t>
        </is>
      </c>
      <c r="E16" s="4" t="inlineStr">
        <is>
          <t>2024-02-05</t>
        </is>
      </c>
      <c r="F16" s="4" t="n"/>
      <c r="G16" s="4" t="inlineStr">
        <is>
          <t>https://alabamapolicy.org/2024/02/05/api-top-10-things-the-al-legislature-should-accomplish-in-2024/</t>
        </is>
      </c>
    </row>
    <row r="17" ht="34" customHeight="1">
      <c r="A17" s="13" t="inlineStr">
        <is>
          <t>Alabama</t>
        </is>
      </c>
      <c r="B17" s="4" t="inlineStr">
        <is>
          <t>Local government</t>
        </is>
      </c>
      <c r="C17" s="4" t="inlineStr">
        <is>
          <t>tuscco.com</t>
        </is>
      </c>
      <c r="D17" s="15" t="inlineStr">
        <is>
          <t>PROPERTY TAX VALUATION NOTICE FAQS 1. Q: WHY AM I RECEIVING A PROPERTY VALUATION NOTICE?</t>
        </is>
      </c>
      <c r="E17" s="4" t="inlineStr">
        <is>
          <t>2026</t>
        </is>
      </c>
      <c r="F17" s="4" t="n"/>
      <c r="G17" s="4" t="inlineStr">
        <is>
          <t>https://www.tuscco.com/wp-content/uploads/2026/05/Insert-for-2026-Valuation-Notices-CAP-Doc-3-1.pdf</t>
        </is>
      </c>
    </row>
    <row r="18" ht="30" customHeight="1">
      <c r="A18" s="13" t="inlineStr">
        <is>
          <t>Alaska</t>
        </is>
      </c>
      <c r="B18" s="4" t="inlineStr">
        <is>
          <t>State government</t>
        </is>
      </c>
      <c r="C18" s="4" t="inlineStr">
        <is>
          <t>commerce.alaska.gov</t>
        </is>
      </c>
      <c r="D18" s="15" t="inlineStr">
        <is>
          <t>2de31798-e2aa-42c9-8a50-43e1c7c6ddb8</t>
        </is>
      </c>
      <c r="E18" s="4" t="n"/>
      <c r="F18" s="4" t="n"/>
      <c r="G18" s="4" t="inlineStr">
        <is>
          <t>https://www.commerce.alaska.gov/dcra/admin/Taxable/ViewFile/2de31798-e2aa-42c9-8a50-43e1c7c6ddb8</t>
        </is>
      </c>
    </row>
    <row r="19" ht="30" customHeight="1">
      <c r="A19" s="13" t="inlineStr">
        <is>
          <t>Alaska</t>
        </is>
      </c>
      <c r="B19" s="4" t="inlineStr">
        <is>
          <t>Constitution &amp; statutes</t>
        </is>
      </c>
      <c r="C19" s="4" t="inlineStr">
        <is>
          <t>akleg.gov</t>
        </is>
      </c>
      <c r="D19" s="15" t="inlineStr">
        <is>
          <t>Alaska Statutes 2025 (statutes)</t>
        </is>
      </c>
      <c r="E19" s="4" t="n"/>
      <c r="F19" s="4" t="n"/>
      <c r="G19" s="4" t="inlineStr">
        <is>
          <t>https://www.akleg.gov/basis/statutes.asp#29.45.090</t>
        </is>
      </c>
    </row>
    <row r="20" ht="30" customHeight="1">
      <c r="A20" s="13" t="inlineStr">
        <is>
          <t>Alaska</t>
        </is>
      </c>
      <c r="B20" s="4" t="inlineStr">
        <is>
          <t>Constitution &amp; statutes</t>
        </is>
      </c>
      <c r="C20" s="4" t="inlineStr">
        <is>
          <t>akleg.gov</t>
        </is>
      </c>
      <c r="D20" s="15" t="inlineStr">
        <is>
          <t>Alaska Statutes 2025 (statutes)</t>
        </is>
      </c>
      <c r="E20" s="4" t="n"/>
      <c r="F20" s="4" t="n"/>
      <c r="G20" s="4" t="inlineStr">
        <is>
          <t>https://www.akleg.gov/basis/statutes.asp#43.56</t>
        </is>
      </c>
    </row>
    <row r="21" ht="30" customHeight="1">
      <c r="A21" s="13" t="inlineStr">
        <is>
          <t>Alaska</t>
        </is>
      </c>
      <c r="B21" s="4" t="inlineStr">
        <is>
          <t>Local government</t>
        </is>
      </c>
      <c r="C21" s="4" t="inlineStr">
        <is>
          <t>muni.org</t>
        </is>
      </c>
      <c r="D21" s="15" t="inlineStr">
        <is>
          <t>2026 Property Taxes Fact Sheet</t>
        </is>
      </c>
      <c r="E21" s="4" t="inlineStr">
        <is>
          <t>2026</t>
        </is>
      </c>
      <c r="F21" s="4" t="n"/>
      <c r="G21" s="4" t="inlineStr">
        <is>
          <t>https://www.muni.org/Departments/Assembly/SiteAssets/Pages/FOCUS-Budget-and-Taxes/2026%20Property%20Taxes%20Fact%20Sheet.pdf</t>
        </is>
      </c>
    </row>
    <row r="22" ht="30" customHeight="1">
      <c r="A22" s="13" t="inlineStr">
        <is>
          <t>Alaska</t>
        </is>
      </c>
      <c r="B22" s="4" t="inlineStr">
        <is>
          <t>Local government</t>
        </is>
      </c>
      <c r="C22" s="4" t="inlineStr">
        <is>
          <t>muni.org</t>
        </is>
      </c>
      <c r="D22" s="15" t="inlineStr">
        <is>
          <t>Author: MAWAG</t>
        </is>
      </c>
      <c r="E22" s="4" t="inlineStr">
        <is>
          <t>2025</t>
        </is>
      </c>
      <c r="F22" s="4" t="n"/>
      <c r="G22" s="4" t="inlineStr">
        <is>
          <t>https://muni.org/Departments/Assembly/Documents/AIM%208-2025.pdf</t>
        </is>
      </c>
    </row>
    <row r="23" ht="30" customHeight="1">
      <c r="A23" s="13" t="inlineStr">
        <is>
          <t>Alaska</t>
        </is>
      </c>
      <c r="B23" s="4" t="inlineStr">
        <is>
          <t>News</t>
        </is>
      </c>
      <c r="C23" s="4" t="inlineStr">
        <is>
          <t>adn.com</t>
        </is>
      </c>
      <c r="D23" s="15" t="inlineStr">
        <is>
          <t>Anchorage Daily News</t>
        </is>
      </c>
      <c r="E23" s="4" t="n"/>
      <c r="F23" s="4" t="n"/>
      <c r="G23" s="4" t="inlineStr">
        <is>
          <t>https://www.adn.com/article/20160405/anchorage-voters-support-tax-cap-initiative-and-marijuana-taxes</t>
        </is>
      </c>
    </row>
    <row r="24" ht="30" customHeight="1">
      <c r="A24" s="13" t="inlineStr">
        <is>
          <t>Alaska</t>
        </is>
      </c>
      <c r="B24" s="4" t="inlineStr">
        <is>
          <t>Local government</t>
        </is>
      </c>
      <c r="C24" s="4" t="inlineStr">
        <is>
          <t>matsugov.us</t>
        </is>
      </c>
      <c r="D24" s="15" t="inlineStr">
        <is>
          <t>Whistle Stop Mat-Su: The New Tax Cap?</t>
        </is>
      </c>
      <c r="E24" s="4" t="n"/>
      <c r="F24" s="4" t="n"/>
      <c r="G24" s="4" t="inlineStr">
        <is>
          <t>https://matsugov.us/news/whistle-stop-mat-su-on-the-new-tax-cap</t>
        </is>
      </c>
    </row>
    <row r="25" ht="34" customHeight="1">
      <c r="A25" s="13" t="inlineStr">
        <is>
          <t>Alaska</t>
        </is>
      </c>
      <c r="B25" s="4" t="inlineStr">
        <is>
          <t>News</t>
        </is>
      </c>
      <c r="C25" s="4" t="inlineStr">
        <is>
          <t>adn.com</t>
        </is>
      </c>
      <c r="D25" s="15" t="inlineStr">
        <is>
          <t>3rd special session on Alaska LNG ends after lawmakers decline to take up Dunleavy’s bill</t>
        </is>
      </c>
      <c r="E25" s="4" t="inlineStr">
        <is>
          <t>2026-08-27</t>
        </is>
      </c>
      <c r="F25" s="4" t="n"/>
      <c r="G25" s="4" t="inlineStr">
        <is>
          <t>https://www.adn.com/politics/alaska-legislature/2026/08/25/3rd-special-session-on-alaska-lng-ending-after-lawmakers-decline-to-take-up-dunleavys-bill/</t>
        </is>
      </c>
    </row>
    <row r="26" ht="30" customHeight="1">
      <c r="A26" s="13" t="inlineStr">
        <is>
          <t>Alaska</t>
        </is>
      </c>
      <c r="B26" s="4" t="inlineStr">
        <is>
          <t>News</t>
        </is>
      </c>
      <c r="C26" s="4" t="inlineStr">
        <is>
          <t>alaskasnewssource.com</t>
        </is>
      </c>
      <c r="D26" s="15" t="inlineStr">
        <is>
          <t>Anchorage sales tax proposal postponed indefinitely by Assembly Tuesday night</t>
        </is>
      </c>
      <c r="E26" s="4" t="inlineStr">
        <is>
          <t>2025-03-19</t>
        </is>
      </c>
      <c r="F26" s="4" t="n"/>
      <c r="G26" s="4" t="inlineStr">
        <is>
          <t>https://www.alaskasnewssource.com/2025/03/19/anchorage-sales-tax-proposal-go-before-voters-tuesday-night</t>
        </is>
      </c>
    </row>
    <row r="27" ht="30" customHeight="1">
      <c r="A27" s="13" t="inlineStr">
        <is>
          <t>Alaska</t>
        </is>
      </c>
      <c r="B27" s="4" t="inlineStr">
        <is>
          <t>Research &amp; associations</t>
        </is>
      </c>
      <c r="C27" s="4" t="inlineStr">
        <is>
          <t>lincolninst.edu</t>
        </is>
      </c>
      <c r="D27" s="15" t="inlineStr">
        <is>
          <t>levy limits 2022.xlsx</t>
        </is>
      </c>
      <c r="E27" s="4" t="n"/>
      <c r="F27" s="4" t="inlineStr">
        <is>
          <t>AR, DE, IL, MI</t>
        </is>
      </c>
      <c r="G27" s="4" t="inlineStr">
        <is>
          <t>https://www.lincolninst.edu/app/uploads/2025/01/levy_limits_2022.xlsx</t>
        </is>
      </c>
    </row>
    <row r="28" ht="30" customHeight="1">
      <c r="A28" s="13" t="inlineStr">
        <is>
          <t>Alaska</t>
        </is>
      </c>
      <c r="B28" s="4" t="inlineStr">
        <is>
          <t>Courts &amp; legal codes</t>
        </is>
      </c>
      <c r="C28" s="4" t="inlineStr">
        <is>
          <t>law.justia.com</t>
        </is>
      </c>
      <c r="D28" s="15" t="inlineStr">
        <is>
          <t>section-29-45-090</t>
        </is>
      </c>
      <c r="E28" s="4" t="n"/>
      <c r="F28" s="4" t="n"/>
      <c r="G28" s="4" t="inlineStr">
        <is>
          <t>https://law.justia.com/codes/alaska/title-29/chapter-45/article-1/section-29-45-090/</t>
        </is>
      </c>
    </row>
    <row r="29" ht="30" customHeight="1">
      <c r="A29" s="13" t="inlineStr">
        <is>
          <t>Alaska</t>
        </is>
      </c>
      <c r="B29" s="4" t="inlineStr">
        <is>
          <t>News</t>
        </is>
      </c>
      <c r="C29" s="4" t="inlineStr">
        <is>
          <t>adn.com</t>
        </is>
      </c>
      <c r="D29" s="15" t="inlineStr">
        <is>
          <t>LaFrance says Anchorage sales tax conversations will continue despite tabling</t>
        </is>
      </c>
      <c r="E29" s="4" t="inlineStr">
        <is>
          <t>2026-01-15</t>
        </is>
      </c>
      <c r="F29" s="4" t="n"/>
      <c r="G29" s="4" t="inlineStr">
        <is>
          <t>https://www.adn.com/alaska-news/anchorage/2026/01/14/lafrance-says-anchorage-sales-tax-conversations-will-continue-despite-tabling/</t>
        </is>
      </c>
    </row>
    <row r="30" ht="34" customHeight="1">
      <c r="A30" s="13" t="inlineStr">
        <is>
          <t>Alaska</t>
        </is>
      </c>
      <c r="B30" s="4" t="inlineStr">
        <is>
          <t>News</t>
        </is>
      </c>
      <c r="C30" s="4" t="inlineStr">
        <is>
          <t>adn.com</t>
        </is>
      </c>
      <c r="D30" s="15" t="inlineStr">
        <is>
          <t>Tax concerns and distrust of school district shaped Anchorage’s municipal election results</t>
        </is>
      </c>
      <c r="E30" s="4" t="inlineStr">
        <is>
          <t>2026-05-14</t>
        </is>
      </c>
      <c r="F30" s="4" t="n"/>
      <c r="G30" s="4" t="inlineStr">
        <is>
          <t>https://www.adn.com/alaska-news/anchorage/2026/05/12/tax-concerns-and-school-district-distrust-shaped-anchorages-mixed-municipal-election-results/</t>
        </is>
      </c>
    </row>
    <row r="31" ht="30" customHeight="1">
      <c r="A31" s="13" t="inlineStr">
        <is>
          <t>Alaska</t>
        </is>
      </c>
      <c r="B31" s="4" t="inlineStr">
        <is>
          <t>News</t>
        </is>
      </c>
      <c r="C31" s="4" t="inlineStr">
        <is>
          <t>alaskasnewssource.com</t>
        </is>
      </c>
      <c r="D31" s="15" t="inlineStr">
        <is>
          <t>We do the math: sales tax vs property taxes</t>
        </is>
      </c>
      <c r="E31" s="4" t="inlineStr">
        <is>
          <t>2026-01-10</t>
        </is>
      </c>
      <c r="F31" s="4" t="n"/>
      <c r="G31" s="4" t="inlineStr">
        <is>
          <t>https://www.alaskasnewssource.com/2026/01/10/we-do-math-sales-tax-vs-property-taxes-which-saves-you-more-money/</t>
        </is>
      </c>
    </row>
    <row r="32" ht="30" customHeight="1">
      <c r="A32" s="13" t="inlineStr">
        <is>
          <t>Alaska</t>
        </is>
      </c>
      <c r="B32" s="4" t="inlineStr">
        <is>
          <t>Bills &amp; legislative documents</t>
        </is>
      </c>
      <c r="C32" s="4" t="inlineStr">
        <is>
          <t>akleg.gov</t>
        </is>
      </c>
      <c r="D32" s="15" t="inlineStr">
        <is>
          <t>Alaska State Legislature (Bill Detail 34)</t>
        </is>
      </c>
      <c r="E32" s="4" t="n"/>
      <c r="F32" s="4" t="n"/>
      <c r="G32" s="4" t="inlineStr">
        <is>
          <t>https://www.akleg.gov/basis/Bill/Detail/34?Root=HB%20169</t>
        </is>
      </c>
    </row>
    <row r="33" ht="30" customHeight="1">
      <c r="A33" s="13" t="inlineStr">
        <is>
          <t>Alaska</t>
        </is>
      </c>
      <c r="B33" s="4" t="inlineStr">
        <is>
          <t>Bills &amp; legislative documents</t>
        </is>
      </c>
      <c r="C33" s="4" t="inlineStr">
        <is>
          <t>akleg.gov</t>
        </is>
      </c>
      <c r="D33" s="15" t="inlineStr">
        <is>
          <t>34-LS0827\A HOUSE BILL NO. 169</t>
        </is>
      </c>
      <c r="E33" s="4" t="inlineStr">
        <is>
          <t>2025</t>
        </is>
      </c>
      <c r="F33" s="4" t="n"/>
      <c r="G33" s="4" t="inlineStr">
        <is>
          <t>https://www.akleg.gov/pdf/34/Bills/HB0169A.pdf</t>
        </is>
      </c>
    </row>
    <row r="34" ht="30" customHeight="1">
      <c r="A34" s="13" t="inlineStr">
        <is>
          <t>Alaska</t>
        </is>
      </c>
      <c r="B34" s="4" t="inlineStr">
        <is>
          <t>Bills &amp; legislative documents</t>
        </is>
      </c>
      <c r="C34" s="4" t="inlineStr">
        <is>
          <t>akleg.gov</t>
        </is>
      </c>
      <c r="D34" s="15" t="inlineStr">
        <is>
          <t>Alaska State Legislature (Bill Detail 34)</t>
        </is>
      </c>
      <c r="E34" s="4" t="n"/>
      <c r="F34" s="4" t="n"/>
      <c r="G34" s="4" t="inlineStr">
        <is>
          <t>https://www.akleg.gov/basis/Bill/Detail/34?Root=SB%20259</t>
        </is>
      </c>
    </row>
    <row r="35" ht="30" customHeight="1">
      <c r="A35" s="13" t="inlineStr">
        <is>
          <t>Alaska</t>
        </is>
      </c>
      <c r="B35" s="4" t="inlineStr">
        <is>
          <t>News</t>
        </is>
      </c>
      <c r="C35" s="4" t="inlineStr">
        <is>
          <t>thealaskacurrent.com</t>
        </is>
      </c>
      <c r="D35" s="15" t="inlineStr">
        <is>
          <t>Alaska Senate contemplates major property tax cut for over-65 homeowners</t>
        </is>
      </c>
      <c r="E35" s="4" t="inlineStr">
        <is>
          <t>2024-05-13</t>
        </is>
      </c>
      <c r="F35" s="4" t="n"/>
      <c r="G35" s="4" t="inlineStr">
        <is>
          <t>https://thealaskacurrent.com/2024/05/13/property-tax-cut/</t>
        </is>
      </c>
    </row>
    <row r="36" ht="30" customHeight="1">
      <c r="A36" s="13" t="inlineStr">
        <is>
          <t>Alaska</t>
        </is>
      </c>
      <c r="B36" s="4" t="inlineStr">
        <is>
          <t>Local government</t>
        </is>
      </c>
      <c r="C36" s="4" t="inlineStr">
        <is>
          <t>muni.org</t>
        </is>
      </c>
      <c r="D36" s="15" t="inlineStr">
        <is>
          <t>Submitted by:</t>
        </is>
      </c>
      <c r="E36" s="4" t="inlineStr">
        <is>
          <t>2025</t>
        </is>
      </c>
      <c r="F36" s="4" t="n"/>
      <c r="G36" s="4" t="inlineStr">
        <is>
          <t>https://muni.org/Departments/Assembly/Documents/DRAFT%20AR%20re%20Property%20Tax%20Excalation%20Limitations.pdf</t>
        </is>
      </c>
    </row>
    <row r="37" ht="30" customHeight="1">
      <c r="A37" s="13" t="inlineStr">
        <is>
          <t>Alaska</t>
        </is>
      </c>
      <c r="B37" s="4" t="inlineStr">
        <is>
          <t>News</t>
        </is>
      </c>
      <c r="C37" s="4" t="inlineStr">
        <is>
          <t>alaskasnewssource.com</t>
        </is>
      </c>
      <c r="D37" s="15" t="inlineStr">
        <is>
          <t>City of Fairbanks establishes tax rate for the current year</t>
        </is>
      </c>
      <c r="E37" s="4" t="inlineStr">
        <is>
          <t>2026-06-13</t>
        </is>
      </c>
      <c r="F37" s="4" t="n"/>
      <c r="G37" s="4" t="inlineStr">
        <is>
          <t>https://www.alaskasnewssource.com/2026/06/13/city-fairbanks-establishes-tax-rate-current-year/</t>
        </is>
      </c>
    </row>
    <row r="38" ht="30" customHeight="1">
      <c r="A38" s="13" t="inlineStr">
        <is>
          <t>Alaska</t>
        </is>
      </c>
      <c r="B38" s="4" t="inlineStr">
        <is>
          <t>News</t>
        </is>
      </c>
      <c r="C38" s="4" t="inlineStr">
        <is>
          <t>alaskasnewssource.com</t>
        </is>
      </c>
      <c r="D38" s="15" t="inlineStr">
        <is>
          <t>Fairbanks borough assembly passes FY27 budget with no increase to the mill rate</t>
        </is>
      </c>
      <c r="E38" s="4" t="inlineStr">
        <is>
          <t>2026-05-31</t>
        </is>
      </c>
      <c r="F38" s="4" t="n"/>
      <c r="G38" s="4" t="inlineStr">
        <is>
          <t>https://www.alaskasnewssource.com/2026/05/31/fairbanks-borough-assembly-passes-fy27-budget-with-no-increase-mill-rate/</t>
        </is>
      </c>
    </row>
    <row r="39" ht="30" customHeight="1">
      <c r="A39" s="13" t="inlineStr">
        <is>
          <t>Alaska</t>
        </is>
      </c>
      <c r="B39" s="4" t="inlineStr">
        <is>
          <t>Free-market groups &amp; GOP caucuses</t>
        </is>
      </c>
      <c r="C39" s="4" t="inlineStr">
        <is>
          <t>alaskapolicyforum.org</t>
        </is>
      </c>
      <c r="D39" s="15" t="inlineStr">
        <is>
          <t>Testimony: Oppose New Property Taxes</t>
        </is>
      </c>
      <c r="E39" s="4" t="inlineStr">
        <is>
          <t>2023-06-08</t>
        </is>
      </c>
      <c r="F39" s="4" t="n"/>
      <c r="G39" s="4" t="inlineStr">
        <is>
          <t>https://alaskapolicyforum.org/2023/06/testimony-tax-blighted-property/</t>
        </is>
      </c>
    </row>
    <row r="40" ht="30" customHeight="1">
      <c r="A40" s="13" t="inlineStr">
        <is>
          <t>Alaska</t>
        </is>
      </c>
      <c r="B40" s="4" t="inlineStr">
        <is>
          <t>Ballot information</t>
        </is>
      </c>
      <c r="C40" s="4" t="inlineStr">
        <is>
          <t>theballotbrief.com</t>
        </is>
      </c>
      <c r="D40" s="15" t="inlineStr">
        <is>
          <t>Alaska Ballot Measures 2026: All 3 Statewide Measures Explained</t>
        </is>
      </c>
      <c r="E40" s="4" t="n"/>
      <c r="F40" s="4" t="n"/>
      <c r="G40" s="4" t="inlineStr">
        <is>
          <t>https://theballotbrief.com/measures/alaska</t>
        </is>
      </c>
    </row>
    <row r="41" ht="34" customHeight="1">
      <c r="A41" s="13" t="inlineStr">
        <is>
          <t>Arizona</t>
        </is>
      </c>
      <c r="B41" s="4" t="inlineStr">
        <is>
          <t>Bills &amp; legislative documents</t>
        </is>
      </c>
      <c r="C41" s="4" t="inlineStr">
        <is>
          <t>azleg.gov</t>
        </is>
      </c>
      <c r="D41" s="15" t="inlineStr">
        <is>
          <t>Article 9 Section 18N - Residential ad valorem tax limits; limit on increase in values; definitions</t>
        </is>
      </c>
      <c r="E41" s="4" t="n"/>
      <c r="F41" s="4" t="n"/>
      <c r="G41" s="4" t="inlineStr">
        <is>
          <t>https://www.azleg.gov/const/9/18.htm</t>
        </is>
      </c>
    </row>
    <row r="42" ht="34" customHeight="1">
      <c r="A42" s="13" t="inlineStr">
        <is>
          <t>Arizona</t>
        </is>
      </c>
      <c r="B42" s="4" t="inlineStr">
        <is>
          <t>Bills &amp; legislative documents</t>
        </is>
      </c>
      <c r="C42" s="4" t="inlineStr">
        <is>
          <t>azleg.gov</t>
        </is>
      </c>
      <c r="D42" s="15" t="inlineStr">
        <is>
          <t>Article 9 Section 19 - Limitation on annual increases in local ad valorem tax levies; exceptions</t>
        </is>
      </c>
      <c r="E42" s="4" t="n"/>
      <c r="F42" s="4" t="n"/>
      <c r="G42" s="4" t="inlineStr">
        <is>
          <t>https://www.azleg.gov/const/9/19.htm</t>
        </is>
      </c>
    </row>
    <row r="43" ht="30" customHeight="1">
      <c r="A43" s="13" t="inlineStr">
        <is>
          <t>Arizona</t>
        </is>
      </c>
      <c r="B43" s="4" t="inlineStr">
        <is>
          <t>Bills &amp; legislative documents</t>
        </is>
      </c>
      <c r="C43" s="4" t="inlineStr">
        <is>
          <t>azleg.gov</t>
        </is>
      </c>
      <c r="D43" s="15" t="inlineStr">
        <is>
          <t>Article 9 Section 20 - Expenditure limitation; adjustments; reporting</t>
        </is>
      </c>
      <c r="E43" s="4" t="n"/>
      <c r="F43" s="4" t="n"/>
      <c r="G43" s="4" t="inlineStr">
        <is>
          <t>https://www.azleg.gov/const/9/20.htm</t>
        </is>
      </c>
    </row>
    <row r="44" ht="34" customHeight="1">
      <c r="A44" s="13" t="inlineStr">
        <is>
          <t>Arizona</t>
        </is>
      </c>
      <c r="B44" s="4" t="inlineStr">
        <is>
          <t>Bills &amp; legislative documents</t>
        </is>
      </c>
      <c r="C44" s="4" t="inlineStr">
        <is>
          <t>azleg.gov</t>
        </is>
      </c>
      <c r="D44" s="15" t="inlineStr">
        <is>
          <t>Article 9 Section 21 - Expenditure limitations for school districts and community college districts</t>
        </is>
      </c>
      <c r="E44" s="4" t="n"/>
      <c r="F44" s="4" t="n"/>
      <c r="G44" s="4" t="inlineStr">
        <is>
          <t>https://www.azleg.gov/const/9/21.htm</t>
        </is>
      </c>
    </row>
    <row r="45" ht="34" customHeight="1">
      <c r="A45" s="13" t="inlineStr">
        <is>
          <t>Arizona</t>
        </is>
      </c>
      <c r="B45" s="4" t="inlineStr">
        <is>
          <t>Bills &amp; legislative documents</t>
        </is>
      </c>
      <c r="C45" s="4" t="inlineStr">
        <is>
          <t>azleg.gov</t>
        </is>
      </c>
      <c r="D45" s="15" t="inlineStr">
        <is>
          <t>42-17107 - Truth in taxation notice and hearing; roll call vote on tax increase; definition</t>
        </is>
      </c>
      <c r="E45" s="4" t="n"/>
      <c r="F45" s="4" t="n"/>
      <c r="G45" s="4" t="inlineStr">
        <is>
          <t>https://www.azleg.gov/ars/42/17107.htm</t>
        </is>
      </c>
    </row>
    <row r="46" ht="34" customHeight="1">
      <c r="A46" s="13" t="inlineStr">
        <is>
          <t>Arizona</t>
        </is>
      </c>
      <c r="B46" s="4" t="inlineStr">
        <is>
          <t>Bills &amp; legislative documents</t>
        </is>
      </c>
      <c r="C46" s="4" t="inlineStr">
        <is>
          <t>azleg.gov</t>
        </is>
      </c>
      <c r="D46" s="15" t="inlineStr">
        <is>
          <t>16-204 - Declaration of statewide concern; consolidated election dates; definition</t>
        </is>
      </c>
      <c r="E46" s="4" t="n"/>
      <c r="F46" s="4" t="n"/>
      <c r="G46" s="4" t="inlineStr">
        <is>
          <t>https://www.azleg.gov/ars/16/00204.htm</t>
        </is>
      </c>
    </row>
    <row r="47" ht="34" customHeight="1">
      <c r="A47" s="13" t="inlineStr">
        <is>
          <t>Arizona</t>
        </is>
      </c>
      <c r="B47" s="4" t="inlineStr">
        <is>
          <t>Bills &amp; legislative documents</t>
        </is>
      </c>
      <c r="C47" s="4" t="inlineStr">
        <is>
          <t>azleg.gov</t>
        </is>
      </c>
      <c r="D47" s="15" t="inlineStr">
        <is>
          <t>15-972 - State limitation on homeowner property taxes; additional state aid to school districts; definitions</t>
        </is>
      </c>
      <c r="E47" s="4" t="n"/>
      <c r="F47" s="4" t="n"/>
      <c r="G47" s="4" t="inlineStr">
        <is>
          <t>https://www.azleg.gov/ars/15/00972.htm</t>
        </is>
      </c>
    </row>
    <row r="48" ht="30" customHeight="1">
      <c r="A48" s="13" t="inlineStr">
        <is>
          <t>Arizona</t>
        </is>
      </c>
      <c r="B48" s="4" t="inlineStr">
        <is>
          <t>Bills &amp; legislative documents</t>
        </is>
      </c>
      <c r="C48" s="4" t="inlineStr">
        <is>
          <t>azleg.gov</t>
        </is>
      </c>
      <c r="D48" s="15" t="inlineStr">
        <is>
          <t>41-1276 - Truth in taxation levy for equalization assistance to school districts</t>
        </is>
      </c>
      <c r="E48" s="4" t="n"/>
      <c r="F48" s="4" t="n"/>
      <c r="G48" s="4" t="inlineStr">
        <is>
          <t>https://www.azleg.gov/ars/41/01276.htm</t>
        </is>
      </c>
    </row>
    <row r="49" ht="34" customHeight="1">
      <c r="A49" s="13" t="inlineStr">
        <is>
          <t>Arizona</t>
        </is>
      </c>
      <c r="B49" s="4" t="inlineStr">
        <is>
          <t>Bills &amp; legislative documents</t>
        </is>
      </c>
      <c r="C49" s="4" t="inlineStr">
        <is>
          <t>azleg.gov</t>
        </is>
      </c>
      <c r="D49" s="15" t="inlineStr">
        <is>
          <t>48-807 - County fire district assistance tax; annual budget; override; monthly financial reports</t>
        </is>
      </c>
      <c r="E49" s="4" t="n"/>
      <c r="F49" s="4" t="n"/>
      <c r="G49" s="4" t="inlineStr">
        <is>
          <t>https://www.azleg.gov/ars/48/00807.htm</t>
        </is>
      </c>
    </row>
    <row r="50" ht="30" customHeight="1">
      <c r="A50" s="13" t="inlineStr">
        <is>
          <t>Arizona</t>
        </is>
      </c>
      <c r="B50" s="4" t="inlineStr">
        <is>
          <t>Bills &amp; legislative documents</t>
        </is>
      </c>
      <c r="C50" s="4" t="inlineStr">
        <is>
          <t>azjlbc.gov</t>
        </is>
      </c>
      <c r="D50" s="15" t="inlineStr">
        <is>
          <t>FY 2026 Appropriations Report</t>
        </is>
      </c>
      <c r="E50" s="4" t="inlineStr">
        <is>
          <t>2025</t>
        </is>
      </c>
      <c r="F50" s="4" t="n"/>
      <c r="G50" s="4" t="inlineStr">
        <is>
          <t>https://www.azjlbc.gov/26AR/ade.pdf</t>
        </is>
      </c>
    </row>
    <row r="51" ht="30" customHeight="1">
      <c r="A51" s="13" t="inlineStr">
        <is>
          <t>Arizona</t>
        </is>
      </c>
      <c r="B51" s="4" t="inlineStr">
        <is>
          <t>Bills &amp; legislative documents</t>
        </is>
      </c>
      <c r="C51" s="4" t="inlineStr">
        <is>
          <t>azjlbc.gov</t>
        </is>
      </c>
      <c r="D51" s="15" t="inlineStr">
        <is>
          <t>STATE OF ARIZONA loint TLtgislutfbr I8ulgrt @ornmittrr</t>
        </is>
      </c>
      <c r="E51" s="4" t="inlineStr">
        <is>
          <t>2022</t>
        </is>
      </c>
      <c r="F51" s="4" t="n"/>
      <c r="G51" s="4" t="inlineStr">
        <is>
          <t>https://www.azjlbc.gov/units/tntletter080122.pdf</t>
        </is>
      </c>
    </row>
    <row r="52" ht="30" customHeight="1">
      <c r="A52" s="13" t="inlineStr">
        <is>
          <t>Arizona</t>
        </is>
      </c>
      <c r="B52" s="4" t="inlineStr">
        <is>
          <t>Bills &amp; legislative documents</t>
        </is>
      </c>
      <c r="C52" s="4" t="inlineStr">
        <is>
          <t>azleg.gov</t>
        </is>
      </c>
      <c r="D52" s="15" t="inlineStr">
        <is>
          <t>SCR1041 - 571R - House Bill Summary</t>
        </is>
      </c>
      <c r="E52" s="4" t="n"/>
      <c r="F52" s="4" t="n"/>
      <c r="G52" s="4" t="inlineStr">
        <is>
          <t>https://www.azleg.gov/legtext/57leg/1R/summary/H.SCR1041_063025_TRANSMITTED.DOCX.htm</t>
        </is>
      </c>
    </row>
    <row r="53" ht="30" customHeight="1">
      <c r="A53" s="13" t="inlineStr">
        <is>
          <t>Arizona</t>
        </is>
      </c>
      <c r="B53" s="4" t="inlineStr">
        <is>
          <t>Bills &amp; legislative documents</t>
        </is>
      </c>
      <c r="C53" s="4" t="inlineStr">
        <is>
          <t>azleg.gov</t>
        </is>
      </c>
      <c r="D53" s="15" t="inlineStr">
        <is>
          <t>HCR2039 - 552R - House Bill Summary</t>
        </is>
      </c>
      <c r="E53" s="4" t="n"/>
      <c r="F53" s="4" t="n"/>
      <c r="G53" s="4" t="inlineStr">
        <is>
          <t>https://azleg.gov/legtext/55leg/2R/summary/H.HCR2039_021522_TRANSMITTED.DOCX.htm</t>
        </is>
      </c>
    </row>
    <row r="54" ht="30" customHeight="1">
      <c r="A54" s="13" t="inlineStr">
        <is>
          <t>Arizona</t>
        </is>
      </c>
      <c r="B54" s="4" t="inlineStr">
        <is>
          <t>State government</t>
        </is>
      </c>
      <c r="C54" s="4" t="inlineStr">
        <is>
          <t>azauditor.gov</t>
        </is>
      </c>
      <c r="D54" s="15" t="inlineStr">
        <is>
          <t>FAQs—Cities and Towns</t>
        </is>
      </c>
      <c r="E54" s="4" t="n"/>
      <c r="F54" s="4" t="n"/>
      <c r="G54" s="4" t="inlineStr">
        <is>
          <t>https://www.azauditor.gov/resources/cities-and-towns/faqs</t>
        </is>
      </c>
    </row>
    <row r="55" ht="30" customHeight="1">
      <c r="A55" s="13" t="inlineStr">
        <is>
          <t>Arizona</t>
        </is>
      </c>
      <c r="B55" s="4" t="inlineStr">
        <is>
          <t>Local government</t>
        </is>
      </c>
      <c r="C55" s="4" t="inlineStr">
        <is>
          <t>mohave.gov</t>
        </is>
      </c>
      <c r="D55" s="15" t="inlineStr">
        <is>
          <t>Exemptions | Mohave County</t>
        </is>
      </c>
      <c r="E55" s="4" t="n"/>
      <c r="F55" s="4" t="n"/>
      <c r="G55" s="4" t="inlineStr">
        <is>
          <t>https://mohave.gov/departments/assessor/program-enrollment/exemptions</t>
        </is>
      </c>
    </row>
    <row r="56" ht="34" customHeight="1">
      <c r="A56" s="13" t="inlineStr">
        <is>
          <t>Arizona</t>
        </is>
      </c>
      <c r="B56" s="4" t="inlineStr">
        <is>
          <t>Ballot information</t>
        </is>
      </c>
      <c r="C56" s="4" t="inlineStr">
        <is>
          <t>ballotpedia.org</t>
        </is>
      </c>
      <c r="D56" s="15" t="inlineStr">
        <is>
          <t>Arizona Proposition 312, Property Tax Refund for Non-Enforcement of Public Nuisance Laws Measure (2024)</t>
        </is>
      </c>
      <c r="E56" s="4" t="n"/>
      <c r="F56" s="4" t="n"/>
      <c r="G56" s="4" t="inlineStr">
        <is>
          <t>https://ballotpedia.org/Arizona_Property_Tax_Refund_for_Non-Enforcement_of_Public_Nuisance_Laws_Measure_(2024)</t>
        </is>
      </c>
    </row>
    <row r="57" ht="30" customHeight="1">
      <c r="A57" s="13" t="inlineStr">
        <is>
          <t>Arizona</t>
        </is>
      </c>
      <c r="B57" s="4" t="inlineStr">
        <is>
          <t>Free-market groups &amp; GOP caucuses</t>
        </is>
      </c>
      <c r="C57" s="4" t="inlineStr">
        <is>
          <t>taxfoundation.org</t>
        </is>
      </c>
      <c r="D57" s="15" t="inlineStr">
        <is>
          <t>State Tax Ballot Measures to Watch in 2026</t>
        </is>
      </c>
      <c r="E57" s="4" t="inlineStr">
        <is>
          <t>2026-10-07</t>
        </is>
      </c>
      <c r="F57" s="4" t="inlineStr">
        <is>
          <t>CA, CO, FL, LA, OH</t>
        </is>
      </c>
      <c r="G57" s="4" t="inlineStr">
        <is>
          <t>https://taxfoundation.org/research/state-tax/2026-state-tax-ballot-measures/</t>
        </is>
      </c>
    </row>
    <row r="58" ht="30" customHeight="1">
      <c r="A58" s="13" t="inlineStr">
        <is>
          <t>Arizona</t>
        </is>
      </c>
      <c r="B58" s="4" t="inlineStr">
        <is>
          <t>State government</t>
        </is>
      </c>
      <c r="C58" s="4" t="inlineStr">
        <is>
          <t>apps.azsos.gov</t>
        </is>
      </c>
      <c r="D58" s="15" t="inlineStr">
        <is>
          <t>PubPamphlet english prop117</t>
        </is>
      </c>
      <c r="E58" s="4" t="n"/>
      <c r="F58" s="4" t="n"/>
      <c r="G58" s="4" t="inlineStr">
        <is>
          <t>https://apps.azsos.gov/election/2012/info/PubPamphlet/english/prop117.htm</t>
        </is>
      </c>
    </row>
    <row r="59" ht="34" customHeight="1">
      <c r="A59" s="13" t="inlineStr">
        <is>
          <t>Arizona</t>
        </is>
      </c>
      <c r="B59" s="4" t="inlineStr">
        <is>
          <t>Bills &amp; legislative documents</t>
        </is>
      </c>
      <c r="C59" s="4" t="inlineStr">
        <is>
          <t>azleg.gov</t>
        </is>
      </c>
      <c r="D59" s="15" t="inlineStr">
        <is>
          <t>42-13302 - Determining limited value in cases of modifications, omissions and changes</t>
        </is>
      </c>
      <c r="E59" s="4" t="n"/>
      <c r="F59" s="4" t="n"/>
      <c r="G59" s="4" t="inlineStr">
        <is>
          <t>https://www.azleg.gov/ars/42/13302.htm</t>
        </is>
      </c>
    </row>
    <row r="60" ht="30" customHeight="1">
      <c r="A60" s="13" t="inlineStr">
        <is>
          <t>Arizona</t>
        </is>
      </c>
      <c r="B60" s="4" t="inlineStr">
        <is>
          <t>News</t>
        </is>
      </c>
      <c r="C60" s="4" t="inlineStr">
        <is>
          <t>kjzz.org</t>
        </is>
      </c>
      <c r="D60" s="15" t="inlineStr">
        <is>
          <t>arizona-gov-katie-hobbs-vetoed-these-bills-in-2026</t>
        </is>
      </c>
      <c r="E60" s="4" t="n"/>
      <c r="F60" s="4" t="n"/>
      <c r="G60" s="4" t="inlineStr">
        <is>
          <t>https://www.kjzz.org/text/politics/2026-02-26/arizona-gov-katie-hobbs-vetoed-these-bills-in-2026</t>
        </is>
      </c>
    </row>
    <row r="61" ht="30" customHeight="1">
      <c r="A61" s="13" t="inlineStr">
        <is>
          <t>Arizona</t>
        </is>
      </c>
      <c r="B61" s="4" t="inlineStr">
        <is>
          <t>News</t>
        </is>
      </c>
      <c r="C61" s="4" t="inlineStr">
        <is>
          <t>kjzz.org</t>
        </is>
      </c>
      <c r="D61" s="15" t="inlineStr">
        <is>
          <t>Hobbs signs bill to expand property tax exemptions for disabled Arizona veterans</t>
        </is>
      </c>
      <c r="E61" s="4" t="inlineStr">
        <is>
          <t>2026-02-13</t>
        </is>
      </c>
      <c r="F61" s="4" t="n"/>
      <c r="G61" s="4" t="inlineStr">
        <is>
          <t>https://www.kjzz.org/politics/2026-02-13/bill-to-expand-property-tax-exemptions-for-disabled-veterans-passes-arizona-legislature</t>
        </is>
      </c>
    </row>
    <row r="62" ht="30" customHeight="1">
      <c r="A62" s="13" t="inlineStr">
        <is>
          <t>Arizona</t>
        </is>
      </c>
      <c r="B62" s="4" t="inlineStr">
        <is>
          <t>Free-market groups &amp; GOP caucuses</t>
        </is>
      </c>
      <c r="C62" s="4" t="inlineStr">
        <is>
          <t>goldwaterinstitute.org</t>
        </is>
      </c>
      <c r="D62" s="15" t="inlineStr">
        <is>
          <t>Yuma County Refunding Illegal Property Tax after Goldwater Legal Challenge</t>
        </is>
      </c>
      <c r="E62" s="4" t="inlineStr">
        <is>
          <t>2025-08-22</t>
        </is>
      </c>
      <c r="F62" s="4" t="n"/>
      <c r="G62" s="4" t="inlineStr">
        <is>
          <t>https://www.goldwaterinstitute.org/yuma-county-hospital-district-treasurer-refunding-illegal-property-tax-after-goldwater-legal-challenge/</t>
        </is>
      </c>
    </row>
    <row r="63" ht="30" customHeight="1">
      <c r="A63" s="13" t="inlineStr">
        <is>
          <t>Arizona</t>
        </is>
      </c>
      <c r="B63" s="4" t="inlineStr">
        <is>
          <t>Free-market groups &amp; GOP caucuses</t>
        </is>
      </c>
      <c r="C63" s="4" t="inlineStr">
        <is>
          <t>arizonatax.org</t>
        </is>
      </c>
      <c r="D63" s="15" t="inlineStr">
        <is>
          <t>The taxpayer’s watchdog for over 85 years ARIZONA TAX RESEARCH ASSOCIATION</t>
        </is>
      </c>
      <c r="E63" s="4" t="inlineStr">
        <is>
          <t>2026</t>
        </is>
      </c>
      <c r="F63" s="4" t="n"/>
      <c r="G63" s="4" t="inlineStr">
        <is>
          <t>https://www.arizonatax.org/sites/default/files/publications/newsletters/file/ATRA%20Sept%20Oct%202026%20Newsletter.pdf</t>
        </is>
      </c>
    </row>
    <row r="64" ht="30" customHeight="1">
      <c r="A64" s="13" t="inlineStr">
        <is>
          <t>Arizona</t>
        </is>
      </c>
      <c r="B64" s="4" t="inlineStr">
        <is>
          <t>Free-market groups &amp; GOP caucuses</t>
        </is>
      </c>
      <c r="C64" s="4" t="inlineStr">
        <is>
          <t>azfree.org</t>
        </is>
      </c>
      <c r="D64" s="15" t="inlineStr">
        <is>
          <t>ARIZONA’S LOCAL TAX TRAP: How Cities are Destroying Affordability</t>
        </is>
      </c>
      <c r="E64" s="4" t="inlineStr">
        <is>
          <t>2025-12-04</t>
        </is>
      </c>
      <c r="F64" s="4" t="n"/>
      <c r="G64" s="4" t="inlineStr">
        <is>
          <t>https://azfree.org/blog/2025/12/04/arizonas-local-tax-trap-how-cities-are-destroying-affordability/</t>
        </is>
      </c>
    </row>
    <row r="65" ht="30" customHeight="1">
      <c r="A65" s="13" t="inlineStr">
        <is>
          <t>Arizona</t>
        </is>
      </c>
      <c r="B65" s="4" t="inlineStr">
        <is>
          <t>Free-market groups &amp; GOP caucuses</t>
        </is>
      </c>
      <c r="C65" s="4" t="inlineStr">
        <is>
          <t>azfree.org</t>
        </is>
      </c>
      <c r="D65" s="15" t="inlineStr">
        <is>
          <t>Another Month, Another Onslaught of Municipal Tax and Fee Increases</t>
        </is>
      </c>
      <c r="E65" s="4" t="inlineStr">
        <is>
          <t>2026-07-07</t>
        </is>
      </c>
      <c r="F65" s="4" t="n"/>
      <c r="G65" s="4" t="inlineStr">
        <is>
          <t>https://azfree.org/blog/2026/07/07/another-month-another-onslaught-of-municipal-tax-and-fee-increases/</t>
        </is>
      </c>
    </row>
    <row r="66" ht="30" customHeight="1">
      <c r="A66" s="13" t="inlineStr">
        <is>
          <t>Arizona</t>
        </is>
      </c>
      <c r="B66" s="4" t="inlineStr">
        <is>
          <t>Research &amp; associations</t>
        </is>
      </c>
      <c r="C66" s="4" t="inlineStr">
        <is>
          <t>cavanaghlaw.com</t>
        </is>
      </c>
      <c r="D66" s="15" t="inlineStr">
        <is>
          <t>Summary of 2025 Arizona Tax Legislation</t>
        </is>
      </c>
      <c r="E66" s="4" t="n"/>
      <c r="F66" s="4" t="n"/>
      <c r="G66" s="4" t="inlineStr">
        <is>
          <t>https://www.cavanaghlaw.com/post/arizona-salt-newsletter-vol-15-summary-of-2025-arizona-tax-legislation</t>
        </is>
      </c>
    </row>
    <row r="67" ht="30" customHeight="1">
      <c r="A67" s="13" t="inlineStr">
        <is>
          <t>Arizona</t>
        </is>
      </c>
      <c r="B67" s="4" t="inlineStr">
        <is>
          <t>Research &amp; associations</t>
        </is>
      </c>
      <c r="C67" s="4" t="inlineStr">
        <is>
          <t>azmed.org</t>
        </is>
      </c>
      <c r="D67" s="15" t="inlineStr">
        <is>
          <t>Eight Statewide Ballot Measures Set for Arizona’s November Election</t>
        </is>
      </c>
      <c r="E67" s="4" t="inlineStr">
        <is>
          <t>2026-08-21</t>
        </is>
      </c>
      <c r="F67" s="4" t="n"/>
      <c r="G67" s="4" t="inlineStr">
        <is>
          <t>https://www.azmed.org/eight-statewide-ballot-measures-set-for-arizonas-november-election</t>
        </is>
      </c>
    </row>
    <row r="68" ht="30" customHeight="1">
      <c r="A68" s="13" t="inlineStr">
        <is>
          <t>Arkansas</t>
        </is>
      </c>
      <c r="B68" s="4" t="inlineStr">
        <is>
          <t>Research &amp; associations</t>
        </is>
      </c>
      <c r="C68" s="4" t="inlineStr">
        <is>
          <t>uaex.uada.edu</t>
        </is>
      </c>
      <c r="D68" s="15" t="inlineStr">
        <is>
          <t>Administration of Arkansas’ Property Tax</t>
        </is>
      </c>
      <c r="E68" s="4" t="inlineStr">
        <is>
          <t>2014</t>
        </is>
      </c>
      <c r="F68" s="4" t="n"/>
      <c r="G68" s="4" t="inlineStr">
        <is>
          <t>https://www.uaex.uada.edu/publications/PDF/fsppc114.pdf</t>
        </is>
      </c>
    </row>
    <row r="69" ht="30" customHeight="1">
      <c r="A69" s="13" t="inlineStr">
        <is>
          <t>Arkansas</t>
        </is>
      </c>
      <c r="B69" s="4" t="inlineStr">
        <is>
          <t>State government</t>
        </is>
      </c>
      <c r="C69" s="4" t="inlineStr">
        <is>
          <t>dfa.arkansas.gov</t>
        </is>
      </c>
      <c r="D69" s="15" t="inlineStr">
        <is>
          <t>Property Tax Relief – Arkansas Department of Finance and Administration</t>
        </is>
      </c>
      <c r="E69" s="4" t="inlineStr">
        <is>
          <t>2024-12-02</t>
        </is>
      </c>
      <c r="F69" s="4" t="n"/>
      <c r="G69" s="4" t="inlineStr">
        <is>
          <t>https://www.dfa.arkansas.gov/office/arkansas-assessment-coordination-division/real-property/property-tax-relief</t>
        </is>
      </c>
    </row>
    <row r="70" ht="30" customHeight="1">
      <c r="A70" s="13" t="inlineStr">
        <is>
          <t>Arkansas</t>
        </is>
      </c>
      <c r="B70" s="4" t="inlineStr">
        <is>
          <t>Research &amp; associations</t>
        </is>
      </c>
      <c r="C70" s="4" t="inlineStr">
        <is>
          <t>encyclopediaofarkansas.net</t>
        </is>
      </c>
      <c r="D70" s="15" t="inlineStr">
        <is>
          <t>Amendment 59 - Encyclopedia of Arkansas</t>
        </is>
      </c>
      <c r="E70" s="4" t="inlineStr">
        <is>
          <t>2019-03-19</t>
        </is>
      </c>
      <c r="F70" s="4" t="n"/>
      <c r="G70" s="4" t="inlineStr">
        <is>
          <t>https://encyclopediaofarkansas.net/entries/amendment-59-9041/</t>
        </is>
      </c>
    </row>
    <row r="71" ht="30" customHeight="1">
      <c r="A71" s="13" t="inlineStr">
        <is>
          <t>Arkansas</t>
        </is>
      </c>
      <c r="B71" s="4" t="inlineStr">
        <is>
          <t>Research &amp; associations</t>
        </is>
      </c>
      <c r="C71" s="4" t="inlineStr">
        <is>
          <t>lincolninst.edu</t>
        </is>
      </c>
      <c r="D71" s="15" t="inlineStr">
        <is>
          <t>AMENDMENT 79 AN ASSESSOR’S GUIDE</t>
        </is>
      </c>
      <c r="E71" s="4" t="inlineStr">
        <is>
          <t>2007</t>
        </is>
      </c>
      <c r="F71" s="4" t="n"/>
      <c r="G71" s="4" t="inlineStr">
        <is>
          <t>https://www.lincolninst.edu/sites/default/files/gwipp/upload/sources/Arkansas/2006/amendment79_assessors-guide.pdf</t>
        </is>
      </c>
    </row>
    <row r="72" ht="30" customHeight="1">
      <c r="A72" s="13" t="inlineStr">
        <is>
          <t>Arkansas</t>
        </is>
      </c>
      <c r="B72" s="4" t="inlineStr">
        <is>
          <t>News</t>
        </is>
      </c>
      <c r="C72" s="4" t="inlineStr">
        <is>
          <t>regfollower.com</t>
        </is>
      </c>
      <c r="D72" s="15" t="inlineStr">
        <is>
          <t>US: Arkansas increases property tax credit, raises</t>
        </is>
      </c>
      <c r="E72" s="4" t="inlineStr">
        <is>
          <t>2025-03-27</t>
        </is>
      </c>
      <c r="F72" s="4" t="n"/>
      <c r="G72" s="4" t="inlineStr">
        <is>
          <t>https://regfollower.com/us-arkansas-increases-property-tax-credit-raises-homestead-property-tax-credit-by-usd-100/</t>
        </is>
      </c>
    </row>
    <row r="73" ht="34" customHeight="1">
      <c r="A73" s="13" t="inlineStr">
        <is>
          <t>Arkansas</t>
        </is>
      </c>
      <c r="B73" s="4" t="inlineStr">
        <is>
          <t>News</t>
        </is>
      </c>
      <c r="C73" s="4" t="inlineStr">
        <is>
          <t>myarklamiss.com</t>
        </is>
      </c>
      <c r="D73" s="15" t="inlineStr">
        <is>
          <t>Legislation increasing homestead property tax credit passed by legislature, heads to Arkansas Gov. Sarah Huckabee Sanders’ desk</t>
        </is>
      </c>
      <c r="E73" s="4" t="inlineStr">
        <is>
          <t>2026-04-29</t>
        </is>
      </c>
      <c r="F73" s="4" t="n"/>
      <c r="G73" s="4" t="inlineStr">
        <is>
          <t>https://www.myarklamiss.com/www-myarklamiss-com-news-south-arkansas/legislation-increasing-homestead-property-tax-credit-passed-by-legislature-heads-to-arkansas-gov-sarah-huckabee-sanders-desk/amp/</t>
        </is>
      </c>
    </row>
    <row r="74" ht="30" customHeight="1">
      <c r="A74" s="13" t="inlineStr">
        <is>
          <t>Arkansas</t>
        </is>
      </c>
      <c r="B74" s="4" t="inlineStr">
        <is>
          <t>Research &amp; associations</t>
        </is>
      </c>
      <c r="C74" s="4" t="inlineStr">
        <is>
          <t>arcounties.org</t>
        </is>
      </c>
      <c r="D74" s="15" t="inlineStr">
        <is>
          <t>Homestead tax credit has always been priority</t>
        </is>
      </c>
      <c r="E74" s="4" t="n"/>
      <c r="F74" s="4" t="n"/>
      <c r="G74" s="4" t="inlineStr">
        <is>
          <t>https://arcounties.org/media/articles/homestead-tax-credit-has-always-been-priority</t>
        </is>
      </c>
    </row>
    <row r="75" ht="30" customHeight="1">
      <c r="A75" s="13" t="inlineStr">
        <is>
          <t>Arkansas</t>
        </is>
      </c>
      <c r="B75" s="4" t="inlineStr">
        <is>
          <t>Courts &amp; legal codes</t>
        </is>
      </c>
      <c r="C75" s="4" t="inlineStr">
        <is>
          <t>ezel.ai</t>
        </is>
      </c>
      <c r="D75" s="15" t="inlineStr">
        <is>
          <t>AR AG 2026-006: School Board Election Dates and Notice</t>
        </is>
      </c>
      <c r="E75" s="4" t="inlineStr">
        <is>
          <t>2026-05-12</t>
        </is>
      </c>
      <c r="F75" s="4" t="n"/>
      <c r="G75" s="4" t="inlineStr">
        <is>
          <t>https://ezel.ai/ag-opinions/ar/2026-006-question-1-under-current-arkansas-law-when-can-the-annual-sc</t>
        </is>
      </c>
    </row>
    <row r="76" ht="30" customHeight="1">
      <c r="A76" s="13" t="inlineStr">
        <is>
          <t>Arkansas</t>
        </is>
      </c>
      <c r="B76" s="4" t="inlineStr">
        <is>
          <t>Research &amp; associations</t>
        </is>
      </c>
      <c r="C76" s="4" t="inlineStr">
        <is>
          <t>lincolninst.edu</t>
        </is>
      </c>
      <c r="D76" s="15" t="inlineStr">
        <is>
          <t>levy limits 2022.xlsx</t>
        </is>
      </c>
      <c r="E76" s="4" t="n"/>
      <c r="F76" s="4" t="inlineStr">
        <is>
          <t>AK, DE, IL, MI</t>
        </is>
      </c>
      <c r="G76" s="4" t="inlineStr">
        <is>
          <t>https://www.lincolninst.edu/app/uploads/2025/01/levy_limits_2022.xlsx</t>
        </is>
      </c>
    </row>
    <row r="77" ht="30" customHeight="1">
      <c r="A77" s="13" t="inlineStr">
        <is>
          <t>Arkansas</t>
        </is>
      </c>
      <c r="B77" s="4" t="inlineStr">
        <is>
          <t>Federal government &amp; data</t>
        </is>
      </c>
      <c r="C77" s="4" t="inlineStr">
        <is>
          <t>www2.census.gov</t>
        </is>
      </c>
      <c r="D77" s="15" t="inlineStr">
        <is>
          <t>22slsstab1.xlsx</t>
        </is>
      </c>
      <c r="E77" s="4" t="n"/>
      <c r="F77" s="4" t="inlineStr">
        <is>
          <t>AL, IA, KS, KY, LA, MA, MD, ME, MI, MN, MO, MS, MT, NC, ND, NE, NH, NJ, NM, NV, NY, OH, OK, OR, PA, RI, SC, SD, TN, TX, UT, VA, VT, WA, WI, WV, WY</t>
        </is>
      </c>
      <c r="G77" s="4" t="inlineStr">
        <is>
          <t>https://www2.census.gov/programs-surveys/gov-finances/tables/2022/22slsstab1.xlsx</t>
        </is>
      </c>
    </row>
    <row r="78" ht="30" customHeight="1">
      <c r="A78" s="13" t="inlineStr">
        <is>
          <t>Arkansas</t>
        </is>
      </c>
      <c r="B78" s="4" t="inlineStr">
        <is>
          <t>Bills &amp; legislative documents</t>
        </is>
      </c>
      <c r="C78" s="4" t="inlineStr">
        <is>
          <t>arkleg.state.ar.us</t>
        </is>
      </c>
      <c r="D78" s="15" t="inlineStr">
        <is>
          <t>HB1103 Bill Information</t>
        </is>
      </c>
      <c r="E78" s="4" t="n"/>
      <c r="F78" s="4" t="n"/>
      <c r="G78" s="4" t="inlineStr">
        <is>
          <t>https://arkleg.state.ar.us/Bills/Detail?id=HB1103&amp;ddBienniumSession=2025%2F2026F</t>
        </is>
      </c>
    </row>
    <row r="79" ht="30" customHeight="1">
      <c r="A79" s="13" t="inlineStr">
        <is>
          <t>Arkansas</t>
        </is>
      </c>
      <c r="B79" s="4" t="inlineStr">
        <is>
          <t>State government</t>
        </is>
      </c>
      <c r="C79" s="4" t="inlineStr">
        <is>
          <t>dfa.arkansas.gov</t>
        </is>
      </c>
      <c r="D79" s="15" t="inlineStr">
        <is>
          <t> </t>
        </is>
      </c>
      <c r="E79" s="4" t="inlineStr">
        <is>
          <t>2025</t>
        </is>
      </c>
      <c r="F79" s="4" t="n"/>
      <c r="G79" s="4" t="inlineStr">
        <is>
          <t>https://www.dfa.arkansas.gov/wp-content/uploads/AACD_AnnualReport_2025.pdf</t>
        </is>
      </c>
    </row>
    <row r="80" ht="30" customHeight="1">
      <c r="A80" s="13" t="inlineStr">
        <is>
          <t>Arkansas</t>
        </is>
      </c>
      <c r="B80" s="4" t="inlineStr">
        <is>
          <t>Research &amp; associations</t>
        </is>
      </c>
      <c r="C80" s="4" t="inlineStr">
        <is>
          <t>uaex.uada.edu</t>
        </is>
      </c>
      <c r="D80" s="15" t="inlineStr">
        <is>
          <t>Facts about Arkansas Ballot Issue 3</t>
        </is>
      </c>
      <c r="E80" s="4" t="n"/>
      <c r="F80" s="4" t="n"/>
      <c r="G80" s="4" t="inlineStr">
        <is>
          <t>https://uaex.uada.edu/business-communities/voter-education/issue3.aspx</t>
        </is>
      </c>
    </row>
    <row r="81" ht="30" customHeight="1">
      <c r="A81" s="13" t="inlineStr">
        <is>
          <t>Arkansas</t>
        </is>
      </c>
      <c r="B81" s="4" t="inlineStr">
        <is>
          <t>Research &amp; associations</t>
        </is>
      </c>
      <c r="C81" s="4" t="inlineStr">
        <is>
          <t>uaex.uada.edu</t>
        </is>
      </c>
      <c r="D81" s="15" t="inlineStr">
        <is>
          <t>Extension releases 2026 Arkansas Ballot Issues Voter Guide</t>
        </is>
      </c>
      <c r="E81" s="4" t="n"/>
      <c r="F81" s="4" t="n"/>
      <c r="G81" s="4" t="inlineStr">
        <is>
          <t>https://www.uaex.uada.edu/media-resources/news/2026/october/10-07-2026-ark-ballot-guide-26.aspx</t>
        </is>
      </c>
    </row>
    <row r="82" ht="30" customHeight="1">
      <c r="A82" s="13" t="inlineStr">
        <is>
          <t>Arkansas</t>
        </is>
      </c>
      <c r="B82" s="4" t="inlineStr">
        <is>
          <t>Research &amp; associations</t>
        </is>
      </c>
      <c r="C82" s="4" t="inlineStr">
        <is>
          <t>uaex.uada.edu</t>
        </is>
      </c>
      <c r="D82" s="15" t="inlineStr">
        <is>
          <t>Arkansas Voters Have Local Ballot Issues to Decide in March Election</t>
        </is>
      </c>
      <c r="E82" s="4" t="n"/>
      <c r="F82" s="4" t="n"/>
      <c r="G82" s="4" t="inlineStr">
        <is>
          <t>https://www.uaex.uada.edu/business-communities/ced-blog/posts/2026/january/arkansas-voters-have-local-ballot-issues-to-decide-march-2026-election.aspx</t>
        </is>
      </c>
    </row>
    <row r="83" ht="30" customHeight="1">
      <c r="A83" s="13" t="inlineStr">
        <is>
          <t>Arkansas</t>
        </is>
      </c>
      <c r="B83" s="4" t="inlineStr">
        <is>
          <t>Bills &amp; legislative documents</t>
        </is>
      </c>
      <c r="C83" s="4" t="inlineStr">
        <is>
          <t>arkansashouse.org</t>
        </is>
      </c>
      <c r="D83" s="15" t="inlineStr">
        <is>
          <t>2026 Fiscal Session Week 3</t>
        </is>
      </c>
      <c r="E83" s="4" t="inlineStr">
        <is>
          <t>2026-04-24</t>
        </is>
      </c>
      <c r="F83" s="4" t="n"/>
      <c r="G83" s="4" t="inlineStr">
        <is>
          <t>https://www.arkansashouse.org/?p=33676</t>
        </is>
      </c>
    </row>
    <row r="84" ht="30" customHeight="1">
      <c r="A84" s="13" t="inlineStr">
        <is>
          <t>Arkansas</t>
        </is>
      </c>
      <c r="B84" s="4" t="inlineStr">
        <is>
          <t>Courts &amp; legal codes</t>
        </is>
      </c>
      <c r="C84" s="4" t="inlineStr">
        <is>
          <t>policyrisk.com</t>
        </is>
      </c>
      <c r="D84" s="15" t="inlineStr">
        <is>
          <t>Arkansas SJR16 | AN AMENDMENT TO THE ARKANSAS CONSTI…</t>
        </is>
      </c>
      <c r="E84" s="4" t="inlineStr">
        <is>
          <t>2025-02-12</t>
        </is>
      </c>
      <c r="F84" s="4" t="n"/>
      <c r="G84" s="4" t="inlineStr">
        <is>
          <t>https://policyrisk.com/state-bill/AR-SJR16-2025</t>
        </is>
      </c>
    </row>
    <row r="85" ht="30" customHeight="1">
      <c r="A85" s="13" t="inlineStr">
        <is>
          <t>California</t>
        </is>
      </c>
      <c r="B85" s="4" t="inlineStr">
        <is>
          <t>Bills &amp; legislative documents</t>
        </is>
      </c>
      <c r="C85" s="4" t="inlineStr">
        <is>
          <t>lao.ca.gov</t>
        </is>
      </c>
      <c r="D85" s="15" t="inlineStr">
        <is>
          <t>Understanding California's Property Taxes</t>
        </is>
      </c>
      <c r="E85" s="4" t="inlineStr">
        <is>
          <t>2012</t>
        </is>
      </c>
      <c r="F85" s="4" t="n"/>
      <c r="G85" s="4" t="inlineStr">
        <is>
          <t>https://lao.ca.gov/reports/2012/tax/property-tax-primer-112912.pdf</t>
        </is>
      </c>
    </row>
    <row r="86" ht="30" customHeight="1">
      <c r="A86" s="13" t="inlineStr">
        <is>
          <t>California</t>
        </is>
      </c>
      <c r="B86" s="4" t="inlineStr">
        <is>
          <t>Bills &amp; legislative documents</t>
        </is>
      </c>
      <c r="C86" s="4" t="inlineStr">
        <is>
          <t>lao.ca.gov</t>
        </is>
      </c>
      <c r="D86" s="15" t="inlineStr">
        <is>
          <t>Proposition 43 [Ballot]</t>
        </is>
      </c>
      <c r="E86" s="4" t="n"/>
      <c r="F86" s="4" t="n"/>
      <c r="G86" s="4" t="inlineStr">
        <is>
          <t>https://lao.ca.gov/BallotAnalysis/Proposition?number=43&amp;year=2026</t>
        </is>
      </c>
    </row>
    <row r="87" ht="30" customHeight="1">
      <c r="A87" s="13" t="inlineStr">
        <is>
          <t>California</t>
        </is>
      </c>
      <c r="B87" s="4" t="inlineStr">
        <is>
          <t>Bills &amp; legislative documents</t>
        </is>
      </c>
      <c r="C87" s="4" t="inlineStr">
        <is>
          <t>lao.ca.gov</t>
        </is>
      </c>
      <c r="D87" s="15" t="inlineStr">
        <is>
          <t>Proposition Analysis</t>
        </is>
      </c>
      <c r="E87" s="4" t="n"/>
      <c r="F87" s="4" t="n"/>
      <c r="G87" s="4" t="inlineStr">
        <is>
          <t>https://lao.ca.gov/BallotAnalysis/Propositions</t>
        </is>
      </c>
    </row>
    <row r="88" ht="30" customHeight="1">
      <c r="A88" s="13" t="inlineStr">
        <is>
          <t>California</t>
        </is>
      </c>
      <c r="B88" s="4" t="inlineStr">
        <is>
          <t>State government</t>
        </is>
      </c>
      <c r="C88" s="4" t="inlineStr">
        <is>
          <t>boe.ca.gov</t>
        </is>
      </c>
      <c r="D88" s="15" t="inlineStr">
        <is>
          <t>Disabled Veterans' Exemption</t>
        </is>
      </c>
      <c r="E88" s="4" t="n"/>
      <c r="F88" s="4" t="n"/>
      <c r="G88" s="4" t="inlineStr">
        <is>
          <t>https://www.boe.ca.gov/proptaxes/dv_exemption.htm</t>
        </is>
      </c>
    </row>
    <row r="89" ht="30" customHeight="1">
      <c r="A89" s="13" t="inlineStr">
        <is>
          <t>California</t>
        </is>
      </c>
      <c r="B89" s="4" t="inlineStr">
        <is>
          <t>State government</t>
        </is>
      </c>
      <c r="C89" s="4" t="inlineStr">
        <is>
          <t>ebudget.ca.gov</t>
        </is>
      </c>
      <c r="D89" s="15" t="inlineStr">
        <is>
          <t>Governor's Budget - Program Descriptions</t>
        </is>
      </c>
      <c r="E89" s="4" t="n"/>
      <c r="F89" s="4" t="n"/>
      <c r="G89" s="4" t="inlineStr">
        <is>
          <t>https://ebudget.ca.gov/2016-17/Enacted/StateAgencyBudgets/8000/9100/program_description_7500.html</t>
        </is>
      </c>
    </row>
    <row r="90" ht="30" customHeight="1">
      <c r="A90" s="13" t="inlineStr">
        <is>
          <t>California</t>
        </is>
      </c>
      <c r="B90" s="4" t="inlineStr">
        <is>
          <t>Constitution &amp; statutes</t>
        </is>
      </c>
      <c r="C90" s="4" t="inlineStr">
        <is>
          <t>leginfo.legislature.ca.gov</t>
        </is>
      </c>
      <c r="D90" s="15" t="inlineStr">
        <is>
          <t>codes displayText.xhtml</t>
        </is>
      </c>
      <c r="E90" s="4" t="n"/>
      <c r="F90" s="4" t="n"/>
      <c r="G90" s="4" t="inlineStr">
        <is>
          <t>https://leginfo.legislature.ca.gov/faces/codes_displayText.xhtml?lawCode=CONS&amp;article=XIII%20A</t>
        </is>
      </c>
    </row>
    <row r="91" ht="30" customHeight="1">
      <c r="A91" s="13" t="inlineStr">
        <is>
          <t>California</t>
        </is>
      </c>
      <c r="B91" s="4" t="inlineStr">
        <is>
          <t>Constitution &amp; statutes</t>
        </is>
      </c>
      <c r="C91" s="4" t="inlineStr">
        <is>
          <t>leginfo.legislature.ca.gov</t>
        </is>
      </c>
      <c r="D91" s="15" t="inlineStr">
        <is>
          <t>codes displayText.xhtml</t>
        </is>
      </c>
      <c r="E91" s="4" t="n"/>
      <c r="F91" s="4" t="n"/>
      <c r="G91" s="4" t="inlineStr">
        <is>
          <t>https://leginfo.legislature.ca.gov/faces/codes_displayText.xhtml?lawCode=CONS&amp;article=XIII%20B</t>
        </is>
      </c>
    </row>
    <row r="92" ht="30" customHeight="1">
      <c r="A92" s="13" t="inlineStr">
        <is>
          <t>California</t>
        </is>
      </c>
      <c r="B92" s="4" t="inlineStr">
        <is>
          <t>Constitution &amp; statutes</t>
        </is>
      </c>
      <c r="C92" s="4" t="inlineStr">
        <is>
          <t>leginfo.legislature.ca.gov</t>
        </is>
      </c>
      <c r="D92" s="15" t="inlineStr">
        <is>
          <t>codes displayText.xhtml</t>
        </is>
      </c>
      <c r="E92" s="4" t="n"/>
      <c r="F92" s="4" t="n"/>
      <c r="G92" s="4" t="inlineStr">
        <is>
          <t>https://leginfo.legislature.ca.gov/faces/codes_displayText.xhtml?lawCode=CONS&amp;article=XIII%20C</t>
        </is>
      </c>
    </row>
    <row r="93" ht="30" customHeight="1">
      <c r="A93" s="13" t="inlineStr">
        <is>
          <t>California</t>
        </is>
      </c>
      <c r="B93" s="4" t="inlineStr">
        <is>
          <t>Research &amp; associations</t>
        </is>
      </c>
      <c r="C93" s="4" t="inlineStr">
        <is>
          <t>lincolninst.edu</t>
        </is>
      </c>
      <c r="D93" s="15" t="inlineStr">
        <is>
          <t>assessment limits 2022-3.xlsx</t>
        </is>
      </c>
      <c r="E93" s="4" t="n"/>
      <c r="F93" s="4" t="inlineStr">
        <is>
          <t>CT, FL, LA, MD, MI, NY, SC</t>
        </is>
      </c>
      <c r="G93" s="4" t="inlineStr">
        <is>
          <t>https://www.lincolninst.edu/app/uploads/2024/12/assessment_limits_2022-3.xlsx</t>
        </is>
      </c>
    </row>
    <row r="94" ht="30" customHeight="1">
      <c r="A94" s="13" t="inlineStr">
        <is>
          <t>California</t>
        </is>
      </c>
      <c r="B94" s="4" t="inlineStr">
        <is>
          <t>Free-market groups &amp; GOP caucuses</t>
        </is>
      </c>
      <c r="C94" s="4" t="inlineStr">
        <is>
          <t>taxfoundation.org</t>
        </is>
      </c>
      <c r="D94" s="15" t="inlineStr">
        <is>
          <t>Property Tax Limitation Regimes: A Primer</t>
        </is>
      </c>
      <c r="E94" s="4" t="inlineStr">
        <is>
          <t>2018-04-23</t>
        </is>
      </c>
      <c r="F94" s="4" t="n"/>
      <c r="G94" s="4" t="inlineStr">
        <is>
          <t>https://taxfoundation.org/research/all/state/property-tax-limitation-regimes-primer/</t>
        </is>
      </c>
    </row>
    <row r="95" ht="30" customHeight="1">
      <c r="A95" s="13" t="inlineStr">
        <is>
          <t>California</t>
        </is>
      </c>
      <c r="B95" s="4" t="inlineStr">
        <is>
          <t>Free-market groups &amp; GOP caucuses</t>
        </is>
      </c>
      <c r="C95" s="4" t="inlineStr">
        <is>
          <t>taxfoundation.org</t>
        </is>
      </c>
      <c r="D95" s="15" t="inlineStr">
        <is>
          <t>State Tax Ballot Measures to Watch in 2026</t>
        </is>
      </c>
      <c r="E95" s="4" t="inlineStr">
        <is>
          <t>2026-10-07</t>
        </is>
      </c>
      <c r="F95" s="4" t="inlineStr">
        <is>
          <t>AZ, CO, FL, LA, OH</t>
        </is>
      </c>
      <c r="G95" s="4" t="inlineStr">
        <is>
          <t>https://taxfoundation.org/research/state-tax/2026-state-tax-ballot-measures/</t>
        </is>
      </c>
    </row>
    <row r="96" ht="30" customHeight="1">
      <c r="A96" s="13" t="inlineStr">
        <is>
          <t>California</t>
        </is>
      </c>
      <c r="B96" s="4" t="inlineStr">
        <is>
          <t>Constitution &amp; statutes</t>
        </is>
      </c>
      <c r="C96" s="4" t="inlineStr">
        <is>
          <t>leginfo.legislature.ca.gov</t>
        </is>
      </c>
      <c r="D96" s="15" t="inlineStr">
        <is>
          <t>codes displayText.xhtml</t>
        </is>
      </c>
      <c r="E96" s="4" t="n"/>
      <c r="F96" s="4" t="n"/>
      <c r="G96" s="4" t="inlineStr">
        <is>
          <t>https://leginfo.legislature.ca.gov/faces/codes_displayText.xhtml?lawCode=CONS&amp;division=&amp;title=&amp;part=&amp;chapter=&amp;article=13A</t>
        </is>
      </c>
    </row>
    <row r="97" ht="30" customHeight="1">
      <c r="A97" s="13" t="inlineStr">
        <is>
          <t>California</t>
        </is>
      </c>
      <c r="B97" s="4" t="inlineStr">
        <is>
          <t>Free-market groups &amp; GOP caucuses</t>
        </is>
      </c>
      <c r="C97" s="4" t="inlineStr">
        <is>
          <t>caltax.org</t>
        </is>
      </c>
      <c r="D97" s="15" t="inlineStr">
        <is>
          <t>California Property Tax Revenue Increased $8.9 Billion in 2024, BOE Reports</t>
        </is>
      </c>
      <c r="E97" s="4" t="inlineStr">
        <is>
          <t>2025-04-25</t>
        </is>
      </c>
      <c r="F97" s="4" t="n"/>
      <c r="G97" s="4" t="inlineStr">
        <is>
          <t>https://caltax.org/2025/04/25/california-property-tax-revenue-increased-8-9-billion-in-2024-boe-reports/</t>
        </is>
      </c>
    </row>
    <row r="98" ht="30" customHeight="1">
      <c r="A98" s="13" t="inlineStr">
        <is>
          <t>California</t>
        </is>
      </c>
      <c r="B98" s="4" t="inlineStr">
        <is>
          <t>Free-market groups &amp; GOP caucuses</t>
        </is>
      </c>
      <c r="C98" s="4" t="inlineStr">
        <is>
          <t>hjta.org</t>
        </is>
      </c>
      <c r="D98" s="15" t="inlineStr">
        <is>
          <t>New initiative to Save Proposition 13</t>
        </is>
      </c>
      <c r="E98" s="4" t="n"/>
      <c r="F98" s="4" t="n"/>
      <c r="G98" s="4" t="inlineStr">
        <is>
          <t>https://www.hjta.org/press-releases/new-initiative-to-save-proposition-13/</t>
        </is>
      </c>
    </row>
    <row r="99" ht="30" customHeight="1">
      <c r="A99" s="13" t="inlineStr">
        <is>
          <t>California</t>
        </is>
      </c>
      <c r="B99" s="4" t="inlineStr">
        <is>
          <t>News</t>
        </is>
      </c>
      <c r="C99" s="4" t="inlineStr">
        <is>
          <t>calmatters.org</t>
        </is>
      </c>
      <c r="D99" s="15" t="inlineStr">
        <is>
          <t>Prop. 43 would make special taxes harder to pass. Here’s what to know about it</t>
        </is>
      </c>
      <c r="E99" s="4" t="inlineStr">
        <is>
          <t>2026-10-09</t>
        </is>
      </c>
      <c r="F99" s="4" t="n"/>
      <c r="G99" s="4" t="inlineStr">
        <is>
          <t>https://calmatters.org/politics/2026/10/california-prop-43-election-2026/</t>
        </is>
      </c>
    </row>
    <row r="100" ht="30" customHeight="1">
      <c r="A100" s="13" t="inlineStr">
        <is>
          <t>California</t>
        </is>
      </c>
      <c r="B100" s="4" t="inlineStr">
        <is>
          <t>State government</t>
        </is>
      </c>
      <c r="C100" s="4" t="inlineStr">
        <is>
          <t>boe.ca.gov</t>
        </is>
      </c>
      <c r="D100" s="15" t="inlineStr">
        <is>
          <t>LTA 2025/014, Disabled Veterans' Exemption Increases for 2026</t>
        </is>
      </c>
      <c r="E100" s="4" t="inlineStr">
        <is>
          <t>2025</t>
        </is>
      </c>
      <c r="F100" s="4" t="n"/>
      <c r="G100" s="4" t="inlineStr">
        <is>
          <t>https://www.boe.ca.gov/proptaxes/pdf/lta25014.pdf</t>
        </is>
      </c>
    </row>
    <row r="101" ht="30" customHeight="1">
      <c r="A101" s="13" t="inlineStr">
        <is>
          <t>California</t>
        </is>
      </c>
      <c r="B101" s="4" t="inlineStr">
        <is>
          <t>News</t>
        </is>
      </c>
      <c r="C101" s="4" t="inlineStr">
        <is>
          <t>commercialobserver.com</t>
        </is>
      </c>
      <c r="D101" s="15" t="inlineStr">
        <is>
          <t>L.A.’s ‘Mansion Tax’ Reaches $1B in Revenue in Under Three Years</t>
        </is>
      </c>
      <c r="E101" s="4" t="inlineStr">
        <is>
          <t>2026-01-12</t>
        </is>
      </c>
      <c r="F101" s="4" t="n"/>
      <c r="G101" s="4" t="inlineStr">
        <is>
          <t>https://commercialobserver.com/2026/01/measure-ula-revenue-billion/</t>
        </is>
      </c>
    </row>
    <row r="102" ht="30" customHeight="1">
      <c r="A102" s="13" t="inlineStr">
        <is>
          <t>California</t>
        </is>
      </c>
      <c r="B102" s="4" t="inlineStr">
        <is>
          <t>Free-market groups &amp; GOP caucuses</t>
        </is>
      </c>
      <c r="C102" s="4" t="inlineStr">
        <is>
          <t>pacificresearch.org</t>
        </is>
      </c>
      <c r="D102" s="15" t="inlineStr">
        <is>
          <t>California cities turn to tax hikes to deal with overspending</t>
        </is>
      </c>
      <c r="E102" s="4" t="inlineStr">
        <is>
          <t>2026-07-21</t>
        </is>
      </c>
      <c r="F102" s="4" t="n"/>
      <c r="G102" s="4" t="inlineStr">
        <is>
          <t>https://www.pacificresearch.org/california-cities-turn-to-tax-hikes-to-deal-with-overspending/</t>
        </is>
      </c>
    </row>
    <row r="103" ht="30" customHeight="1">
      <c r="A103" s="13" t="inlineStr">
        <is>
          <t>California</t>
        </is>
      </c>
      <c r="B103" s="4" t="inlineStr">
        <is>
          <t>Free-market groups &amp; GOP caucuses</t>
        </is>
      </c>
      <c r="C103" s="4" t="inlineStr">
        <is>
          <t>californiapolicycenter.org</t>
        </is>
      </c>
      <c r="D103" s="15" t="inlineStr">
        <is>
          <t>CPC’s 2026 Voter Information Guide</t>
        </is>
      </c>
      <c r="E103" s="4" t="inlineStr">
        <is>
          <t>2026-09-25</t>
        </is>
      </c>
      <c r="F103" s="4" t="n"/>
      <c r="G103" s="4" t="inlineStr">
        <is>
          <t>https://californiapolicycenter.org/cpcs-2026-voter-information-guide/</t>
        </is>
      </c>
    </row>
    <row r="104" ht="30" customHeight="1">
      <c r="A104" s="13" t="inlineStr">
        <is>
          <t>California</t>
        </is>
      </c>
      <c r="B104" s="4" t="inlineStr">
        <is>
          <t>Free-market groups &amp; GOP caucuses</t>
        </is>
      </c>
      <c r="C104" s="4" t="inlineStr">
        <is>
          <t>hjta.org</t>
        </is>
      </c>
      <c r="D104" s="15" t="inlineStr">
        <is>
          <t>UNDER THE DOME: THE INSIDE STORY ON THE DEAL TO SAVE PROP. 13</t>
        </is>
      </c>
      <c r="E104" s="4" t="n"/>
      <c r="F104" s="4" t="n"/>
      <c r="G104" s="4" t="inlineStr">
        <is>
          <t>https://www.hjta.org/news-events/taxing-times/taxing-times-online-fall-2026-vol-52-issue-3/under-the-dome-the-inside-story-on-the-deal-to-save-prop-13/</t>
        </is>
      </c>
    </row>
    <row r="105" ht="30" customHeight="1">
      <c r="A105" s="13" t="inlineStr">
        <is>
          <t>Colorado</t>
        </is>
      </c>
      <c r="B105" s="4" t="inlineStr">
        <is>
          <t>Bills &amp; legislative documents</t>
        </is>
      </c>
      <c r="C105" s="4" t="inlineStr">
        <is>
          <t>leg.colorado.gov</t>
        </is>
      </c>
      <c r="D105" s="15" t="inlineStr">
        <is>
          <t>HB 24B-1001 October 1, 2024</t>
        </is>
      </c>
      <c r="E105" s="4" t="inlineStr">
        <is>
          <t>2024</t>
        </is>
      </c>
      <c r="F105" s="4" t="n"/>
      <c r="G105" s="4" t="inlineStr">
        <is>
          <t>https://leg.colorado.gov/sites/default/files/documents/2024B/bills/fn/2024b_hb24b-1001_f1.pdf</t>
        </is>
      </c>
    </row>
    <row r="106" ht="30" customHeight="1">
      <c r="A106" s="13" t="inlineStr">
        <is>
          <t>Colorado</t>
        </is>
      </c>
      <c r="B106" s="4" t="inlineStr">
        <is>
          <t>Bills &amp; legislative documents</t>
        </is>
      </c>
      <c r="C106" s="4" t="inlineStr">
        <is>
          <t>leg.colorado.gov</t>
        </is>
      </c>
      <c r="D106" s="15" t="inlineStr">
        <is>
          <t>D:\dist\text\1001_rer.txt</t>
        </is>
      </c>
      <c r="E106" s="4" t="inlineStr">
        <is>
          <t>2024</t>
        </is>
      </c>
      <c r="F106" s="4" t="n"/>
      <c r="G106" s="4" t="inlineStr">
        <is>
          <t>https://leg.colorado.gov/sites/default/files/documents/2024B/bills/2024b_1001_rer.pdf</t>
        </is>
      </c>
    </row>
    <row r="107" ht="30" customHeight="1">
      <c r="A107" s="13" t="inlineStr">
        <is>
          <t>Colorado</t>
        </is>
      </c>
      <c r="B107" s="4" t="inlineStr">
        <is>
          <t>Bills &amp; legislative documents</t>
        </is>
      </c>
      <c r="C107" s="4" t="inlineStr">
        <is>
          <t>leg.colorado.gov</t>
        </is>
      </c>
      <c r="D107" s="15" t="inlineStr">
        <is>
          <t>HCR 25-1001: SENIOR PROPERTY TAX EXEMPTION PORTABILITY</t>
        </is>
      </c>
      <c r="E107" s="4" t="inlineStr">
        <is>
          <t>2025</t>
        </is>
      </c>
      <c r="F107" s="4" t="n"/>
      <c r="G107" s="4" t="inlineStr">
        <is>
          <t>https://leg.colorado.gov/sites/default/files/documents/2025A/bills/fn/2025a_hcr1001_00.pdf</t>
        </is>
      </c>
    </row>
    <row r="108" ht="30" customHeight="1">
      <c r="A108" s="13" t="inlineStr">
        <is>
          <t>Colorado</t>
        </is>
      </c>
      <c r="B108" s="4" t="inlineStr">
        <is>
          <t>Bills &amp; legislative documents</t>
        </is>
      </c>
      <c r="C108" s="4" t="inlineStr">
        <is>
          <t>leg.colorado.gov</t>
        </is>
      </c>
      <c r="D108" s="15" t="inlineStr">
        <is>
          <t>HCR25-1001</t>
        </is>
      </c>
      <c r="E108" s="4" t="n"/>
      <c r="F108" s="4" t="n"/>
      <c r="G108" s="4" t="inlineStr">
        <is>
          <t>https://leg.colorado.gov/bills/HCR25-1001</t>
        </is>
      </c>
    </row>
    <row r="109" ht="30" customHeight="1">
      <c r="A109" s="13" t="inlineStr">
        <is>
          <t>Colorado</t>
        </is>
      </c>
      <c r="B109" s="4" t="inlineStr">
        <is>
          <t>News</t>
        </is>
      </c>
      <c r="C109" s="4" t="inlineStr">
        <is>
          <t>coloradopolitics.com</t>
        </is>
      </c>
      <c r="D109" s="15" t="inlineStr">
        <is>
          <t>Arapahoe, Jefferson county officials cheer de-Brucing wins</t>
        </is>
      </c>
      <c r="E109" s="4" t="inlineStr">
        <is>
          <t>2024-11-06</t>
        </is>
      </c>
      <c r="F109" s="4" t="n"/>
      <c r="G109" s="4" t="inlineStr">
        <is>
          <t>https://www.coloradopolitics.com/2024/11/06/arapahoe-jefferson-county-officials-cheer-de-brucing-wins</t>
        </is>
      </c>
    </row>
    <row r="110" ht="34" customHeight="1">
      <c r="A110" s="13" t="inlineStr">
        <is>
          <t>Colorado</t>
        </is>
      </c>
      <c r="B110" s="4" t="inlineStr">
        <is>
          <t>News</t>
        </is>
      </c>
      <c r="C110" s="4" t="inlineStr">
        <is>
          <t>yellowscene.com</t>
        </is>
      </c>
      <c r="D110" s="15" t="inlineStr">
        <is>
          <t>Colorado Homeowners Are Fed Up with Metro Districts but Reforms Are Hard to Come By</t>
        </is>
      </c>
      <c r="E110" s="4" t="inlineStr">
        <is>
          <t>2023-05-18</t>
        </is>
      </c>
      <c r="F110" s="4" t="n"/>
      <c r="G110" s="4" t="inlineStr">
        <is>
          <t>https://yellowscene.com/2023/05/18/colorado-homeowners-are-fed-up-with-metro-districts-but-reforms-are-hard-to-come-by/</t>
        </is>
      </c>
    </row>
    <row r="111" ht="30" customHeight="1">
      <c r="A111" s="13" t="inlineStr">
        <is>
          <t>Colorado</t>
        </is>
      </c>
      <c r="B111" s="4" t="inlineStr">
        <is>
          <t>Research &amp; associations</t>
        </is>
      </c>
      <c r="C111" s="4" t="inlineStr">
        <is>
          <t>lincolninst.edu</t>
        </is>
      </c>
      <c r="D111" s="15" t="inlineStr">
        <is>
          <t>revenue and expenditure limits 2022.xlsx</t>
        </is>
      </c>
      <c r="E111" s="4" t="n"/>
      <c r="F111" s="4" t="n"/>
      <c r="G111" s="4" t="inlineStr">
        <is>
          <t>https://www.lincolninst.edu/app/uploads/2024/10/revenue_and_expenditure_limits_2022.xlsx</t>
        </is>
      </c>
    </row>
    <row r="112" ht="30" customHeight="1">
      <c r="A112" s="13" t="inlineStr">
        <is>
          <t>Colorado</t>
        </is>
      </c>
      <c r="B112" s="4" t="inlineStr">
        <is>
          <t>Free-market groups &amp; GOP caucuses</t>
        </is>
      </c>
      <c r="C112" s="4" t="inlineStr">
        <is>
          <t>taxfoundation.org</t>
        </is>
      </c>
      <c r="D112" s="15" t="inlineStr">
        <is>
          <t>State Tax Ballot Measures to Watch in 2026</t>
        </is>
      </c>
      <c r="E112" s="4" t="inlineStr">
        <is>
          <t>2026-10-07</t>
        </is>
      </c>
      <c r="F112" s="4" t="inlineStr">
        <is>
          <t>AZ, CA, FL, LA, OH</t>
        </is>
      </c>
      <c r="G112" s="4" t="inlineStr">
        <is>
          <t>https://taxfoundation.org/research/state-tax/2026-state-tax-ballot-measures/</t>
        </is>
      </c>
    </row>
    <row r="113" ht="30" customHeight="1">
      <c r="A113" s="13" t="inlineStr">
        <is>
          <t>Colorado</t>
        </is>
      </c>
      <c r="B113" s="4" t="inlineStr">
        <is>
          <t>Bills &amp; legislative documents</t>
        </is>
      </c>
      <c r="C113" s="4" t="inlineStr">
        <is>
          <t>leg.colorado.gov</t>
        </is>
      </c>
      <c r="D113" s="15" t="inlineStr">
        <is>
          <t>sb24-233</t>
        </is>
      </c>
      <c r="E113" s="4" t="n"/>
      <c r="F113" s="4" t="n"/>
      <c r="G113" s="4" t="inlineStr">
        <is>
          <t>https://www.leg.colorado.gov/bills/sb24-233</t>
        </is>
      </c>
    </row>
    <row r="114" ht="30" customHeight="1">
      <c r="A114" s="13" t="inlineStr">
        <is>
          <t>Colorado</t>
        </is>
      </c>
      <c r="B114" s="4" t="inlineStr">
        <is>
          <t>Bills &amp; legislative documents</t>
        </is>
      </c>
      <c r="C114" s="4" t="inlineStr">
        <is>
          <t>leg.colorado.gov</t>
        </is>
      </c>
      <c r="D114" s="15" t="inlineStr">
        <is>
          <t>HB26-1209</t>
        </is>
      </c>
      <c r="E114" s="4" t="n"/>
      <c r="F114" s="4" t="n"/>
      <c r="G114" s="4" t="inlineStr">
        <is>
          <t>https://leg.colorado.gov/bills/HB26-1209</t>
        </is>
      </c>
    </row>
    <row r="115" ht="30" customHeight="1">
      <c r="A115" s="13" t="inlineStr">
        <is>
          <t>Colorado</t>
        </is>
      </c>
      <c r="B115" s="4" t="inlineStr">
        <is>
          <t>Bills &amp; legislative documents</t>
        </is>
      </c>
      <c r="C115" s="4" t="inlineStr">
        <is>
          <t>content.leg.colorado.gov</t>
        </is>
      </c>
      <c r="D115" s="15" t="inlineStr">
        <is>
          <t>Report on 2026 Property Tax Balancing Percentage</t>
        </is>
      </c>
      <c r="E115" s="4" t="n"/>
      <c r="F115" s="4" t="n"/>
      <c r="G115" s="4" t="inlineStr">
        <is>
          <t>https://content.leg.colorado.gov/publications/report-2026-property-tax-balancing-percentage</t>
        </is>
      </c>
    </row>
    <row r="116" ht="30" customHeight="1">
      <c r="A116" s="13" t="inlineStr">
        <is>
          <t>Colorado</t>
        </is>
      </c>
      <c r="B116" s="4" t="inlineStr">
        <is>
          <t>News</t>
        </is>
      </c>
      <c r="C116" s="4" t="inlineStr">
        <is>
          <t>kiowacountypress.net</t>
        </is>
      </c>
      <c r="D116" s="15" t="inlineStr">
        <is>
          <t>14 measures will appear on Colorado’s statewide ballot in 2026</t>
        </is>
      </c>
      <c r="E116" s="4" t="n"/>
      <c r="F116" s="4" t="n"/>
      <c r="G116" s="4" t="inlineStr">
        <is>
          <t>https://kiowacountypress.net/content/14-measures-will-appear-colorados-statewide-ballot-2026</t>
        </is>
      </c>
    </row>
    <row r="117" ht="34" customHeight="1">
      <c r="A117" s="13" t="inlineStr">
        <is>
          <t>Colorado</t>
        </is>
      </c>
      <c r="B117" s="4" t="inlineStr">
        <is>
          <t>News</t>
        </is>
      </c>
      <c r="C117" s="4" t="inlineStr">
        <is>
          <t>denvergazette.com</t>
        </is>
      </c>
      <c r="D117" s="15" t="inlineStr">
        <is>
          <t>Colorado property tax ballot initiatives withdrawn as part of deal with governor, lawmakers</t>
        </is>
      </c>
      <c r="E117" s="4" t="inlineStr">
        <is>
          <t>2024-09-04</t>
        </is>
      </c>
      <c r="F117" s="4" t="n"/>
      <c r="G117" s="4" t="inlineStr">
        <is>
          <t>https://www.denvergazette.com/2024/09/04/colorado-property-tax-ballot-initiatives-withdrawn-as-part-of-deal-with-governor-lawmakers/</t>
        </is>
      </c>
    </row>
    <row r="118" ht="34" customHeight="1">
      <c r="A118" s="13" t="inlineStr">
        <is>
          <t>Colorado</t>
        </is>
      </c>
      <c r="B118" s="4" t="inlineStr">
        <is>
          <t>News</t>
        </is>
      </c>
      <c r="C118" s="4" t="inlineStr">
        <is>
          <t>gazette.com</t>
        </is>
      </c>
      <c r="D118" s="15" t="inlineStr">
        <is>
          <t>Colorado Springs considering asking residents to forgo $7M TABOR refund to fix up parks</t>
        </is>
      </c>
      <c r="E118" s="4" t="inlineStr">
        <is>
          <t>2019-05-29</t>
        </is>
      </c>
      <c r="F118" s="4" t="n"/>
      <c r="G118" s="4" t="inlineStr">
        <is>
          <t>https://gazette.com/?p=1097373</t>
        </is>
      </c>
    </row>
    <row r="119" ht="30" customHeight="1">
      <c r="A119" s="13" t="inlineStr">
        <is>
          <t>Colorado</t>
        </is>
      </c>
      <c r="B119" s="4" t="inlineStr">
        <is>
          <t>Bills &amp; legislative documents</t>
        </is>
      </c>
      <c r="C119" s="4" t="inlineStr">
        <is>
          <t>leg.colorado.gov</t>
        </is>
      </c>
      <c r="D119" s="15" t="inlineStr">
        <is>
          <t>D:\dist\text\233_rev.txt</t>
        </is>
      </c>
      <c r="E119" s="4" t="inlineStr">
        <is>
          <t>2024</t>
        </is>
      </c>
      <c r="F119" s="4" t="n"/>
      <c r="G119" s="4" t="inlineStr">
        <is>
          <t>https://leg.colorado.gov/sites/default/files/documents/2024A/bills/2024a_233_rev.pdf</t>
        </is>
      </c>
    </row>
    <row r="120" ht="30" customHeight="1">
      <c r="A120" s="13" t="inlineStr">
        <is>
          <t>Connecticut</t>
        </is>
      </c>
      <c r="B120" s="4" t="inlineStr">
        <is>
          <t>State government</t>
        </is>
      </c>
      <c r="C120" s="4" t="inlineStr">
        <is>
          <t>portal.ct.gov</t>
        </is>
      </c>
      <c r="D120" s="15" t="inlineStr">
        <is>
          <t>ceo-cfo-spending-cap-letter-fy24.pdf</t>
        </is>
      </c>
      <c r="E120" s="4" t="inlineStr">
        <is>
          <t>2023</t>
        </is>
      </c>
      <c r="F120" s="4" t="n"/>
      <c r="G120" s="4" t="inlineStr">
        <is>
          <t>https://portal.ct.gov/-/media/opm/igpp/munfinsr/ucoa/ceo-cfo-spending-cap-letter-fy24.pdf</t>
        </is>
      </c>
    </row>
    <row r="121" ht="49" customHeight="1">
      <c r="A121" s="13" t="inlineStr">
        <is>
          <t>Connecticut</t>
        </is>
      </c>
      <c r="B121" s="4" t="inlineStr">
        <is>
          <t>Bills &amp; legislative documents</t>
        </is>
      </c>
      <c r="C121" s="4" t="inlineStr">
        <is>
          <t>prdext3.cga.ct.gov</t>
        </is>
      </c>
      <c r="D121" s="15" t="inlineStr">
        <is>
          <t>AN ACT EXCLUDING APRIL 20, 2025, FROM THE PERIOD OF EARLY VOTING PRIOR TO THE DAY OF A SPECIAL ELECTION AND SUSPENDING THE MUNICIPAL REVENUE SHARING ACCOUNT SPENDING CAP.</t>
        </is>
      </c>
      <c r="E121" s="4" t="inlineStr">
        <is>
          <t>2025</t>
        </is>
      </c>
      <c r="F121" s="4" t="n"/>
      <c r="G121" s="4" t="inlineStr">
        <is>
          <t>https://prdext3.cga.ct.gov/2025/FN/PDF/2025SB-01553-R00-FN.PDF</t>
        </is>
      </c>
    </row>
    <row r="122" ht="30" customHeight="1">
      <c r="A122" s="13" t="inlineStr">
        <is>
          <t>Connecticut</t>
        </is>
      </c>
      <c r="B122" s="4" t="inlineStr">
        <is>
          <t>Bills &amp; legislative documents</t>
        </is>
      </c>
      <c r="C122" s="4" t="inlineStr">
        <is>
          <t>prdext3.cga.ct.gov</t>
        </is>
      </c>
      <c r="D122" s="15" t="inlineStr">
        <is>
          <t>Issue Brief: Motor Vehicle Mill Rate Cap</t>
        </is>
      </c>
      <c r="E122" s="4" t="inlineStr">
        <is>
          <t>2022</t>
        </is>
      </c>
      <c r="F122" s="4" t="n"/>
      <c r="G122" s="4" t="inlineStr">
        <is>
          <t>https://prdext3.cga.ct.gov/2022/rpt/pdf/2022-R-0217.pdf</t>
        </is>
      </c>
    </row>
    <row r="123" ht="30" customHeight="1">
      <c r="A123" s="13" t="inlineStr">
        <is>
          <t>Connecticut</t>
        </is>
      </c>
      <c r="B123" s="4" t="inlineStr">
        <is>
          <t>Research &amp; associations</t>
        </is>
      </c>
      <c r="C123" s="4" t="inlineStr">
        <is>
          <t>pullcom.com</t>
        </is>
      </c>
      <c r="D123" s="15" t="inlineStr">
        <is>
          <t>Connecticut’s 2026 Legislative Session Yields Property Tax Changes</t>
        </is>
      </c>
      <c r="E123" s="4" t="inlineStr">
        <is>
          <t>2026-05-11</t>
        </is>
      </c>
      <c r="F123" s="4" t="n"/>
      <c r="G123" s="4" t="inlineStr">
        <is>
          <t>https://www.pullcom.com/for-what-it-may-be-worth/connecticuts-2026-legislative-session-yields-property-tax-changes</t>
        </is>
      </c>
    </row>
    <row r="124" ht="30" customHeight="1">
      <c r="A124" s="13" t="inlineStr">
        <is>
          <t>Connecticut</t>
        </is>
      </c>
      <c r="B124" s="4" t="inlineStr">
        <is>
          <t>Research &amp; associations</t>
        </is>
      </c>
      <c r="C124" s="4" t="inlineStr">
        <is>
          <t>pullcom.com</t>
        </is>
      </c>
      <c r="D124" s="15" t="inlineStr">
        <is>
          <t>Homestead Property Tax Exemption Bill Advances in Connecticut</t>
        </is>
      </c>
      <c r="E124" s="4" t="inlineStr">
        <is>
          <t>2026-04-24</t>
        </is>
      </c>
      <c r="F124" s="4" t="n"/>
      <c r="G124" s="4" t="inlineStr">
        <is>
          <t>https://www.pullcom.com/for-what-it-may-be-worth/homestead-property-tax-exemption-bill-advances-in-connecticut</t>
        </is>
      </c>
    </row>
    <row r="125" ht="30" customHeight="1">
      <c r="A125" s="13" t="inlineStr">
        <is>
          <t>Connecticut</t>
        </is>
      </c>
      <c r="B125" s="4" t="inlineStr">
        <is>
          <t>Research &amp; associations</t>
        </is>
      </c>
      <c r="C125" s="4" t="inlineStr">
        <is>
          <t>my.aarpfoundation.org</t>
        </is>
      </c>
      <c r="D125" s="15" t="inlineStr">
        <is>
          <t>Connecticut Property Tax Relief Programs</t>
        </is>
      </c>
      <c r="E125" s="4" t="inlineStr">
        <is>
          <t>2026-03-19</t>
        </is>
      </c>
      <c r="F125" s="4" t="n"/>
      <c r="G125" s="4" t="inlineStr">
        <is>
          <t>https://my.aarpfoundation.org/property-taxes/taxpayer-states/connecticut/</t>
        </is>
      </c>
    </row>
    <row r="126" ht="30" customHeight="1">
      <c r="A126" s="13" t="inlineStr">
        <is>
          <t>Connecticut</t>
        </is>
      </c>
      <c r="B126" s="4" t="inlineStr">
        <is>
          <t>Constitution &amp; statutes</t>
        </is>
      </c>
      <c r="C126" s="4" t="inlineStr">
        <is>
          <t>cga.ct.gov</t>
        </is>
      </c>
      <c r="D126" s="15" t="inlineStr">
        <is>
          <t>chap 203</t>
        </is>
      </c>
      <c r="E126" s="4" t="n"/>
      <c r="F126" s="4" t="n"/>
      <c r="G126" s="4" t="inlineStr">
        <is>
          <t>https://www.cga.ct.gov/current/pub/chap_203.htm</t>
        </is>
      </c>
    </row>
    <row r="127" ht="30" customHeight="1">
      <c r="A127" s="13" t="inlineStr">
        <is>
          <t>Connecticut</t>
        </is>
      </c>
      <c r="B127" s="4" t="inlineStr">
        <is>
          <t>Research &amp; associations</t>
        </is>
      </c>
      <c r="C127" s="4" t="inlineStr">
        <is>
          <t>lincolninst.edu</t>
        </is>
      </c>
      <c r="D127" s="15" t="inlineStr">
        <is>
          <t>assessment limits 2022-3.xlsx</t>
        </is>
      </c>
      <c r="E127" s="4" t="n"/>
      <c r="F127" s="4" t="inlineStr">
        <is>
          <t>CA, FL, LA, MD, MI, NY, SC</t>
        </is>
      </c>
      <c r="G127" s="4" t="inlineStr">
        <is>
          <t>https://www.lincolninst.edu/app/uploads/2024/12/assessment_limits_2022-3.xlsx</t>
        </is>
      </c>
    </row>
    <row r="128" ht="34" customHeight="1">
      <c r="A128" s="13" t="inlineStr">
        <is>
          <t>Connecticut</t>
        </is>
      </c>
      <c r="B128" s="4" t="inlineStr">
        <is>
          <t>News</t>
        </is>
      </c>
      <c r="C128" s="4" t="inlineStr">
        <is>
          <t>wshu.org</t>
        </is>
      </c>
      <c r="D128" s="15" t="inlineStr">
        <is>
          <t>CT budget deal includes one-time $270 million state aid increase for cities and towns</t>
        </is>
      </c>
      <c r="E128" s="4" t="inlineStr">
        <is>
          <t>2026-04-29</t>
        </is>
      </c>
      <c r="F128" s="4" t="n"/>
      <c r="G128" s="4" t="inlineStr">
        <is>
          <t>https://www.wshu.org/connecticut-news/2026-04-29/ct-budget-aid-increase-cities-towns</t>
        </is>
      </c>
    </row>
    <row r="129" ht="49" customHeight="1">
      <c r="A129" s="13" t="inlineStr">
        <is>
          <t>Connecticut</t>
        </is>
      </c>
      <c r="B129" s="4" t="inlineStr">
        <is>
          <t>Bills &amp; legislative documents</t>
        </is>
      </c>
      <c r="C129" s="4" t="inlineStr">
        <is>
          <t>prdext3.cga.ct.gov</t>
        </is>
      </c>
      <c r="D129" s="15" t="inlineStr">
        <is>
          <t>AN ACT EXCLUDING APRIL 20, 2025, FROM THE PERIOD OF EARLY VOTING PRIOR TO THE DAY OF A SPECIAL ELECTION AND SUSPENDING THE MUNICIPAL REVENUE SHARING ACCOUNT SPENDING CAP</t>
        </is>
      </c>
      <c r="E129" s="4" t="inlineStr">
        <is>
          <t>2025</t>
        </is>
      </c>
      <c r="F129" s="4" t="n"/>
      <c r="G129" s="4" t="inlineStr">
        <is>
          <t>https://prdext3.cga.ct.gov/2025/sum/pdf/2025SUM00003-R01SB-01553-SUM.pdf</t>
        </is>
      </c>
    </row>
    <row r="130" ht="30" customHeight="1">
      <c r="A130" s="13" t="inlineStr">
        <is>
          <t>Connecticut</t>
        </is>
      </c>
      <c r="B130" s="4" t="inlineStr">
        <is>
          <t>Bills &amp; legislative documents</t>
        </is>
      </c>
      <c r="C130" s="4" t="inlineStr">
        <is>
          <t>prdext3.cga.ct.gov</t>
        </is>
      </c>
      <c r="D130" s="15" t="inlineStr">
        <is>
          <t>AN ACT CONCERNING AFFORDABILITY.</t>
        </is>
      </c>
      <c r="E130" s="4" t="inlineStr">
        <is>
          <t>2026</t>
        </is>
      </c>
      <c r="F130" s="4" t="n"/>
      <c r="G130" s="4" t="inlineStr">
        <is>
          <t>https://prdext3.cga.ct.gov/2026/FN/PDF/2026SB-00001-R01-FN.PDF</t>
        </is>
      </c>
    </row>
    <row r="131" ht="30" customHeight="1">
      <c r="A131" s="13" t="inlineStr">
        <is>
          <t>Connecticut</t>
        </is>
      </c>
      <c r="B131" s="4" t="inlineStr">
        <is>
          <t>News</t>
        </is>
      </c>
      <c r="C131" s="4" t="inlineStr">
        <is>
          <t>wtnh.com</t>
        </is>
      </c>
      <c r="D131" s="15" t="inlineStr">
        <is>
          <t>Lamont signs FY 2027 state budget adjustment bill into law</t>
        </is>
      </c>
      <c r="E131" s="4" t="inlineStr">
        <is>
          <t>2026-05-26</t>
        </is>
      </c>
      <c r="F131" s="4" t="n"/>
      <c r="G131" s="4" t="inlineStr">
        <is>
          <t>https://www.wtnh.com/news/connecticut/lamont-signs-fy-2027-state-budget-adjustment-bill-into-law/amp/</t>
        </is>
      </c>
    </row>
    <row r="132" ht="34" customHeight="1">
      <c r="A132" s="13" t="inlineStr">
        <is>
          <t>Connecticut</t>
        </is>
      </c>
      <c r="B132" s="4" t="inlineStr">
        <is>
          <t>State government</t>
        </is>
      </c>
      <c r="C132" s="4" t="inlineStr">
        <is>
          <t>portal.ct.gov</t>
        </is>
      </c>
      <c r="D132" s="15" t="inlineStr">
        <is>
          <t>Governor Lamont Announces Town-By-Town Increase in State Funding Included in the FY 2027 State Budget</t>
        </is>
      </c>
      <c r="E132" s="4" t="n"/>
      <c r="F132" s="4" t="n"/>
      <c r="G132" s="4" t="inlineStr">
        <is>
          <t>https://portal.ct.gov/governor/news/press-releases/2026/05-2026/governor-lamont-announces-town-by-town-increase-in-state-funding</t>
        </is>
      </c>
    </row>
    <row r="133" ht="34" customHeight="1">
      <c r="A133" s="13" t="inlineStr">
        <is>
          <t>Connecticut</t>
        </is>
      </c>
      <c r="B133" s="4" t="inlineStr">
        <is>
          <t>Local government</t>
        </is>
      </c>
      <c r="C133" s="4" t="inlineStr">
        <is>
          <t>bridgeportct.gov</t>
        </is>
      </c>
      <c r="D133" s="15" t="inlineStr">
        <is>
          <t>Mayor Ganim Announces Lowest Mill Rate in Decades; City Council Approves Historic 40% Mill Rate Reduction</t>
        </is>
      </c>
      <c r="E133" s="4" t="inlineStr">
        <is>
          <t>2026-10-13</t>
        </is>
      </c>
      <c r="F133" s="4" t="n"/>
      <c r="G133" s="4" t="inlineStr">
        <is>
          <t>https://www.bridgeportct.gov/news/mayor-ganim-announces-lowest-mill-rate-decades-city-council-approves-historic-40-mill-rate-reduction</t>
        </is>
      </c>
    </row>
    <row r="134" ht="30" customHeight="1">
      <c r="A134" s="13" t="inlineStr">
        <is>
          <t>Connecticut</t>
        </is>
      </c>
      <c r="B134" s="4" t="inlineStr">
        <is>
          <t>Research &amp; associations</t>
        </is>
      </c>
      <c r="C134" s="4" t="inlineStr">
        <is>
          <t>cbia.com</t>
        </is>
      </c>
      <c r="D134" s="15" t="inlineStr">
        <is>
          <t>Senate GOP Releases $1.5B Tax, Energy Relief Plan » CBIA</t>
        </is>
      </c>
      <c r="E134" s="4" t="inlineStr">
        <is>
          <t>2026-02-12</t>
        </is>
      </c>
      <c r="F134" s="4" t="n"/>
      <c r="G134" s="4" t="inlineStr">
        <is>
          <t>https://www.cbia.com/?p=174685</t>
        </is>
      </c>
    </row>
    <row r="135" ht="30" customHeight="1">
      <c r="A135" s="13" t="inlineStr">
        <is>
          <t>Delaware</t>
        </is>
      </c>
      <c r="B135" s="4" t="inlineStr">
        <is>
          <t>News</t>
        </is>
      </c>
      <c r="C135" s="4" t="inlineStr">
        <is>
          <t>newarkpostonline.com</t>
        </is>
      </c>
      <c r="D135" s="15" t="inlineStr">
        <is>
          <t>Bill bans school property tax increases from reassessments</t>
        </is>
      </c>
      <c r="E135" s="4" t="inlineStr">
        <is>
          <t>2022-05-18</t>
        </is>
      </c>
      <c r="F135" s="4" t="n"/>
      <c r="G135" s="4" t="inlineStr">
        <is>
          <t>https://www.newarkpostonline.com/news/bill-bans-school-property-tax-increases-from-reassessments/article_d90d5490-8380-5fb8-b6fd-71fbb67a9008.html</t>
        </is>
      </c>
    </row>
    <row r="136" ht="30" customHeight="1">
      <c r="A136" s="13" t="inlineStr">
        <is>
          <t>Delaware</t>
        </is>
      </c>
      <c r="B136" s="4" t="inlineStr">
        <is>
          <t>News</t>
        </is>
      </c>
      <c r="C136" s="4" t="inlineStr">
        <is>
          <t>delawarepublic.org</t>
        </is>
      </c>
      <c r="D136" s="15" t="inlineStr">
        <is>
          <t>What changes are on the table for tax relief following reassessment turmoil</t>
        </is>
      </c>
      <c r="E136" s="4" t="inlineStr">
        <is>
          <t>2025-08-09</t>
        </is>
      </c>
      <c r="F136" s="4" t="n"/>
      <c r="G136" s="4" t="inlineStr">
        <is>
          <t>https://www.delawarepublic.org/politics-government/2025-08-08/what-changes-are-on-the-table-for-tax-relief-following-reassessment-turmoil</t>
        </is>
      </c>
    </row>
    <row r="137" ht="30" customHeight="1">
      <c r="A137" s="13" t="inlineStr">
        <is>
          <t>Delaware</t>
        </is>
      </c>
      <c r="B137" s="4" t="inlineStr">
        <is>
          <t>Free-market groups &amp; GOP caucuses</t>
        </is>
      </c>
      <c r="C137" s="4" t="inlineStr">
        <is>
          <t>nfib.com</t>
        </is>
      </c>
      <c r="D137" s="15" t="inlineStr">
        <is>
          <t>delaware-2025-special-session-what-you-need-to-know</t>
        </is>
      </c>
      <c r="E137" s="4" t="n"/>
      <c r="F137" s="4" t="n"/>
      <c r="G137" s="4" t="inlineStr">
        <is>
          <t>https://www.nfib.com/news/news/delaware-2025-special-session-what-you-need-to-know/</t>
        </is>
      </c>
    </row>
    <row r="138" ht="34" customHeight="1">
      <c r="A138" s="13" t="inlineStr">
        <is>
          <t>Delaware</t>
        </is>
      </c>
      <c r="B138" s="4" t="inlineStr">
        <is>
          <t>Bills &amp; legislative documents</t>
        </is>
      </c>
      <c r="C138" s="4" t="inlineStr">
        <is>
          <t>housedems.delaware.gov</t>
        </is>
      </c>
      <c r="D138" s="15" t="inlineStr">
        <is>
          <t>House Passes Package of Bills to Address Issues in Statewide Property Reassessment Process</t>
        </is>
      </c>
      <c r="E138" s="4" t="inlineStr">
        <is>
          <t>2026-06-19</t>
        </is>
      </c>
      <c r="F138" s="4" t="n"/>
      <c r="G138" s="4" t="inlineStr">
        <is>
          <t>https://housedems.delaware.gov/2026/06/19/house-addresses-issues-in-statewide-property-reassessment-process/</t>
        </is>
      </c>
    </row>
    <row r="139" ht="30" customHeight="1">
      <c r="A139" s="13" t="inlineStr">
        <is>
          <t>Delaware</t>
        </is>
      </c>
      <c r="B139" s="4" t="inlineStr">
        <is>
          <t>Constitution &amp; statutes</t>
        </is>
      </c>
      <c r="C139" s="4" t="inlineStr">
        <is>
          <t>delcode.delaware.gov</t>
        </is>
      </c>
      <c r="D139" s="15" t="inlineStr">
        <is>
          <t>Delaware Code Online</t>
        </is>
      </c>
      <c r="E139" s="4" t="n"/>
      <c r="F139" s="4" t="n"/>
      <c r="G139" s="4" t="inlineStr">
        <is>
          <t>https://delcode.delaware.gov/title14/c019/index.html</t>
        </is>
      </c>
    </row>
    <row r="140" ht="30" customHeight="1">
      <c r="A140" s="13" t="inlineStr">
        <is>
          <t>Delaware</t>
        </is>
      </c>
      <c r="B140" s="4" t="inlineStr">
        <is>
          <t>Research &amp; associations</t>
        </is>
      </c>
      <c r="C140" s="4" t="inlineStr">
        <is>
          <t>lincolninst.edu</t>
        </is>
      </c>
      <c r="D140" s="15" t="inlineStr">
        <is>
          <t>truth in taxation 2024.xlsx</t>
        </is>
      </c>
      <c r="E140" s="4" t="n"/>
      <c r="F140" s="4" t="inlineStr">
        <is>
          <t>GA, IA, IL, KY, MD, MI, MN, MO, NC, ND, NE, NM, NV, NY, OH, OK, OR, PA, RI, TN, TX, UT, VA, VT, WV, WY</t>
        </is>
      </c>
      <c r="G140" s="4" t="inlineStr">
        <is>
          <t>https://www.lincolninst.edu/app/uploads/2024/10/truth_in_taxation_2024.xlsx</t>
        </is>
      </c>
    </row>
    <row r="141" ht="30" customHeight="1">
      <c r="A141" s="13" t="inlineStr">
        <is>
          <t>Delaware</t>
        </is>
      </c>
      <c r="B141" s="4" t="inlineStr">
        <is>
          <t>Research &amp; associations</t>
        </is>
      </c>
      <c r="C141" s="4" t="inlineStr">
        <is>
          <t>lincolninst.edu</t>
        </is>
      </c>
      <c r="D141" s="15" t="inlineStr">
        <is>
          <t>levy limits 2022.xlsx</t>
        </is>
      </c>
      <c r="E141" s="4" t="n"/>
      <c r="F141" s="4" t="inlineStr">
        <is>
          <t>AK, AR, IL, MI</t>
        </is>
      </c>
      <c r="G141" s="4" t="inlineStr">
        <is>
          <t>https://www.lincolninst.edu/app/uploads/2025/01/levy_limits_2022.xlsx</t>
        </is>
      </c>
    </row>
    <row r="142" ht="30" customHeight="1">
      <c r="A142" s="13" t="inlineStr">
        <is>
          <t>Delaware</t>
        </is>
      </c>
      <c r="B142" s="4" t="inlineStr">
        <is>
          <t>Free-market groups &amp; GOP caucuses</t>
        </is>
      </c>
      <c r="C142" s="4" t="inlineStr">
        <is>
          <t>housegop.delaware.gov</t>
        </is>
      </c>
      <c r="D142" s="15" t="inlineStr">
        <is>
          <t>Contentious Two-Tier Tax Bill Becomes Law Without the Governor's Signature</t>
        </is>
      </c>
      <c r="E142" s="4" t="inlineStr">
        <is>
          <t>2026-08-07</t>
        </is>
      </c>
      <c r="F142" s="4" t="n"/>
      <c r="G142" s="4" t="inlineStr">
        <is>
          <t>https://housegop.delaware.gov/2026/08/07/delaware-two-tier-school-tax-bill/</t>
        </is>
      </c>
    </row>
    <row r="143" ht="34" customHeight="1">
      <c r="A143" s="13" t="inlineStr">
        <is>
          <t>Delaware</t>
        </is>
      </c>
      <c r="B143" s="4" t="inlineStr">
        <is>
          <t>News</t>
        </is>
      </c>
      <c r="C143" s="4" t="inlineStr">
        <is>
          <t>delawarelive.com</t>
        </is>
      </c>
      <c r="D143" s="15" t="inlineStr">
        <is>
          <t>Delaware Lawmakers Advance New Castle County Property Tax Reassessment Reforms as Debate Shifts to Long-Term Tax Policy</t>
        </is>
      </c>
      <c r="E143" s="4" t="inlineStr">
        <is>
          <t>2026-06-05</t>
        </is>
      </c>
      <c r="F143" s="4" t="n"/>
      <c r="G143" s="4" t="inlineStr">
        <is>
          <t>https://delawarelive.com/delaware-lawmakers-advance-new-castle-county-property-tax-reassessment-reforms-as-debate-shifts-to-long-term-tax-policy/</t>
        </is>
      </c>
    </row>
    <row r="144" ht="30" customHeight="1">
      <c r="A144" s="13" t="inlineStr">
        <is>
          <t>Delaware</t>
        </is>
      </c>
      <c r="B144" s="4" t="inlineStr">
        <is>
          <t>Free-market groups &amp; GOP caucuses</t>
        </is>
      </c>
      <c r="C144" s="4" t="inlineStr">
        <is>
          <t>housegop.delaware.gov</t>
        </is>
      </c>
      <c r="D144" s="15" t="inlineStr">
        <is>
          <t>The Road to Equity: Delaware's Property Reassessment Crisis</t>
        </is>
      </c>
      <c r="E144" s="4" t="inlineStr">
        <is>
          <t>2026-02-28</t>
        </is>
      </c>
      <c r="F144" s="4" t="n"/>
      <c r="G144" s="4" t="inlineStr">
        <is>
          <t>https://housegop.delaware.gov/2026/02/27/delaware-property-reassessment-equity/</t>
        </is>
      </c>
    </row>
    <row r="145" ht="30" customHeight="1">
      <c r="A145" s="13" t="inlineStr">
        <is>
          <t>Delaware</t>
        </is>
      </c>
      <c r="B145" s="4" t="inlineStr">
        <is>
          <t>News</t>
        </is>
      </c>
      <c r="C145" s="4" t="inlineStr">
        <is>
          <t>delawarepublic.org</t>
        </is>
      </c>
      <c r="D145" s="15" t="inlineStr">
        <is>
          <t>Final day of Delaware's 153rd legislative session</t>
        </is>
      </c>
      <c r="E145" s="4" t="inlineStr">
        <is>
          <t>2026-07-01</t>
        </is>
      </c>
      <c r="F145" s="4" t="n"/>
      <c r="G145" s="4" t="inlineStr">
        <is>
          <t>https://www.delawarepublic.org/politics-government/2026-06-30/final-day-of-delawares-153rd-legislative-session</t>
        </is>
      </c>
    </row>
    <row r="146" ht="30" customHeight="1">
      <c r="A146" s="13" t="inlineStr">
        <is>
          <t>Delaware</t>
        </is>
      </c>
      <c r="B146" s="4" t="inlineStr">
        <is>
          <t>Local government</t>
        </is>
      </c>
      <c r="C146" s="4" t="inlineStr">
        <is>
          <t>wilmingtoncitycouncil.com</t>
        </is>
      </c>
      <c r="D146" s="15" t="inlineStr">
        <is>
          <t>Wilmington, Delaware April 16, 2026</t>
        </is>
      </c>
      <c r="E146" s="4" t="inlineStr">
        <is>
          <t>2026</t>
        </is>
      </c>
      <c r="F146" s="4" t="n"/>
      <c r="G146" s="4" t="inlineStr">
        <is>
          <t>https://www.wilmingtoncitycouncil.com/wp-content/uploads/2026/04/0224-A-Resolution-Urging-the-New-Castle-County-Council-to-Oppose-the-Proposed-17.2-Tax-Increase-for-FY2027-cj.pdf</t>
        </is>
      </c>
    </row>
    <row r="147" ht="30" customHeight="1">
      <c r="A147" s="13" t="inlineStr">
        <is>
          <t>Delaware</t>
        </is>
      </c>
      <c r="B147" s="4" t="inlineStr">
        <is>
          <t>News</t>
        </is>
      </c>
      <c r="C147" s="4" t="inlineStr">
        <is>
          <t>townsquaredelaware.com</t>
        </is>
      </c>
      <c r="D147" s="15" t="inlineStr">
        <is>
          <t>New Castle County Budget Archives</t>
        </is>
      </c>
      <c r="E147" s="4" t="n"/>
      <c r="F147" s="4" t="n"/>
      <c r="G147" s="4" t="inlineStr">
        <is>
          <t>https://townsquaredelaware.com/tag/new-castle-county-budget/</t>
        </is>
      </c>
    </row>
    <row r="148" ht="30" customHeight="1">
      <c r="A148" s="13" t="inlineStr">
        <is>
          <t>Florida</t>
        </is>
      </c>
      <c r="B148" s="4" t="inlineStr">
        <is>
          <t>Constitution &amp; statutes</t>
        </is>
      </c>
      <c r="C148" s="4" t="inlineStr">
        <is>
          <t>leg.state.fl.us</t>
        </is>
      </c>
      <c r="D148" s="15" t="inlineStr">
        <is>
          <t>statutes index (App mode Display Statute)</t>
        </is>
      </c>
      <c r="E148" s="4" t="n"/>
      <c r="F148" s="4" t="n"/>
      <c r="G148" s="4" t="inlineStr">
        <is>
          <t>http://www.leg.state.fl.us/statutes/index.cfm?App_mode=Display_Statute&amp;URL=0200-0299/0200/Sections/0200.065.html</t>
        </is>
      </c>
    </row>
    <row r="149" ht="30" customHeight="1">
      <c r="A149" s="13" t="inlineStr">
        <is>
          <t>Florida</t>
        </is>
      </c>
      <c r="B149" s="4" t="inlineStr">
        <is>
          <t>Constitution &amp; statutes</t>
        </is>
      </c>
      <c r="C149" s="4" t="inlineStr">
        <is>
          <t>leg.state.fl.us</t>
        </is>
      </c>
      <c r="D149" s="15" t="inlineStr">
        <is>
          <t>statutes index (App mode Display Statute)</t>
        </is>
      </c>
      <c r="E149" s="4" t="n"/>
      <c r="F149" s="4" t="n"/>
      <c r="G149" s="4" t="inlineStr">
        <is>
          <t>http://www.leg.state.fl.us/statutes/index.cfm?App_mode=Display_Statute&amp;URL=1000-1099/1011/Sections/1011.71.html</t>
        </is>
      </c>
    </row>
    <row r="150" ht="30" customHeight="1">
      <c r="A150" s="13" t="inlineStr">
        <is>
          <t>Florida</t>
        </is>
      </c>
      <c r="B150" s="4" t="inlineStr">
        <is>
          <t>State government</t>
        </is>
      </c>
      <c r="C150" s="4" t="inlineStr">
        <is>
          <t>floridarevenue.com</t>
        </is>
      </c>
      <c r="D150" s="15" t="inlineStr">
        <is>
          <t>2025 Taxes Levied Comparison Report</t>
        </is>
      </c>
      <c r="E150" s="4" t="inlineStr">
        <is>
          <t>2026</t>
        </is>
      </c>
      <c r="F150" s="4" t="n"/>
      <c r="G150" s="4" t="inlineStr">
        <is>
          <t>https://floridarevenue.com/property/Documents/comp25.pdf</t>
        </is>
      </c>
    </row>
    <row r="151" ht="30" customHeight="1">
      <c r="A151" s="13" t="inlineStr">
        <is>
          <t>Florida</t>
        </is>
      </c>
      <c r="B151" s="4" t="inlineStr">
        <is>
          <t>Research &amp; associations</t>
        </is>
      </c>
      <c r="C151" s="4" t="inlineStr">
        <is>
          <t>floridapolicy.org</t>
        </is>
      </c>
      <c r="D151" s="15" t="inlineStr">
        <is>
          <t>Amendment 3: Property Tax Ballot Language Summary and Local Fiscal Impacts</t>
        </is>
      </c>
      <c r="E151" s="4" t="n"/>
      <c r="F151" s="4" t="n"/>
      <c r="G151" s="4" t="inlineStr">
        <is>
          <t>https://www.floridapolicy.org/posts/florida-property-tax-amendment-ballot-language-summary</t>
        </is>
      </c>
    </row>
    <row r="152" ht="30" customHeight="1">
      <c r="A152" s="13" t="inlineStr">
        <is>
          <t>Florida</t>
        </is>
      </c>
      <c r="B152" s="4" t="inlineStr">
        <is>
          <t>Free-market groups &amp; GOP caucuses</t>
        </is>
      </c>
      <c r="C152" s="4" t="inlineStr">
        <is>
          <t>taxfoundation.org</t>
        </is>
      </c>
      <c r="D152" s="15" t="inlineStr">
        <is>
          <t>State Tax Ballot Measures to Watch in 2026</t>
        </is>
      </c>
      <c r="E152" s="4" t="inlineStr">
        <is>
          <t>2026-10-07</t>
        </is>
      </c>
      <c r="F152" s="4" t="inlineStr">
        <is>
          <t>AZ, CA, CO, LA, OH</t>
        </is>
      </c>
      <c r="G152" s="4" t="inlineStr">
        <is>
          <t>https://taxfoundation.org/research/state-tax/2026-state-tax-ballot-measures/</t>
        </is>
      </c>
    </row>
    <row r="153" ht="30" customHeight="1">
      <c r="A153" s="13" t="inlineStr">
        <is>
          <t>Florida</t>
        </is>
      </c>
      <c r="B153" s="4" t="inlineStr">
        <is>
          <t>Research &amp; associations</t>
        </is>
      </c>
      <c r="C153" s="4" t="inlineStr">
        <is>
          <t>lincolninst.edu</t>
        </is>
      </c>
      <c r="D153" s="15" t="inlineStr">
        <is>
          <t>assessment limits 2022-3.xlsx</t>
        </is>
      </c>
      <c r="E153" s="4" t="n"/>
      <c r="F153" s="4" t="inlineStr">
        <is>
          <t>CA, CT, LA, MD, MI, NY, SC</t>
        </is>
      </c>
      <c r="G153" s="4" t="inlineStr">
        <is>
          <t>https://www.lincolninst.edu/app/uploads/2024/12/assessment_limits_2022-3.xlsx</t>
        </is>
      </c>
    </row>
    <row r="154" ht="30" customHeight="1">
      <c r="A154" s="13" t="inlineStr">
        <is>
          <t>Florida</t>
        </is>
      </c>
      <c r="B154" s="4" t="inlineStr">
        <is>
          <t>Research &amp; associations</t>
        </is>
      </c>
      <c r="C154" s="4" t="inlineStr">
        <is>
          <t>apps.lincolninst.edu</t>
        </is>
      </c>
      <c r="D154" s="15" t="inlineStr">
        <is>
          <t>rate-limits-2022-4.xlsx</t>
        </is>
      </c>
      <c r="E154" s="4" t="n"/>
      <c r="F154" s="4" t="inlineStr">
        <is>
          <t>AL, IA, ID, KS, KY, LA, MA, MI, MO, NM, NV, SC, SD, UT, WA, WV, WY</t>
        </is>
      </c>
      <c r="G154" s="4" t="inlineStr">
        <is>
          <t>https://apps.lincolninst.edu/uploads/summary-tables/rate-limits-summary-tables/rate-limits-2022-4.xlsx</t>
        </is>
      </c>
    </row>
    <row r="155" ht="30" customHeight="1">
      <c r="A155" s="13" t="inlineStr">
        <is>
          <t>Florida</t>
        </is>
      </c>
      <c r="B155" s="4" t="inlineStr">
        <is>
          <t>Free-market groups &amp; GOP caucuses</t>
        </is>
      </c>
      <c r="C155" s="4" t="inlineStr">
        <is>
          <t>floridataxwatch.org</t>
        </is>
      </c>
      <c r="D155" s="15" t="inlineStr">
        <is>
          <t>truth-in-property-taxation-can-be-hard-to-come-by-3</t>
        </is>
      </c>
      <c r="E155" s="4" t="n"/>
      <c r="F155" s="4" t="n"/>
      <c r="G155" s="4" t="inlineStr">
        <is>
          <t>https://floridataxwatch.org/Research/Full-Library/truth-in-property-taxation-can-be-hard-to-come-by-3</t>
        </is>
      </c>
    </row>
    <row r="156" ht="30" customHeight="1">
      <c r="A156" s="13" t="inlineStr">
        <is>
          <t>Florida</t>
        </is>
      </c>
      <c r="B156" s="4" t="inlineStr">
        <is>
          <t>Constitution &amp; statutes</t>
        </is>
      </c>
      <c r="C156" s="4" t="inlineStr">
        <is>
          <t>flsenate.gov</t>
        </is>
      </c>
      <c r="D156" s="15" t="inlineStr">
        <is>
          <t>Chapter 1011 Section 73 - 2025 Florida Statutes</t>
        </is>
      </c>
      <c r="E156" s="4" t="n"/>
      <c r="F156" s="4" t="n"/>
      <c r="G156" s="4" t="inlineStr">
        <is>
          <t>https://www.flsenate.gov/Laws/Statutes/2025/1011.73</t>
        </is>
      </c>
    </row>
    <row r="157" ht="30" customHeight="1">
      <c r="A157" s="13" t="inlineStr">
        <is>
          <t>Florida</t>
        </is>
      </c>
      <c r="B157" s="4" t="inlineStr">
        <is>
          <t>Constitution &amp; statutes</t>
        </is>
      </c>
      <c r="C157" s="4" t="inlineStr">
        <is>
          <t>flsenate.gov</t>
        </is>
      </c>
      <c r="D157" s="15" t="inlineStr">
        <is>
          <t>Chapter 200 Section 091 - 2025 Florida Statutes</t>
        </is>
      </c>
      <c r="E157" s="4" t="n"/>
      <c r="F157" s="4" t="n"/>
      <c r="G157" s="4" t="inlineStr">
        <is>
          <t>https://www.flsenate.gov/Laws/Statutes/2025/200.091</t>
        </is>
      </c>
    </row>
    <row r="158" ht="30" customHeight="1">
      <c r="A158" s="13" t="inlineStr">
        <is>
          <t>Florida</t>
        </is>
      </c>
      <c r="B158" s="4" t="inlineStr">
        <is>
          <t>Constitution &amp; statutes</t>
        </is>
      </c>
      <c r="C158" s="4" t="inlineStr">
        <is>
          <t>flsenate.gov</t>
        </is>
      </c>
      <c r="D158" s="15" t="inlineStr">
        <is>
          <t>Chapter 212 Section 055 - 2025 Florida Statutes</t>
        </is>
      </c>
      <c r="E158" s="4" t="n"/>
      <c r="F158" s="4" t="n"/>
      <c r="G158" s="4" t="inlineStr">
        <is>
          <t>https://www.flsenate.gov/Laws/Statutes/2025/212.055</t>
        </is>
      </c>
    </row>
    <row r="159" ht="30" customHeight="1">
      <c r="A159" s="13" t="inlineStr">
        <is>
          <t>Florida</t>
        </is>
      </c>
      <c r="B159" s="4" t="inlineStr">
        <is>
          <t>Constitution &amp; statutes</t>
        </is>
      </c>
      <c r="C159" s="4" t="inlineStr">
        <is>
          <t>flsenate.gov</t>
        </is>
      </c>
      <c r="D159" s="15" t="inlineStr">
        <is>
          <t>Chapter 97 Section 021 - 2025 Florida Statutes</t>
        </is>
      </c>
      <c r="E159" s="4" t="n"/>
      <c r="F159" s="4" t="n"/>
      <c r="G159" s="4" t="inlineStr">
        <is>
          <t>https://www.flsenate.gov/Laws/Statutes/2025/97.021</t>
        </is>
      </c>
    </row>
    <row r="160" ht="30" customHeight="1">
      <c r="A160" s="13" t="inlineStr">
        <is>
          <t>Florida</t>
        </is>
      </c>
      <c r="B160" s="4" t="inlineStr">
        <is>
          <t>Constitution &amp; statutes</t>
        </is>
      </c>
      <c r="C160" s="4" t="inlineStr">
        <is>
          <t>flsenate.gov</t>
        </is>
      </c>
      <c r="D160" s="15" t="inlineStr">
        <is>
          <t>Chapter 193 Section 155 - 2025 Florida Statutes</t>
        </is>
      </c>
      <c r="E160" s="4" t="n"/>
      <c r="F160" s="4" t="n"/>
      <c r="G160" s="4" t="inlineStr">
        <is>
          <t>https://www.flsenate.gov/Laws/Statutes/2025/193.155</t>
        </is>
      </c>
    </row>
    <row r="161" ht="30" customHeight="1">
      <c r="A161" s="13" t="inlineStr">
        <is>
          <t>Florida</t>
        </is>
      </c>
      <c r="B161" s="4" t="inlineStr">
        <is>
          <t>Constitution &amp; statutes</t>
        </is>
      </c>
      <c r="C161" s="4" t="inlineStr">
        <is>
          <t>flsenate.gov</t>
        </is>
      </c>
      <c r="D161" s="15" t="inlineStr">
        <is>
          <t>Chapter 200 Section 065 - 2025 Florida Statutes</t>
        </is>
      </c>
      <c r="E161" s="4" t="n"/>
      <c r="F161" s="4" t="n"/>
      <c r="G161" s="4" t="inlineStr">
        <is>
          <t>https://www.flsenate.gov/Laws/Statutes/2025/200.065</t>
        </is>
      </c>
    </row>
    <row r="162" ht="34" customHeight="1">
      <c r="A162" s="13" t="inlineStr">
        <is>
          <t>Florida</t>
        </is>
      </c>
      <c r="B162" s="4" t="inlineStr">
        <is>
          <t>Free-market groups &amp; GOP caucuses</t>
        </is>
      </c>
      <c r="C162" s="4" t="inlineStr">
        <is>
          <t>floridataxwatch.org</t>
        </is>
      </c>
      <c r="D162" s="15" t="inlineStr">
        <is>
          <t>Florida TaxWatch Examines Property Tax Relief Proposals, Provides Recommendations for Equitable Savings, Calls for Save Our Taxpayers Amendment</t>
        </is>
      </c>
      <c r="E162" s="4" t="n"/>
      <c r="F162" s="4" t="n"/>
      <c r="G162" s="4" t="inlineStr">
        <is>
          <t>https://floridataxwatch.org/?p=7093</t>
        </is>
      </c>
    </row>
    <row r="163" ht="30" customHeight="1">
      <c r="A163" s="13" t="inlineStr">
        <is>
          <t>Florida</t>
        </is>
      </c>
      <c r="B163" s="4" t="inlineStr">
        <is>
          <t>Free-market groups &amp; GOP caucuses</t>
        </is>
      </c>
      <c r="C163" s="4" t="inlineStr">
        <is>
          <t>jamesmadison.org</t>
        </is>
      </c>
      <c r="D163" s="15" t="inlineStr">
        <is>
          <t>2026 Florida Amendment Guide</t>
        </is>
      </c>
      <c r="E163" s="4" t="inlineStr">
        <is>
          <t>2026-09-21</t>
        </is>
      </c>
      <c r="F163" s="4" t="n"/>
      <c r="G163" s="4" t="inlineStr">
        <is>
          <t>https://jamesmadison.org/2026-florida-amendment-guide/</t>
        </is>
      </c>
    </row>
    <row r="164" ht="34" customHeight="1">
      <c r="A164" s="13" t="inlineStr">
        <is>
          <t>Florida</t>
        </is>
      </c>
      <c r="B164" s="4" t="inlineStr">
        <is>
          <t>Research &amp; associations</t>
        </is>
      </c>
      <c r="C164" s="4" t="inlineStr">
        <is>
          <t>flcities.com</t>
        </is>
      </c>
      <c r="D164" s="15" t="inlineStr">
        <is>
          <t>Save our Homes from Excessive Property Taxes (Oppose) – Passed (House vote 75-26; Senate vote 30-9)</t>
        </is>
      </c>
      <c r="E164" s="4" t="inlineStr">
        <is>
          <t>2026</t>
        </is>
      </c>
      <c r="F164" s="4" t="n"/>
      <c r="G164" s="4" t="inlineStr">
        <is>
          <t>https://www.flcities.com/wp-content/uploads/2026/06/Property-Tax-Legislative-Bill-Summaries-6.4.26.pdf</t>
        </is>
      </c>
    </row>
    <row r="165" ht="30" customHeight="1">
      <c r="A165" s="13" t="inlineStr">
        <is>
          <t>Florida</t>
        </is>
      </c>
      <c r="B165" s="4" t="inlineStr">
        <is>
          <t>News</t>
        </is>
      </c>
      <c r="C165" s="4" t="inlineStr">
        <is>
          <t>wusf.org</t>
        </is>
      </c>
      <c r="D165" s="15" t="inlineStr">
        <is>
          <t>DeSantis signs bills to tamp down local taxes. Here's what to know</t>
        </is>
      </c>
      <c r="E165" s="4" t="inlineStr">
        <is>
          <t>2026-06-24</t>
        </is>
      </c>
      <c r="F165" s="4" t="n"/>
      <c r="G165" s="4" t="inlineStr">
        <is>
          <t>https://www.wusf.org/2026-06-24/desantis-signs-bills-tamp-down-local-taxes-what-to-know</t>
        </is>
      </c>
    </row>
    <row r="166" ht="30" customHeight="1">
      <c r="A166" s="13" t="inlineStr">
        <is>
          <t>Florida</t>
        </is>
      </c>
      <c r="B166" s="4" t="inlineStr">
        <is>
          <t>News</t>
        </is>
      </c>
      <c r="C166" s="4" t="inlineStr">
        <is>
          <t>clickorlando.com</t>
        </is>
      </c>
      <c r="D166" s="15" t="inlineStr">
        <is>
          <t>Here’s what you need to know about Florida’s new property tax law</t>
        </is>
      </c>
      <c r="E166" s="4" t="inlineStr">
        <is>
          <t>2026-07-08</t>
        </is>
      </c>
      <c r="F166" s="4" t="n"/>
      <c r="G166" s="4" t="inlineStr">
        <is>
          <t>https://www.clickorlando.com/news/local/2026/07/08/heres-what-to-know-about-floridas-new-property-tax-law/</t>
        </is>
      </c>
    </row>
    <row r="167" ht="30" customHeight="1">
      <c r="A167" s="13" t="inlineStr">
        <is>
          <t>Florida</t>
        </is>
      </c>
      <c r="B167" s="4" t="inlineStr">
        <is>
          <t>News</t>
        </is>
      </c>
      <c r="C167" s="4" t="inlineStr">
        <is>
          <t>caribbeannationalweekly.com</t>
        </is>
      </c>
      <c r="D167" s="15" t="inlineStr">
        <is>
          <t>Broward commissioners approve $9.2 billion budget with modest millage reduction</t>
        </is>
      </c>
      <c r="E167" s="4" t="inlineStr">
        <is>
          <t>2026-09-23</t>
        </is>
      </c>
      <c r="F167" s="4" t="n"/>
      <c r="G167" s="4" t="inlineStr">
        <is>
          <t>https://www.caribbeannationalweekly.com/posts/broward-commissioners-approve-92-billion-budget-with-modest-millage-reduction</t>
        </is>
      </c>
    </row>
    <row r="168" ht="34" customHeight="1">
      <c r="A168" s="13" t="inlineStr">
        <is>
          <t>Florida</t>
        </is>
      </c>
      <c r="B168" s="4" t="inlineStr">
        <is>
          <t>News</t>
        </is>
      </c>
      <c r="C168" s="4" t="inlineStr">
        <is>
          <t>wflx.com</t>
        </is>
      </c>
      <c r="D168" s="15" t="inlineStr">
        <is>
          <t>‘We have a slogan, but we don’t have a policy’: Former Florida lawmaker criticizes property tax relief plan</t>
        </is>
      </c>
      <c r="E168" s="4" t="inlineStr">
        <is>
          <t>2026-02-10</t>
        </is>
      </c>
      <c r="F168" s="4" t="n"/>
      <c r="G168" s="4" t="inlineStr">
        <is>
          <t>https://www.wflx.com/2026/02/10/we-have-slogan-we-dont-have-policy-former-florida-lawmaker-criticizes-property-tax-relief-plan/</t>
        </is>
      </c>
    </row>
    <row r="169" ht="30" customHeight="1">
      <c r="A169" s="13" t="inlineStr">
        <is>
          <t>Georgia</t>
        </is>
      </c>
      <c r="B169" s="4" t="inlineStr">
        <is>
          <t>Free-market groups &amp; GOP caucuses</t>
        </is>
      </c>
      <c r="C169" s="4" t="inlineStr">
        <is>
          <t>taxfoundation.org</t>
        </is>
      </c>
      <c r="D169" s="15" t="inlineStr">
        <is>
          <t>Localities Opt Out of Georgia’s New Homestead Tax Exemption</t>
        </is>
      </c>
      <c r="E169" s="4" t="inlineStr">
        <is>
          <t>2025-04-17</t>
        </is>
      </c>
      <c r="F169" s="4" t="n"/>
      <c r="G169" s="4" t="inlineStr">
        <is>
          <t>https://taxfoundation.org/blog/georgia-property-tax-reform/</t>
        </is>
      </c>
    </row>
    <row r="170" ht="30" customHeight="1">
      <c r="A170" s="13" t="inlineStr">
        <is>
          <t>Georgia</t>
        </is>
      </c>
      <c r="B170" s="4" t="inlineStr">
        <is>
          <t>Research &amp; associations</t>
        </is>
      </c>
      <c r="C170" s="4" t="inlineStr">
        <is>
          <t>billtracker.gacities.com</t>
        </is>
      </c>
      <c r="D170" s="15" t="inlineStr">
        <is>
          <t>Property Taxes: Homeownership Opportunity and Market Equalization Act of 2026</t>
        </is>
      </c>
      <c r="E170" s="4" t="n"/>
      <c r="F170" s="4" t="n"/>
      <c r="G170" s="4" t="inlineStr">
        <is>
          <t>https://billtracker.gacities.com/legislation/69550</t>
        </is>
      </c>
    </row>
    <row r="171" ht="30" customHeight="1">
      <c r="A171" s="13" t="inlineStr">
        <is>
          <t>Georgia</t>
        </is>
      </c>
      <c r="B171" s="4" t="inlineStr">
        <is>
          <t>Research &amp; associations</t>
        </is>
      </c>
      <c r="C171" s="4" t="inlineStr">
        <is>
          <t>gacities.com</t>
        </is>
      </c>
      <c r="D171" s="15" t="inlineStr">
        <is>
          <t>The 2026 Session in Review: What Passed, What Didn't, and What It Means</t>
        </is>
      </c>
      <c r="E171" s="4" t="n"/>
      <c r="F171" s="4" t="n"/>
      <c r="G171" s="4" t="inlineStr">
        <is>
          <t>https://www.gacities.com/articles/the-2026-session-in-review-what-passed-what-didnt-and-what-it-means</t>
        </is>
      </c>
    </row>
    <row r="172" ht="34" customHeight="1">
      <c r="A172" s="13" t="inlineStr">
        <is>
          <t>Georgia</t>
        </is>
      </c>
      <c r="B172" s="4" t="inlineStr">
        <is>
          <t>News</t>
        </is>
      </c>
      <c r="C172" s="4" t="inlineStr">
        <is>
          <t>capitol-beat.org</t>
        </is>
      </c>
      <c r="D172" s="15" t="inlineStr">
        <is>
          <t>Kemp signs legislation to cut income taxes and reduce homeowner property tax increases |</t>
        </is>
      </c>
      <c r="E172" s="4" t="n"/>
      <c r="F172" s="4" t="n"/>
      <c r="G172" s="4" t="inlineStr">
        <is>
          <t>https://capitol-beat.org/2026/05/kemp-signs-legislation-to-cut-income-taxes-and-reduce-homeowner-property-tax-increases/</t>
        </is>
      </c>
    </row>
    <row r="173" ht="30" customHeight="1">
      <c r="A173" s="13" t="inlineStr">
        <is>
          <t>Georgia</t>
        </is>
      </c>
      <c r="B173" s="4" t="inlineStr">
        <is>
          <t>News</t>
        </is>
      </c>
      <c r="C173" s="4" t="inlineStr">
        <is>
          <t>capitol-beat.org</t>
        </is>
      </c>
      <c r="D173" s="15" t="inlineStr">
        <is>
          <t>Georgia Republicans push through last-minute income and property tax cuts |</t>
        </is>
      </c>
      <c r="E173" s="4" t="n"/>
      <c r="F173" s="4" t="n"/>
      <c r="G173" s="4" t="inlineStr">
        <is>
          <t>https://capitol-beat.org/2026/04/georgia-republicans-push-through-last-minute-income-and-property-tax-cuts/</t>
        </is>
      </c>
    </row>
    <row r="174" ht="34" customHeight="1">
      <c r="A174" s="13" t="inlineStr">
        <is>
          <t>Georgia</t>
        </is>
      </c>
      <c r="B174" s="4" t="inlineStr">
        <is>
          <t>News</t>
        </is>
      </c>
      <c r="C174" s="4" t="inlineStr">
        <is>
          <t>georgiarecorder.com</t>
        </is>
      </c>
      <c r="D174" s="15" t="inlineStr">
        <is>
          <t>kemp-approves-property-tax-relief-for-georgia-homeowners-amid-concerns-over-local-revenues-process</t>
        </is>
      </c>
      <c r="E174" s="4" t="n"/>
      <c r="F174" s="4" t="n"/>
      <c r="G174" s="4" t="inlineStr">
        <is>
          <t>https://georgiarecorder.com/2026/05/11/kemp-approves-property-tax-relief-for-georgia-homeowners-amid-concerns-over-local-revenues-process/</t>
        </is>
      </c>
    </row>
    <row r="175" ht="30" customHeight="1">
      <c r="A175" s="13" t="inlineStr">
        <is>
          <t>Georgia</t>
        </is>
      </c>
      <c r="B175" s="4" t="inlineStr">
        <is>
          <t>Research &amp; associations</t>
        </is>
      </c>
      <c r="C175" s="4" t="inlineStr">
        <is>
          <t>appealally.com</t>
        </is>
      </c>
      <c r="D175" s="15" t="inlineStr">
        <is>
          <t>Georgia SB 33 (HOME Act) Explained</t>
        </is>
      </c>
      <c r="E175" s="4" t="inlineStr">
        <is>
          <t>2026-04-03</t>
        </is>
      </c>
      <c r="F175" s="4" t="n"/>
      <c r="G175" s="4" t="inlineStr">
        <is>
          <t>https://appealally.com/blog/article/georgia-property-tax-cap-sb-33</t>
        </is>
      </c>
    </row>
    <row r="176" ht="30" customHeight="1">
      <c r="A176" s="13" t="inlineStr">
        <is>
          <t>Georgia</t>
        </is>
      </c>
      <c r="B176" s="4" t="inlineStr">
        <is>
          <t>State government</t>
        </is>
      </c>
      <c r="C176" s="4" t="inlineStr">
        <is>
          <t>dor.georgia.gov</t>
        </is>
      </c>
      <c r="D176" s="15" t="inlineStr">
        <is>
          <t>Georgia Department of Revenue</t>
        </is>
      </c>
      <c r="E176" s="4" t="inlineStr">
        <is>
          <t>2025</t>
        </is>
      </c>
      <c r="F176" s="4" t="n"/>
      <c r="G176" s="4" t="inlineStr">
        <is>
          <t>https://dor.georgia.gov/media/35186/download</t>
        </is>
      </c>
    </row>
    <row r="177" ht="30" customHeight="1">
      <c r="A177" s="13" t="inlineStr">
        <is>
          <t>Georgia</t>
        </is>
      </c>
      <c r="B177" s="4" t="inlineStr">
        <is>
          <t>Research &amp; associations</t>
        </is>
      </c>
      <c r="C177" s="4" t="inlineStr">
        <is>
          <t>atlantarealtors.com</t>
        </is>
      </c>
      <c r="D177" s="15" t="inlineStr">
        <is>
          <t>Georgia Property Owners Receive Tax Break</t>
        </is>
      </c>
      <c r="E177" s="4" t="inlineStr">
        <is>
          <t>2023-07-13</t>
        </is>
      </c>
      <c r="F177" s="4" t="n"/>
      <c r="G177" s="4" t="inlineStr">
        <is>
          <t>https://atlantarealtors.com/resources/news/detail/georgia-property-owners-receive-tax-break</t>
        </is>
      </c>
    </row>
    <row r="178" ht="30" customHeight="1">
      <c r="A178" s="13" t="inlineStr">
        <is>
          <t>Georgia</t>
        </is>
      </c>
      <c r="B178" s="4" t="inlineStr">
        <is>
          <t>Research &amp; associations</t>
        </is>
      </c>
      <c r="C178" s="4" t="inlineStr">
        <is>
          <t>lincolninst.edu</t>
        </is>
      </c>
      <c r="D178" s="15" t="inlineStr">
        <is>
          <t>truth in taxation 2024.xlsx</t>
        </is>
      </c>
      <c r="E178" s="4" t="n"/>
      <c r="F178" s="4" t="inlineStr">
        <is>
          <t>DE, IA, IL, KY, MD, MI, MN, MO, NC, ND, NE, NM, NV, NY, OH, OK, OR, PA, RI, TN, TX, UT, VA, VT, WV, WY</t>
        </is>
      </c>
      <c r="G178" s="4" t="inlineStr">
        <is>
          <t>https://www.lincolninst.edu/app/uploads/2024/10/truth_in_taxation_2024.xlsx</t>
        </is>
      </c>
    </row>
    <row r="179" ht="30" customHeight="1">
      <c r="A179" s="13" t="inlineStr">
        <is>
          <t>Georgia</t>
        </is>
      </c>
      <c r="B179" s="4" t="inlineStr">
        <is>
          <t>Courts &amp; legal codes</t>
        </is>
      </c>
      <c r="C179" s="4" t="inlineStr">
        <is>
          <t>law.justia.com</t>
        </is>
      </c>
      <c r="D179" s="15" t="inlineStr">
        <is>
          <t>section-48-5-44-2</t>
        </is>
      </c>
      <c r="E179" s="4" t="n"/>
      <c r="F179" s="4" t="n"/>
      <c r="G179" s="4" t="inlineStr">
        <is>
          <t>https://law.justia.com/codes/georgia/title-48/chapter-5/article-2/part-1/section-48-5-44-2/</t>
        </is>
      </c>
    </row>
    <row r="180" ht="30" customHeight="1">
      <c r="A180" s="13" t="inlineStr">
        <is>
          <t>Georgia</t>
        </is>
      </c>
      <c r="B180" s="4" t="inlineStr">
        <is>
          <t>Bills &amp; legislative documents</t>
        </is>
      </c>
      <c r="C180" s="4" t="inlineStr">
        <is>
          <t>legis.ga.gov</t>
        </is>
      </c>
      <c r="D180" s="15" t="inlineStr">
        <is>
          <t>HB 581 Property Tax Reform</t>
        </is>
      </c>
      <c r="E180" s="4" t="inlineStr">
        <is>
          <t>2024</t>
        </is>
      </c>
      <c r="F180" s="4" t="n"/>
      <c r="G180" s="4" t="inlineStr">
        <is>
          <t>https://www.legis.ga.gov/api/document/docs/default-source/house-budget-and-research-office-document-library/newsandhighlights/2024/2024_policy_brief_hb_581_property_tax_reform.pdf</t>
        </is>
      </c>
    </row>
    <row r="181" ht="30" customHeight="1">
      <c r="A181" s="13" t="inlineStr">
        <is>
          <t>Georgia</t>
        </is>
      </c>
      <c r="B181" s="4" t="inlineStr">
        <is>
          <t>Research &amp; associations</t>
        </is>
      </c>
      <c r="C181" s="4" t="inlineStr">
        <is>
          <t>gacities.com</t>
        </is>
      </c>
      <c r="D181" s="15" t="inlineStr">
        <is>
          <t>General Assembly Concludes Special Session</t>
        </is>
      </c>
      <c r="E181" s="4" t="n"/>
      <c r="F181" s="4" t="n"/>
      <c r="G181" s="4" t="inlineStr">
        <is>
          <t>https://www.gacities.com/articles/general-assembly-concludes-special-session</t>
        </is>
      </c>
    </row>
    <row r="182" ht="30" customHeight="1">
      <c r="A182" s="13" t="inlineStr">
        <is>
          <t>Georgia</t>
        </is>
      </c>
      <c r="B182" s="4" t="inlineStr">
        <is>
          <t>Free-market groups &amp; GOP caucuses</t>
        </is>
      </c>
      <c r="C182" s="4" t="inlineStr">
        <is>
          <t>georgiapolicy.org</t>
        </is>
      </c>
      <c r="D182" s="15" t="inlineStr">
        <is>
          <t>What the 2025 legislative session means for Georgia taxpayers</t>
        </is>
      </c>
      <c r="E182" s="4" t="inlineStr">
        <is>
          <t>2025-04-03</t>
        </is>
      </c>
      <c r="F182" s="4" t="n"/>
      <c r="G182" s="4" t="inlineStr">
        <is>
          <t>https://www.georgiapolicy.org/news/what-the-2025-legislative-session-means-for-georgia-taxpayers/</t>
        </is>
      </c>
    </row>
    <row r="183" ht="30" customHeight="1">
      <c r="A183" s="13" t="inlineStr">
        <is>
          <t>Georgia</t>
        </is>
      </c>
      <c r="B183" s="4" t="inlineStr">
        <is>
          <t>Free-market groups &amp; GOP caucuses</t>
        </is>
      </c>
      <c r="C183" s="4" t="inlineStr">
        <is>
          <t>georgiapolicy.org</t>
        </is>
      </c>
      <c r="D183" s="15" t="inlineStr">
        <is>
          <t>Guide to the Issues 2026: Thirty years after the first edition</t>
        </is>
      </c>
      <c r="E183" s="4" t="inlineStr">
        <is>
          <t>2026-10-01</t>
        </is>
      </c>
      <c r="F183" s="4" t="n"/>
      <c r="G183" s="4" t="inlineStr">
        <is>
          <t>https://www.georgiapolicy.org/news/guide-to-the-issues-2026-thirty-years-after-the-first-edition/</t>
        </is>
      </c>
    </row>
    <row r="184" ht="30" customHeight="1">
      <c r="A184" s="13" t="inlineStr">
        <is>
          <t>Georgia</t>
        </is>
      </c>
      <c r="B184" s="4" t="inlineStr">
        <is>
          <t>News</t>
        </is>
      </c>
      <c r="C184" s="4" t="inlineStr">
        <is>
          <t>news4jax.com</t>
        </is>
      </c>
      <c r="D184" s="15" t="inlineStr">
        <is>
          <t>2026 Voter’s Guide: Georgia Constitutional Amendments</t>
        </is>
      </c>
      <c r="E184" s="4" t="inlineStr">
        <is>
          <t>2026-10-08</t>
        </is>
      </c>
      <c r="F184" s="4" t="n"/>
      <c r="G184" s="4" t="inlineStr">
        <is>
          <t>https://www.news4jax.com/voters-guide/2026/10/08/2026-voters-guide-georgia-constitutional-amendments/</t>
        </is>
      </c>
    </row>
    <row r="185" ht="30" customHeight="1">
      <c r="A185" s="13" t="inlineStr">
        <is>
          <t>Georgia</t>
        </is>
      </c>
      <c r="B185" s="4" t="inlineStr">
        <is>
          <t>Research &amp; associations</t>
        </is>
      </c>
      <c r="C185" s="4" t="inlineStr">
        <is>
          <t>civicatlanta.org</t>
        </is>
      </c>
      <c r="D185" s="15" t="inlineStr">
        <is>
          <t>Atlanta weighs 30-year extension of tax districts to fund reinvestment plan</t>
        </is>
      </c>
      <c r="E185" s="4" t="inlineStr">
        <is>
          <t>2025-10-19</t>
        </is>
      </c>
      <c r="F185" s="4" t="n"/>
      <c r="G185" s="4" t="inlineStr">
        <is>
          <t>https://civicatlanta.org/blog/2025-10-19-atlanta-weighs-tad-extension</t>
        </is>
      </c>
    </row>
    <row r="186" ht="30" customHeight="1">
      <c r="A186" s="13" t="inlineStr">
        <is>
          <t>Georgia</t>
        </is>
      </c>
      <c r="B186" s="4" t="inlineStr">
        <is>
          <t>News</t>
        </is>
      </c>
      <c r="C186" s="4" t="inlineStr">
        <is>
          <t>ajc.com</t>
        </is>
      </c>
      <c r="D186" s="15" t="inlineStr">
        <is>
          <t>Fulton commissioners opt out of Atlanta mayor’s tax extension plan</t>
        </is>
      </c>
      <c r="E186" s="4" t="inlineStr">
        <is>
          <t>2026-07-15</t>
        </is>
      </c>
      <c r="F186" s="4" t="n"/>
      <c r="G186" s="4" t="inlineStr">
        <is>
          <t>https://www.ajc.com/news/2026/07/fulton-commissioners-opt-out-of-atlanta-mayors-tax-extension-plan/</t>
        </is>
      </c>
    </row>
    <row r="187" ht="30" customHeight="1">
      <c r="A187" s="13" t="inlineStr">
        <is>
          <t>Georgia</t>
        </is>
      </c>
      <c r="B187" s="4" t="inlineStr">
        <is>
          <t>Research &amp; associations</t>
        </is>
      </c>
      <c r="C187" s="4" t="inlineStr">
        <is>
          <t>gacities.com</t>
        </is>
      </c>
      <c r="D187" s="15" t="inlineStr">
        <is>
          <t>SB 33: The Homeownership Opportunity and Market Equalization Act of 2026</t>
        </is>
      </c>
      <c r="E187" s="4" t="n"/>
      <c r="F187" s="4" t="n"/>
      <c r="G187" s="4" t="inlineStr">
        <is>
          <t>https://www.gacities.com/articles/sb-33-the-homeownership-opportunity-and-market-equalization-act-of-2026</t>
        </is>
      </c>
    </row>
    <row r="188" ht="30" customHeight="1">
      <c r="A188" s="13" t="inlineStr">
        <is>
          <t>Hawaii</t>
        </is>
      </c>
      <c r="B188" s="4" t="inlineStr">
        <is>
          <t>Research &amp; associations</t>
        </is>
      </c>
      <c r="C188" s="4" t="inlineStr">
        <is>
          <t>my.aarpfoundation.org</t>
        </is>
      </c>
      <c r="D188" s="15" t="inlineStr">
        <is>
          <t>Hawaii Property Tax Relief Programs</t>
        </is>
      </c>
      <c r="E188" s="4" t="inlineStr">
        <is>
          <t>2026-03-19</t>
        </is>
      </c>
      <c r="F188" s="4" t="n"/>
      <c r="G188" s="4" t="inlineStr">
        <is>
          <t>https://my.aarpfoundation.org/property-taxes/taxpayer-states/hawaii/</t>
        </is>
      </c>
    </row>
    <row r="189" ht="30" customHeight="1">
      <c r="A189" s="13" t="inlineStr">
        <is>
          <t>Hawaii</t>
        </is>
      </c>
      <c r="B189" s="4" t="inlineStr">
        <is>
          <t>State government</t>
        </is>
      </c>
      <c r="C189" s="4" t="inlineStr">
        <is>
          <t>files.hawaii.gov</t>
        </is>
      </c>
      <c r="D189" s="15" t="inlineStr">
        <is>
          <t>Table 21.15-- HOME EXEMPTIONS CLAIMED: 2019 TO 2025 [Fiscal year ending June 30]</t>
        </is>
      </c>
      <c r="E189" s="4" t="inlineStr">
        <is>
          <t>2025</t>
        </is>
      </c>
      <c r="F189" s="4" t="n"/>
      <c r="G189" s="4" t="inlineStr">
        <is>
          <t>https://files.hawaii.gov/dbedt/economic/databook/2024-individual/21/211524.pdf</t>
        </is>
      </c>
    </row>
    <row r="190" ht="30" customHeight="1">
      <c r="A190" s="13" t="inlineStr">
        <is>
          <t>Hawaii</t>
        </is>
      </c>
      <c r="B190" s="4" t="inlineStr">
        <is>
          <t>Local government</t>
        </is>
      </c>
      <c r="C190" s="4" t="inlineStr">
        <is>
          <t>realpropertyhonolulu.com</t>
        </is>
      </c>
      <c r="D190" s="15" t="inlineStr">
        <is>
          <t>RPAD - Homepage (2025)</t>
        </is>
      </c>
      <c r="E190" s="4" t="n"/>
      <c r="F190" s="4" t="n"/>
      <c r="G190" s="4" t="inlineStr">
        <is>
          <t>https://www.realpropertyhonolulu.com/state-reports/2025</t>
        </is>
      </c>
    </row>
    <row r="191" ht="30" customHeight="1">
      <c r="A191" s="13" t="inlineStr">
        <is>
          <t>Hawaii</t>
        </is>
      </c>
      <c r="B191" s="4" t="inlineStr">
        <is>
          <t>Local government</t>
        </is>
      </c>
      <c r="C191" s="4" t="inlineStr">
        <is>
          <t>realpropertyhonolulu.com</t>
        </is>
      </c>
      <c r="D191" s="15" t="inlineStr">
        <is>
          <t>RPAD - Homepage (residential-a-information-rev-june-2025.pdf)</t>
        </is>
      </c>
      <c r="E191" s="4" t="n"/>
      <c r="F191" s="4" t="n"/>
      <c r="G191" s="4" t="inlineStr">
        <is>
          <t>https://www.realpropertyhonolulu.com/media/ugxijaid/residential-a-information-rev-june-2025.pdf</t>
        </is>
      </c>
    </row>
    <row r="192" ht="30" customHeight="1">
      <c r="A192" s="13" t="inlineStr">
        <is>
          <t>Hawaii</t>
        </is>
      </c>
      <c r="B192" s="4" t="inlineStr">
        <is>
          <t>News</t>
        </is>
      </c>
      <c r="C192" s="4" t="inlineStr">
        <is>
          <t>khon2.com</t>
        </is>
      </c>
      <c r="D192" s="15" t="inlineStr">
        <is>
          <t>'Once piece of solution:' Maui's Bill 9 signed into law</t>
        </is>
      </c>
      <c r="E192" s="4" t="inlineStr">
        <is>
          <t>2025-12-16</t>
        </is>
      </c>
      <c r="F192" s="4" t="n"/>
      <c r="G192" s="4" t="inlineStr">
        <is>
          <t>https://www.khon2.com/maui-county-news/bill-9-officially-passes-maui-county-council-phasing-out-thousands-of-short-term-rentals/amp/</t>
        </is>
      </c>
    </row>
    <row r="193" ht="30" customHeight="1">
      <c r="A193" s="13" t="inlineStr">
        <is>
          <t>Hawaii</t>
        </is>
      </c>
      <c r="B193" s="4" t="inlineStr">
        <is>
          <t>Free-market groups &amp; GOP caucuses</t>
        </is>
      </c>
      <c r="C193" s="4" t="inlineStr">
        <is>
          <t>grassrootinstitute.org</t>
        </is>
      </c>
      <c r="D193" s="15" t="inlineStr">
        <is>
          <t>Comparing county property taxes across Hawaii: Who pays the most?</t>
        </is>
      </c>
      <c r="E193" s="4" t="inlineStr">
        <is>
          <t>2026-09-23</t>
        </is>
      </c>
      <c r="F193" s="4" t="n"/>
      <c r="G193" s="4" t="inlineStr">
        <is>
          <t>https://www.grassrootinstitute.org/2026/09/comparing-county-property-taxes-across-hawaii-who-pays-the-most/</t>
        </is>
      </c>
    </row>
    <row r="194" ht="30" customHeight="1">
      <c r="A194" s="13" t="inlineStr">
        <is>
          <t>Hawaii</t>
        </is>
      </c>
      <c r="B194" s="4" t="inlineStr">
        <is>
          <t>Local government</t>
        </is>
      </c>
      <c r="C194" s="4" t="inlineStr">
        <is>
          <t>realproperty.honolulu.gov</t>
        </is>
      </c>
      <c r="D194" s="15" t="inlineStr">
        <is>
          <t>Final State Report FY27.xls</t>
        </is>
      </c>
      <c r="E194" s="4" t="inlineStr">
        <is>
          <t>2026</t>
        </is>
      </c>
      <c r="F194" s="4" t="n"/>
      <c r="G194" s="4" t="inlineStr">
        <is>
          <t>https://realproperty.honolulu.gov/media/b3pcwo2o/state-report-fy27-final_tax-rates.pdf</t>
        </is>
      </c>
    </row>
    <row r="195" ht="30" customHeight="1">
      <c r="A195" s="13" t="inlineStr">
        <is>
          <t>Hawaii</t>
        </is>
      </c>
      <c r="B195" s="4" t="inlineStr">
        <is>
          <t>Research &amp; associations</t>
        </is>
      </c>
      <c r="C195" s="4" t="inlineStr">
        <is>
          <t>mauirealestate.com</t>
        </is>
      </c>
      <c r="D195" s="15" t="inlineStr">
        <is>
          <t>Maui County 2026/2027 Property Tax Rates</t>
        </is>
      </c>
      <c r="E195" s="4" t="inlineStr">
        <is>
          <t>2026-05-19</t>
        </is>
      </c>
      <c r="F195" s="4" t="n"/>
      <c r="G195" s="4" t="inlineStr">
        <is>
          <t>https://mauirealestate.com/maui-county-2026-2027-property-tax-rates/</t>
        </is>
      </c>
    </row>
    <row r="196" ht="30" customHeight="1">
      <c r="A196" s="13" t="inlineStr">
        <is>
          <t>Hawaii</t>
        </is>
      </c>
      <c r="B196" s="4" t="inlineStr">
        <is>
          <t>Courts &amp; legal codes</t>
        </is>
      </c>
      <c r="C196" s="4" t="inlineStr">
        <is>
          <t>files.amlegal.com</t>
        </is>
      </c>
      <c r="D196" s="15" t="inlineStr">
        <is>
          <t>HONOLULU CITY COUNCIL KE KANIHELA 0 KE KALANA 0 HONOLULU</t>
        </is>
      </c>
      <c r="E196" s="4" t="inlineStr">
        <is>
          <t>2025</t>
        </is>
      </c>
      <c r="F196" s="4" t="n"/>
      <c r="G196" s="4" t="inlineStr">
        <is>
          <t>https://files.amlegal.com/pdffiles/Honolulu/ORD25-042.pdf</t>
        </is>
      </c>
    </row>
    <row r="197" ht="30" customHeight="1">
      <c r="A197" s="13" t="inlineStr">
        <is>
          <t>Hawaii</t>
        </is>
      </c>
      <c r="B197" s="4" t="inlineStr">
        <is>
          <t>News</t>
        </is>
      </c>
      <c r="C197" s="4" t="inlineStr">
        <is>
          <t>hawaiipublicradio.org</t>
        </is>
      </c>
      <c r="D197" s="15" t="inlineStr">
        <is>
          <t>Ballot question could help Hawaiʻi's housing shortage, supporters say</t>
        </is>
      </c>
      <c r="E197" s="4" t="inlineStr">
        <is>
          <t>2026-10-09</t>
        </is>
      </c>
      <c r="F197" s="4" t="n"/>
      <c r="G197" s="4" t="inlineStr">
        <is>
          <t>https://www.hawaiipublicradio.org/local-news/2026-10-09/ballot-question-could-help-hawaiis-housing-shortage-supporters-say</t>
        </is>
      </c>
    </row>
    <row r="198" ht="30" customHeight="1">
      <c r="A198" s="13" t="inlineStr">
        <is>
          <t>Hawaii</t>
        </is>
      </c>
      <c r="B198" s="4" t="inlineStr">
        <is>
          <t>Bills &amp; legislative documents</t>
        </is>
      </c>
      <c r="C198" s="4" t="inlineStr">
        <is>
          <t>data.capitol.hawaii.gov</t>
        </is>
      </c>
      <c r="D198" s="15" t="inlineStr">
        <is>
          <t>THE SENATE THIRTY-THIRD LEGISLATURE, 2026</t>
        </is>
      </c>
      <c r="E198" s="4" t="inlineStr">
        <is>
          <t>2026</t>
        </is>
      </c>
      <c r="F198" s="4" t="n"/>
      <c r="G198" s="4" t="inlineStr">
        <is>
          <t>https://data.capitol.hawaii.gov/sessions/session2026/bills/SB3219_HD2_.pdf</t>
        </is>
      </c>
    </row>
    <row r="199" ht="30" customHeight="1">
      <c r="A199" s="13" t="inlineStr">
        <is>
          <t>Hawaii</t>
        </is>
      </c>
      <c r="B199" s="4" t="inlineStr">
        <is>
          <t>Ballot information</t>
        </is>
      </c>
      <c r="C199" s="4" t="inlineStr">
        <is>
          <t>theballotbrief.com</t>
        </is>
      </c>
      <c r="D199" s="15" t="inlineStr">
        <is>
          <t>Hawaii Ballot Measures 2026: All 2 Statewide Measures Explained</t>
        </is>
      </c>
      <c r="E199" s="4" t="n"/>
      <c r="F199" s="4" t="n"/>
      <c r="G199" s="4" t="inlineStr">
        <is>
          <t>https://theballotbrief.com/measures/hawaii</t>
        </is>
      </c>
    </row>
    <row r="200" ht="30" customHeight="1">
      <c r="A200" s="13" t="inlineStr">
        <is>
          <t>Idaho</t>
        </is>
      </c>
      <c r="B200" s="4" t="inlineStr">
        <is>
          <t>Constitution &amp; statutes</t>
        </is>
      </c>
      <c r="C200" s="4" t="inlineStr">
        <is>
          <t>legislature.idaho.gov</t>
        </is>
      </c>
      <c r="D200" s="15" t="inlineStr">
        <is>
          <t>Section 63-802 – Idaho State Legislature</t>
        </is>
      </c>
      <c r="E200" s="4" t="n"/>
      <c r="F200" s="4" t="n"/>
      <c r="G200" s="4" t="inlineStr">
        <is>
          <t>https://legislature.idaho.gov/statutesrules/idstat/Title63/T63CH8/SECT63-802/</t>
        </is>
      </c>
    </row>
    <row r="201" ht="30" customHeight="1">
      <c r="A201" s="13" t="inlineStr">
        <is>
          <t>Idaho</t>
        </is>
      </c>
      <c r="B201" s="4" t="inlineStr">
        <is>
          <t>State government</t>
        </is>
      </c>
      <c r="C201" s="4" t="inlineStr">
        <is>
          <t>tax.idaho.gov</t>
        </is>
      </c>
      <c r="D201" s="15" t="inlineStr">
        <is>
          <t>Homeowner’s Exemption</t>
        </is>
      </c>
      <c r="E201" s="4" t="inlineStr">
        <is>
          <t>2022-01-12</t>
        </is>
      </c>
      <c r="F201" s="4" t="n"/>
      <c r="G201" s="4" t="inlineStr">
        <is>
          <t>https://tax.idaho.gov/taxes/property/homeowners/exemption/</t>
        </is>
      </c>
    </row>
    <row r="202" ht="30" customHeight="1">
      <c r="A202" s="13" t="inlineStr">
        <is>
          <t>Idaho</t>
        </is>
      </c>
      <c r="B202" s="4" t="inlineStr">
        <is>
          <t>State government</t>
        </is>
      </c>
      <c r="C202" s="4" t="inlineStr">
        <is>
          <t>tax.idaho.gov</t>
        </is>
      </c>
      <c r="D202" s="15" t="inlineStr">
        <is>
          <t>Property Tax Reduction</t>
        </is>
      </c>
      <c r="E202" s="4" t="inlineStr">
        <is>
          <t>2022-01-12</t>
        </is>
      </c>
      <c r="F202" s="4" t="n"/>
      <c r="G202" s="4" t="inlineStr">
        <is>
          <t>https://tax.idaho.gov/taxes/property/homeowners/reduction/</t>
        </is>
      </c>
    </row>
    <row r="203" ht="30" customHeight="1">
      <c r="A203" s="13" t="inlineStr">
        <is>
          <t>Idaho</t>
        </is>
      </c>
      <c r="B203" s="4" t="inlineStr">
        <is>
          <t>Local government</t>
        </is>
      </c>
      <c r="C203" s="4" t="inlineStr">
        <is>
          <t>adacounty.id.gov</t>
        </is>
      </c>
      <c r="D203" s="15" t="inlineStr">
        <is>
          <t>HB292-Synopsis-for-home-page-04-18.pdf</t>
        </is>
      </c>
      <c r="E203" s="4" t="inlineStr">
        <is>
          <t>2023</t>
        </is>
      </c>
      <c r="F203" s="4" t="n"/>
      <c r="G203" s="4" t="inlineStr">
        <is>
          <t>https://adacounty.id.gov/wp-content/uploads/2023/04/HB292-Synopsis-for-home-page-04-18.pdf</t>
        </is>
      </c>
    </row>
    <row r="204" ht="30" customHeight="1">
      <c r="A204" s="13" t="inlineStr">
        <is>
          <t>Idaho</t>
        </is>
      </c>
      <c r="B204" s="4" t="inlineStr">
        <is>
          <t>Bills &amp; legislative documents</t>
        </is>
      </c>
      <c r="C204" s="4" t="inlineStr">
        <is>
          <t>legislature.idaho.gov</t>
        </is>
      </c>
      <c r="D204" s="15" t="inlineStr">
        <is>
          <t>STATEMENT OF PURPOSE RS32054C2 / H0074</t>
        </is>
      </c>
      <c r="E204" s="4" t="inlineStr">
        <is>
          <t>2025</t>
        </is>
      </c>
      <c r="F204" s="4" t="n"/>
      <c r="G204" s="4" t="inlineStr">
        <is>
          <t>https://legislature.idaho.gov/wp-content/uploads/sessioninfo/2025/legislation/H0074SOP.pdf</t>
        </is>
      </c>
    </row>
    <row r="205" ht="30" customHeight="1">
      <c r="A205" s="13" t="inlineStr">
        <is>
          <t>Idaho</t>
        </is>
      </c>
      <c r="B205" s="4" t="inlineStr">
        <is>
          <t>News</t>
        </is>
      </c>
      <c r="C205" s="4" t="inlineStr">
        <is>
          <t>cdapress.com</t>
        </is>
      </c>
      <c r="D205" s="15" t="inlineStr">
        <is>
          <t>idaho-homeowners-to-receive-192m-in-property-tax-reductions</t>
        </is>
      </c>
      <c r="E205" s="4" t="n"/>
      <c r="F205" s="4" t="n"/>
      <c r="G205" s="4" t="inlineStr">
        <is>
          <t>https://cdapress.com/news/2023/nov/22/idaho-homeowners-to-receive-192m-in-property-tax-reductions/</t>
        </is>
      </c>
    </row>
    <row r="206" ht="30" customHeight="1">
      <c r="A206" s="13" t="inlineStr">
        <is>
          <t>Idaho</t>
        </is>
      </c>
      <c r="B206" s="4" t="inlineStr">
        <is>
          <t>Bills &amp; legislative documents</t>
        </is>
      </c>
      <c r="C206" s="4" t="inlineStr">
        <is>
          <t>legislature.idaho.gov</t>
        </is>
      </c>
      <c r="D206" s="15" t="inlineStr">
        <is>
          <t>HOUSE BILL NO. 1 – Idaho State Legislature</t>
        </is>
      </c>
      <c r="E206" s="4" t="n"/>
      <c r="F206" s="4" t="n"/>
      <c r="G206" s="4" t="inlineStr">
        <is>
          <t>https://legislature.idaho.gov/sessioninfo/2006extra1/legislation/H0001</t>
        </is>
      </c>
    </row>
    <row r="207" ht="30" customHeight="1">
      <c r="A207" s="13" t="inlineStr">
        <is>
          <t>Idaho</t>
        </is>
      </c>
      <c r="B207" s="4" t="inlineStr">
        <is>
          <t>Research &amp; associations</t>
        </is>
      </c>
      <c r="C207" s="4" t="inlineStr">
        <is>
          <t>apps.lincolninst.edu</t>
        </is>
      </c>
      <c r="D207" s="15" t="inlineStr">
        <is>
          <t>rate-limits-2022-4.xlsx</t>
        </is>
      </c>
      <c r="E207" s="4" t="n"/>
      <c r="F207" s="4" t="inlineStr">
        <is>
          <t>AL, FL, IA, KS, KY, LA, MA, MI, MO, NM, NV, SC, SD, UT, WA, WV, WY</t>
        </is>
      </c>
      <c r="G207" s="4" t="inlineStr">
        <is>
          <t>https://apps.lincolninst.edu/uploads/summary-tables/rate-limits-summary-tables/rate-limits-2022-4.xlsx</t>
        </is>
      </c>
    </row>
    <row r="208" ht="30" customHeight="1">
      <c r="A208" s="13" t="inlineStr">
        <is>
          <t>Idaho</t>
        </is>
      </c>
      <c r="B208" s="4" t="inlineStr">
        <is>
          <t>Bills &amp; legislative documents</t>
        </is>
      </c>
      <c r="C208" s="4" t="inlineStr">
        <is>
          <t>legislature.idaho.gov</t>
        </is>
      </c>
      <c r="D208" s="15" t="inlineStr">
        <is>
          <t>HOUSE BILL 959 – Idaho State Legislature</t>
        </is>
      </c>
      <c r="E208" s="4" t="n"/>
      <c r="F208" s="4" t="n"/>
      <c r="G208" s="4" t="inlineStr">
        <is>
          <t>https://legislature.idaho.gov/sessioninfo/2026/legislation/H0959/</t>
        </is>
      </c>
    </row>
    <row r="209" ht="30" customHeight="1">
      <c r="A209" s="13" t="inlineStr">
        <is>
          <t>Idaho</t>
        </is>
      </c>
      <c r="B209" s="4" t="inlineStr">
        <is>
          <t>Bills &amp; legislative documents</t>
        </is>
      </c>
      <c r="C209" s="4" t="inlineStr">
        <is>
          <t>legislature.idaho.gov</t>
        </is>
      </c>
      <c r="D209" s="15" t="inlineStr">
        <is>
          <t>HOUSE BILL 329 – Idaho State Legislature</t>
        </is>
      </c>
      <c r="E209" s="4" t="n"/>
      <c r="F209" s="4" t="n"/>
      <c r="G209" s="4" t="inlineStr">
        <is>
          <t>https://legislature.idaho.gov/sessioninfo/2025/legislation/H0329/</t>
        </is>
      </c>
    </row>
    <row r="210" ht="30" customHeight="1">
      <c r="A210" s="13" t="inlineStr">
        <is>
          <t>Idaho</t>
        </is>
      </c>
      <c r="B210" s="4" t="inlineStr">
        <is>
          <t>Bills &amp; legislative documents</t>
        </is>
      </c>
      <c r="C210" s="4" t="inlineStr">
        <is>
          <t>legislature.idaho.gov</t>
        </is>
      </c>
      <c r="D210" s="15" t="inlineStr">
        <is>
          <t>HOUSE BILL 842 – Idaho State Legislature</t>
        </is>
      </c>
      <c r="E210" s="4" t="n"/>
      <c r="F210" s="4" t="n"/>
      <c r="G210" s="4" t="inlineStr">
        <is>
          <t>https://legislature.idaho.gov/sessioninfo/2026/legislation/H0842/</t>
        </is>
      </c>
    </row>
    <row r="211" ht="30" customHeight="1">
      <c r="A211" s="13" t="inlineStr">
        <is>
          <t>Idaho</t>
        </is>
      </c>
      <c r="B211" s="4" t="inlineStr">
        <is>
          <t>Bills &amp; legislative documents</t>
        </is>
      </c>
      <c r="C211" s="4" t="inlineStr">
        <is>
          <t>legislature.idaho.gov</t>
        </is>
      </c>
      <c r="D211" s="15" t="inlineStr">
        <is>
          <t>HOUSE BILL 670 – Idaho State Legislature</t>
        </is>
      </c>
      <c r="E211" s="4" t="n"/>
      <c r="F211" s="4" t="n"/>
      <c r="G211" s="4" t="inlineStr">
        <is>
          <t>https://legislature.idaho.gov/sessioninfo/2026/legislation/H0670/</t>
        </is>
      </c>
    </row>
    <row r="212" ht="30" customHeight="1">
      <c r="A212" s="13" t="inlineStr">
        <is>
          <t>Idaho</t>
        </is>
      </c>
      <c r="B212" s="4" t="inlineStr">
        <is>
          <t>State government</t>
        </is>
      </c>
      <c r="C212" s="4" t="inlineStr">
        <is>
          <t>tax.idaho.gov</t>
        </is>
      </c>
      <c r="D212" s="15" t="inlineStr">
        <is>
          <t>2026 Budget and Levy Training</t>
        </is>
      </c>
      <c r="E212" s="4" t="inlineStr">
        <is>
          <t>2026</t>
        </is>
      </c>
      <c r="F212" s="4" t="n"/>
      <c r="G212" s="4" t="inlineStr">
        <is>
          <t>https://tax.idaho.gov/wp-content/uploads/pubs/EPR00112/EPR00112_05-05-2026.pdf</t>
        </is>
      </c>
    </row>
    <row r="213" ht="34" customHeight="1">
      <c r="A213" s="13" t="inlineStr">
        <is>
          <t>Idaho</t>
        </is>
      </c>
      <c r="B213" s="4" t="inlineStr">
        <is>
          <t>News</t>
        </is>
      </c>
      <c r="C213" s="4" t="inlineStr">
        <is>
          <t>kivitv.com</t>
        </is>
      </c>
      <c r="D213" s="15" t="inlineStr">
        <is>
          <t>"This year is not the same": Ada County faces potential property tax increases amid budget pressure</t>
        </is>
      </c>
      <c r="E213" s="4" t="inlineStr">
        <is>
          <t>2026-06-16</t>
        </is>
      </c>
      <c r="F213" s="4" t="n"/>
      <c r="G213" s="4" t="inlineStr">
        <is>
          <t>https://www.kivitv.com/news/local-news/in-your-neighborhood/ada-county/this-year-is-not-the-same-what-ada-countys-budget-crunch-could-mean-for-your-property-taxes</t>
        </is>
      </c>
    </row>
    <row r="214" ht="30" customHeight="1">
      <c r="A214" s="13" t="inlineStr">
        <is>
          <t>Idaho</t>
        </is>
      </c>
      <c r="B214" s="4" t="inlineStr">
        <is>
          <t>News</t>
        </is>
      </c>
      <c r="C214" s="4" t="inlineStr">
        <is>
          <t>idahonews.com</t>
        </is>
      </c>
      <c r="D214" s="15" t="inlineStr">
        <is>
          <t>Ada County Highway District approves $261 million fiscal 2027 budget in 5-0 vote</t>
        </is>
      </c>
      <c r="E214" s="4" t="inlineStr">
        <is>
          <t>2026-08-27</t>
        </is>
      </c>
      <c r="F214" s="4" t="n"/>
      <c r="G214" s="4" t="inlineStr">
        <is>
          <t>https://idahonews.com/news/local/ada-county-highway-district-approves-261-million-fiscal-2027-budget-in-5-0-vote</t>
        </is>
      </c>
    </row>
    <row r="215" ht="30" customHeight="1">
      <c r="A215" s="13" t="inlineStr">
        <is>
          <t>Idaho</t>
        </is>
      </c>
      <c r="B215" s="4" t="inlineStr">
        <is>
          <t>Bills &amp; legislative documents</t>
        </is>
      </c>
      <c r="C215" s="4" t="inlineStr">
        <is>
          <t>legislature.idaho.gov</t>
        </is>
      </c>
      <c r="D215" s="15" t="inlineStr">
        <is>
          <t>HOUSE BILL 843 – Idaho State Legislature</t>
        </is>
      </c>
      <c r="E215" s="4" t="n"/>
      <c r="F215" s="4" t="n"/>
      <c r="G215" s="4" t="inlineStr">
        <is>
          <t>https://legislature.idaho.gov/sessioninfo/2026/legislation/H0843/</t>
        </is>
      </c>
    </row>
    <row r="216" ht="30" customHeight="1">
      <c r="A216" s="13" t="inlineStr">
        <is>
          <t>Idaho</t>
        </is>
      </c>
      <c r="B216" s="4" t="inlineStr">
        <is>
          <t>Bills &amp; legislative documents</t>
        </is>
      </c>
      <c r="C216" s="4" t="inlineStr">
        <is>
          <t>legislature.idaho.gov</t>
        </is>
      </c>
      <c r="D216" s="15" t="inlineStr">
        <is>
          <t>HOUSE BILL 369 – Idaho State Legislature</t>
        </is>
      </c>
      <c r="E216" s="4" t="n"/>
      <c r="F216" s="4" t="n"/>
      <c r="G216" s="4" t="inlineStr">
        <is>
          <t>https://legislature.idaho.gov/sessioninfo/2025/legislation/H0369/</t>
        </is>
      </c>
    </row>
    <row r="217" ht="30" customHeight="1">
      <c r="A217" s="13" t="inlineStr">
        <is>
          <t>Idaho</t>
        </is>
      </c>
      <c r="B217" s="4" t="inlineStr">
        <is>
          <t>Constitution &amp; statutes</t>
        </is>
      </c>
      <c r="C217" s="4" t="inlineStr">
        <is>
          <t>legislature.idaho.gov</t>
        </is>
      </c>
      <c r="D217" s="15" t="inlineStr">
        <is>
          <t>Proposed Amendment to the Idaho Constitution</t>
        </is>
      </c>
      <c r="E217" s="4" t="n"/>
      <c r="F217" s="4" t="n"/>
      <c r="G217" s="4" t="inlineStr">
        <is>
          <t>https://legislature.idaho.gov/proposed-amendment-to-the-idaho-constitution/</t>
        </is>
      </c>
    </row>
    <row r="218" ht="30" customHeight="1">
      <c r="A218" s="13" t="inlineStr">
        <is>
          <t>Idaho</t>
        </is>
      </c>
      <c r="B218" s="4" t="inlineStr">
        <is>
          <t>Free-market groups &amp; GOP caucuses</t>
        </is>
      </c>
      <c r="C218" s="4" t="inlineStr">
        <is>
          <t>mountainstatespolicy.org</t>
        </is>
      </c>
      <c r="D218" s="15" t="inlineStr">
        <is>
          <t>New Study: What it would take to eliminate Idaho</t>
        </is>
      </c>
      <c r="E218" s="4" t="inlineStr">
        <is>
          <t>2026-10-01</t>
        </is>
      </c>
      <c r="F218" s="4" t="n"/>
      <c r="G218" s="4" t="inlineStr">
        <is>
          <t>https://www.mountainstatespolicy.org/post/new-study-what-it-would-take-to-eliminate-idaho-s-local-property-taxes</t>
        </is>
      </c>
    </row>
    <row r="219" ht="30" customHeight="1">
      <c r="A219" s="13" t="inlineStr">
        <is>
          <t>Idaho</t>
        </is>
      </c>
      <c r="B219" s="4" t="inlineStr">
        <is>
          <t>Free-market groups &amp; GOP caucuses</t>
        </is>
      </c>
      <c r="C219" s="4" t="inlineStr">
        <is>
          <t>mountainstatespolicy.org</t>
        </is>
      </c>
      <c r="D219" s="15" t="inlineStr">
        <is>
          <t>Truth in Taxation proposed in Idaho to increase property tax transparency</t>
        </is>
      </c>
      <c r="E219" s="4" t="inlineStr">
        <is>
          <t>2025-03-05</t>
        </is>
      </c>
      <c r="F219" s="4" t="n"/>
      <c r="G219" s="4" t="inlineStr">
        <is>
          <t>https://www.mountainstatespolicy.org/post/truth-in-taxation-proposed-in-idaho-to-increase-property-tax-transparency</t>
        </is>
      </c>
    </row>
    <row r="220" ht="30" customHeight="1">
      <c r="A220" s="13" t="inlineStr">
        <is>
          <t>Illinois</t>
        </is>
      </c>
      <c r="B220" s="4" t="inlineStr">
        <is>
          <t>State government</t>
        </is>
      </c>
      <c r="C220" s="4" t="inlineStr">
        <is>
          <t>tax.illinois.gov</t>
        </is>
      </c>
      <c r="D220" s="15" t="inlineStr">
        <is>
          <t>Property Tax Extension Law Limit (PTELL)</t>
        </is>
      </c>
      <c r="E220" s="4" t="n"/>
      <c r="F220" s="4" t="n"/>
      <c r="G220" s="4" t="inlineStr">
        <is>
          <t>https://tax.illinois.gov/localgovernments/property/ptell.html</t>
        </is>
      </c>
    </row>
    <row r="221" ht="30" customHeight="1">
      <c r="A221" s="13" t="inlineStr">
        <is>
          <t>Illinois</t>
        </is>
      </c>
      <c r="B221" s="4" t="inlineStr">
        <is>
          <t>State government</t>
        </is>
      </c>
      <c r="C221" s="4" t="inlineStr">
        <is>
          <t>tax.illinois.gov</t>
        </is>
      </c>
      <c r="D221" s="15" t="inlineStr">
        <is>
          <t>History of PTELL January 2016</t>
        </is>
      </c>
      <c r="E221" s="4" t="inlineStr">
        <is>
          <t>2016</t>
        </is>
      </c>
      <c r="F221" s="4" t="n"/>
      <c r="G221" s="4" t="inlineStr">
        <is>
          <t>https://tax.illinois.gov/content/dam/soi/en/web/tax/localgovernments/property/documents/ptellcounties.pdf</t>
        </is>
      </c>
    </row>
    <row r="222" ht="30" customHeight="1">
      <c r="A222" s="13" t="inlineStr">
        <is>
          <t>Illinois</t>
        </is>
      </c>
      <c r="B222" s="4" t="inlineStr">
        <is>
          <t>Constitution &amp; statutes</t>
        </is>
      </c>
      <c r="C222" s="4" t="inlineStr">
        <is>
          <t>ilga.gov</t>
        </is>
      </c>
      <c r="D222" s="15" t="inlineStr">
        <is>
          <t>fulltext (DocName 003502000K18-185)</t>
        </is>
      </c>
      <c r="E222" s="4" t="n"/>
      <c r="F222" s="4" t="n"/>
      <c r="G222" s="4" t="inlineStr">
        <is>
          <t>https://www.ilga.gov/legislation/ilcs/fulltext.asp?DocName=003502000K18-185</t>
        </is>
      </c>
    </row>
    <row r="223" ht="30" customHeight="1">
      <c r="A223" s="13" t="inlineStr">
        <is>
          <t>Illinois</t>
        </is>
      </c>
      <c r="B223" s="4" t="inlineStr">
        <is>
          <t>Local government</t>
        </is>
      </c>
      <c r="C223" s="4" t="inlineStr">
        <is>
          <t>boonecountyil.gov</t>
        </is>
      </c>
      <c r="D223" s="15" t="inlineStr">
        <is>
          <t>tax relief exemptions</t>
        </is>
      </c>
      <c r="E223" s="4" t="n"/>
      <c r="F223" s="4" t="n"/>
      <c r="G223" s="4" t="inlineStr">
        <is>
          <t>https://www.boonecountyil.gov/government/departments/assessment_office/tax_relief_exemptions.php</t>
        </is>
      </c>
    </row>
    <row r="224" ht="30" customHeight="1">
      <c r="A224" s="13" t="inlineStr">
        <is>
          <t>Illinois</t>
        </is>
      </c>
      <c r="B224" s="4" t="inlineStr">
        <is>
          <t>Research &amp; associations</t>
        </is>
      </c>
      <c r="C224" s="4" t="inlineStr">
        <is>
          <t>civicfed.org</t>
        </is>
      </c>
      <c r="D224" s="15" t="inlineStr">
        <is>
          <t>Cook County TIF Revenue Continues Record Growth</t>
        </is>
      </c>
      <c r="E224" s="4" t="n"/>
      <c r="F224" s="4" t="n"/>
      <c r="G224" s="4" t="inlineStr">
        <is>
          <t>https://civicfed.org/blog/cook-county-tif-revenue-continues-record-growth</t>
        </is>
      </c>
    </row>
    <row r="225" ht="34" customHeight="1">
      <c r="A225" s="13" t="inlineStr">
        <is>
          <t>Illinois</t>
        </is>
      </c>
      <c r="B225" s="4" t="inlineStr">
        <is>
          <t>News</t>
        </is>
      </c>
      <c r="C225" s="4" t="inlineStr">
        <is>
          <t>wglt.org</t>
        </is>
      </c>
      <c r="D225" s="15" t="inlineStr">
        <is>
          <t>Illinois voters approve an advisory referendum calling for higher taxes on income over $1 million</t>
        </is>
      </c>
      <c r="E225" s="4" t="inlineStr">
        <is>
          <t>2024-11-06</t>
        </is>
      </c>
      <c r="F225" s="4" t="n"/>
      <c r="G225" s="4" t="inlineStr">
        <is>
          <t>https://www.wglt.org/illinois/2024-11-06/illinois-voters-approve-an-advisory-referendum-calling-for-higher-taxes-on-income-over-1-million</t>
        </is>
      </c>
    </row>
    <row r="226" ht="30" customHeight="1">
      <c r="A226" s="13" t="inlineStr">
        <is>
          <t>Illinois</t>
        </is>
      </c>
      <c r="B226" s="4" t="inlineStr">
        <is>
          <t>Research &amp; associations</t>
        </is>
      </c>
      <c r="C226" s="4" t="inlineStr">
        <is>
          <t>lincolninst.edu</t>
        </is>
      </c>
      <c r="D226" s="15" t="inlineStr">
        <is>
          <t>levy limits 2022.xlsx</t>
        </is>
      </c>
      <c r="E226" s="4" t="n"/>
      <c r="F226" s="4" t="inlineStr">
        <is>
          <t>AK, AR, DE, MI</t>
        </is>
      </c>
      <c r="G226" s="4" t="inlineStr">
        <is>
          <t>https://www.lincolninst.edu/app/uploads/2025/01/levy_limits_2022.xlsx</t>
        </is>
      </c>
    </row>
    <row r="227" ht="30" customHeight="1">
      <c r="A227" s="13" t="inlineStr">
        <is>
          <t>Illinois</t>
        </is>
      </c>
      <c r="B227" s="4" t="inlineStr">
        <is>
          <t>Research &amp; associations</t>
        </is>
      </c>
      <c r="C227" s="4" t="inlineStr">
        <is>
          <t>lincolninst.edu</t>
        </is>
      </c>
      <c r="D227" s="15" t="inlineStr">
        <is>
          <t>truth in taxation 2024.xlsx</t>
        </is>
      </c>
      <c r="E227" s="4" t="n"/>
      <c r="F227" s="4" t="inlineStr">
        <is>
          <t>DE, GA, IA, KY, MD, MI, MN, MO, NC, ND, NE, NM, NV, NY, OH, OK, OR, PA, RI, TN, TX, UT, VA, VT, WV, WY</t>
        </is>
      </c>
      <c r="G227" s="4" t="inlineStr">
        <is>
          <t>https://www.lincolninst.edu/app/uploads/2024/10/truth_in_taxation_2024.xlsx</t>
        </is>
      </c>
    </row>
    <row r="228" ht="30" customHeight="1">
      <c r="A228" s="13" t="inlineStr">
        <is>
          <t>Illinois</t>
        </is>
      </c>
      <c r="B228" s="4" t="inlineStr">
        <is>
          <t>Free-market groups &amp; GOP caucuses</t>
        </is>
      </c>
      <c r="C228" s="4" t="inlineStr">
        <is>
          <t>illinoispolicy.org</t>
        </is>
      </c>
      <c r="D228" s="15" t="inlineStr">
        <is>
          <t>Illinois property taxes up 27% under Pritzker</t>
        </is>
      </c>
      <c r="E228" s="4" t="inlineStr">
        <is>
          <t>2026-04-13</t>
        </is>
      </c>
      <c r="F228" s="4" t="n"/>
      <c r="G228" s="4" t="inlineStr">
        <is>
          <t>https://www.illinoispolicy.org/illinois-property-taxes-up-27-under-pritzker/</t>
        </is>
      </c>
    </row>
    <row r="229" ht="30" customHeight="1">
      <c r="A229" s="13" t="inlineStr">
        <is>
          <t>Illinois</t>
        </is>
      </c>
      <c r="B229" s="4" t="inlineStr">
        <is>
          <t>Free-market groups &amp; GOP caucuses</t>
        </is>
      </c>
      <c r="C229" s="4" t="inlineStr">
        <is>
          <t>illinoispolicy.org</t>
        </is>
      </c>
      <c r="D229" s="15" t="inlineStr">
        <is>
          <t>Chicago property taxes jump</t>
        </is>
      </c>
      <c r="E229" s="4" t="inlineStr">
        <is>
          <t>2026-03-05</t>
        </is>
      </c>
      <c r="F229" s="4" t="n"/>
      <c r="G229" s="4" t="inlineStr">
        <is>
          <t>https://www.illinoispolicy.org/chicago-property-taxes-jump-but-unevenly/</t>
        </is>
      </c>
    </row>
    <row r="230" ht="30" customHeight="1">
      <c r="A230" s="13" t="inlineStr">
        <is>
          <t>Illinois</t>
        </is>
      </c>
      <c r="B230" s="4" t="inlineStr">
        <is>
          <t>Free-market groups &amp; GOP caucuses</t>
        </is>
      </c>
      <c r="C230" s="4" t="inlineStr">
        <is>
          <t>illinoispolicy.org</t>
        </is>
      </c>
      <c r="D230" s="15" t="inlineStr">
        <is>
          <t>Illinois lawmakers finally pass bill to end home equity theft</t>
        </is>
      </c>
      <c r="E230" s="4" t="inlineStr">
        <is>
          <t>2026-07-10</t>
        </is>
      </c>
      <c r="F230" s="4" t="n"/>
      <c r="G230" s="4" t="inlineStr">
        <is>
          <t>https://www.illinoispolicy.org/illinois-lawmakers-finally-pass-bill-to-end-home-equity-theft/</t>
        </is>
      </c>
    </row>
    <row r="231" ht="30" customHeight="1">
      <c r="A231" s="13" t="inlineStr">
        <is>
          <t>Illinois</t>
        </is>
      </c>
      <c r="B231" s="4" t="inlineStr">
        <is>
          <t>Local government</t>
        </is>
      </c>
      <c r="C231" s="4" t="inlineStr">
        <is>
          <t>edgarcountyillinois.com</t>
        </is>
      </c>
      <c r="D231" s="15" t="inlineStr">
        <is>
          <t>Low-Income Senior Citizen Assessment Freeze Homestead Exemption (SCAFHE)</t>
        </is>
      </c>
      <c r="E231" s="4" t="inlineStr">
        <is>
          <t>2026-01-06</t>
        </is>
      </c>
      <c r="F231" s="4" t="n"/>
      <c r="G231" s="4" t="inlineStr">
        <is>
          <t>https://edgarcountyillinois.com/low-income-senior-citizen-assessment-freeze-homestead-exemption-scafhe/</t>
        </is>
      </c>
    </row>
    <row r="232" ht="30" customHeight="1">
      <c r="A232" s="13" t="inlineStr">
        <is>
          <t>Illinois</t>
        </is>
      </c>
      <c r="B232" s="4" t="inlineStr">
        <is>
          <t>Bills &amp; legislative documents</t>
        </is>
      </c>
      <c r="C232" s="4" t="inlineStr">
        <is>
          <t>ilhousedems.com</t>
        </is>
      </c>
      <c r="D232" s="15" t="inlineStr">
        <is>
          <t>» State Rep. Larry Walsh Jr. Celebrates Expansion of Senior Property Tax Relief</t>
        </is>
      </c>
      <c r="E232" s="4" t="n"/>
      <c r="F232" s="4" t="n"/>
      <c r="G232" s="4" t="inlineStr">
        <is>
          <t>https://ilhousedems.com/2025/12/18/state-rep-larry-walsh-jr-celebrates-expansion-of-senior-property-tax-relief/</t>
        </is>
      </c>
    </row>
    <row r="233" ht="30" customHeight="1">
      <c r="A233" s="13" t="inlineStr">
        <is>
          <t>Illinois</t>
        </is>
      </c>
      <c r="B233" s="4" t="inlineStr">
        <is>
          <t>News</t>
        </is>
      </c>
      <c r="C233" s="4" t="inlineStr">
        <is>
          <t>cbsnews.com</t>
        </is>
      </c>
      <c r="D233" s="15" t="inlineStr">
        <is>
          <t>chicago-board-of-education-public-schools-property-tax-increase</t>
        </is>
      </c>
      <c r="E233" s="4" t="n"/>
      <c r="F233" s="4" t="n"/>
      <c r="G233" s="4" t="inlineStr">
        <is>
          <t>https://www.cbsnews.com/chicago/news/chicago-board-of-education-public-schools-property-tax-increase</t>
        </is>
      </c>
    </row>
    <row r="234" ht="30" customHeight="1">
      <c r="A234" s="13" t="inlineStr">
        <is>
          <t>Illinois</t>
        </is>
      </c>
      <c r="B234" s="4" t="inlineStr">
        <is>
          <t>News</t>
        </is>
      </c>
      <c r="C234" s="4" t="inlineStr">
        <is>
          <t>nprillinois.org</t>
        </is>
      </c>
      <c r="D234" s="15" t="inlineStr">
        <is>
          <t>Illinois House approves megaprojects bill, but the Bears want changes</t>
        </is>
      </c>
      <c r="E234" s="4" t="inlineStr">
        <is>
          <t>2026-04-23</t>
        </is>
      </c>
      <c r="F234" s="4" t="n"/>
      <c r="G234" s="4" t="inlineStr">
        <is>
          <t>https://www.nprillinois.org/illinois/2026-04-23/illinois-house-approves-megaprojects-bill-but-the-bears-want-changes</t>
        </is>
      </c>
    </row>
    <row r="235" ht="34" customHeight="1">
      <c r="A235" s="13" t="inlineStr">
        <is>
          <t>Illinois</t>
        </is>
      </c>
      <c r="B235" s="4" t="inlineStr">
        <is>
          <t>News</t>
        </is>
      </c>
      <c r="C235" s="4" t="inlineStr">
        <is>
          <t>news.wttw.com</t>
        </is>
      </c>
      <c r="D235" s="15" t="inlineStr">
        <is>
          <t>megaprojects-bill-would-mean-39m-annual-property-tax-break-bears-cook-county-treasurer-s</t>
        </is>
      </c>
      <c r="E235" s="4" t="n"/>
      <c r="F235" s="4" t="n"/>
      <c r="G235" s="4" t="inlineStr">
        <is>
          <t>https://news.wttw.com/2026/05/26/megaprojects-bill-would-mean-39m-annual-property-tax-break-bears-cook-county-treasurer-s</t>
        </is>
      </c>
    </row>
    <row r="236" ht="34" customHeight="1">
      <c r="A236" s="13" t="inlineStr">
        <is>
          <t>Illinois</t>
        </is>
      </c>
      <c r="B236" s="4" t="inlineStr">
        <is>
          <t>News</t>
        </is>
      </c>
      <c r="C236" s="4" t="inlineStr">
        <is>
          <t>fox32chicago.com</t>
        </is>
      </c>
      <c r="D236" s="15" t="inlineStr">
        <is>
          <t>Pritzker wants Illinois Senate to move on Mega Projects bill ‘soon,’ but hurdles remain</t>
        </is>
      </c>
      <c r="E236" s="4" t="inlineStr">
        <is>
          <t>2026-04-29</t>
        </is>
      </c>
      <c r="F236" s="4" t="n"/>
      <c r="G236" s="4" t="inlineStr">
        <is>
          <t>https://www.fox32chicago.com/news/bears-mega-projects-bill-senate-pritzker</t>
        </is>
      </c>
    </row>
    <row r="237" ht="30" customHeight="1">
      <c r="A237" s="13" t="inlineStr">
        <is>
          <t>Illinois</t>
        </is>
      </c>
      <c r="B237" s="4" t="inlineStr">
        <is>
          <t>News</t>
        </is>
      </c>
      <c r="C237" s="4" t="inlineStr">
        <is>
          <t>nbcchicago.com</t>
        </is>
      </c>
      <c r="D237" s="15" t="inlineStr">
        <is>
          <t>Suburban Chicago referendums on term limits, school bonds on election ballot</t>
        </is>
      </c>
      <c r="E237" s="4" t="inlineStr">
        <is>
          <t>2026-09-22</t>
        </is>
      </c>
      <c r="F237" s="4" t="n"/>
      <c r="G237" s="4" t="inlineStr">
        <is>
          <t>https://www.nbcchicago.com/illinois-election-2026/suburban-chicago-referendums-on-term-limits-school-bonds-on-election-ballot/3992419/</t>
        </is>
      </c>
    </row>
    <row r="238" ht="34" customHeight="1">
      <c r="A238" s="13" t="inlineStr">
        <is>
          <t>Illinois</t>
        </is>
      </c>
      <c r="B238" s="4" t="inlineStr">
        <is>
          <t>Free-market groups &amp; GOP caucuses</t>
        </is>
      </c>
      <c r="C238" s="4" t="inlineStr">
        <is>
          <t>repugaste.com</t>
        </is>
      </c>
      <c r="D238" s="15" t="inlineStr">
        <is>
          <t>» House Republicans Launch Property Tax Relief Conference, Issue Open Letter on Stadium Proposal</t>
        </is>
      </c>
      <c r="E238" s="4" t="n"/>
      <c r="F238" s="4" t="n"/>
      <c r="G238" s="4" t="inlineStr">
        <is>
          <t>https://repugaste.com/2026/04/09/house-republicans-launch-property-tax-relief-conference-issue-open-letter-on-stadium-proposal/</t>
        </is>
      </c>
    </row>
    <row r="239" ht="30" customHeight="1">
      <c r="A239" s="13" t="inlineStr">
        <is>
          <t>Illinois</t>
        </is>
      </c>
      <c r="B239" s="4" t="inlineStr">
        <is>
          <t>Free-market groups &amp; GOP caucuses</t>
        </is>
      </c>
      <c r="C239" s="4" t="inlineStr">
        <is>
          <t>truthinaccounting.org</t>
        </is>
      </c>
      <c r="D239" s="15" t="inlineStr">
        <is>
          <t>CHICAGO'S COMBINED STATE AND LOCAL TAXPAYER DEBT BURDEN WORST IN THE NATION</t>
        </is>
      </c>
      <c r="E239" s="4" t="n"/>
      <c r="F239" s="4" t="n"/>
      <c r="G239" s="4" t="inlineStr">
        <is>
          <t>https://www.truthinaccounting.org/news/detail/chicagos-combined-state-and-local-taxpayer-debt-burden-worst-in-the-nation</t>
        </is>
      </c>
    </row>
    <row r="240" ht="34" customHeight="1">
      <c r="A240" s="13" t="inlineStr">
        <is>
          <t>Illinois</t>
        </is>
      </c>
      <c r="B240" s="4" t="inlineStr">
        <is>
          <t>Free-market groups &amp; GOP caucuses</t>
        </is>
      </c>
      <c r="C240" s="4" t="inlineStr">
        <is>
          <t>heartland.org</t>
        </is>
      </c>
      <c r="D240" s="15" t="inlineStr">
        <is>
          <t>PRESS RELEASE: Florida Gov. Ron DeSantis Speech in Chicago Pushed for Historic Property Tax Rollback</t>
        </is>
      </c>
      <c r="E240" s="4" t="inlineStr">
        <is>
          <t>2026-09-05</t>
        </is>
      </c>
      <c r="F240" s="4" t="n"/>
      <c r="G240" s="4" t="inlineStr">
        <is>
          <t>https://heartland.org/opinion/press-release-florida-gov-ron-desantis-speech-in-chicago-pushed-for-historic-property-tax-rollback/</t>
        </is>
      </c>
    </row>
    <row r="241" ht="30" customHeight="1">
      <c r="A241" s="13" t="inlineStr">
        <is>
          <t>Indiana</t>
        </is>
      </c>
      <c r="B241" s="4" t="inlineStr">
        <is>
          <t>State government</t>
        </is>
      </c>
      <c r="C241" s="4" t="inlineStr">
        <is>
          <t>in.gov</t>
        </is>
      </c>
      <c r="D241" s="15" t="inlineStr">
        <is>
          <t>250702-State-Budget-Agency-Memo-Maximum-Levy-Growth-Quotient.pdf</t>
        </is>
      </c>
      <c r="E241" s="4" t="inlineStr">
        <is>
          <t>2025</t>
        </is>
      </c>
      <c r="F241" s="4" t="n"/>
      <c r="G241" s="4" t="inlineStr">
        <is>
          <t>https://www.in.gov/dlgf/files/2025-memos/250702-State-Budget-Agency-Memo-Maximum-Levy-Growth-Quotient.pdf</t>
        </is>
      </c>
    </row>
    <row r="242" ht="30" customHeight="1">
      <c r="A242" s="13" t="inlineStr">
        <is>
          <t>Indiana</t>
        </is>
      </c>
      <c r="B242" s="4" t="inlineStr">
        <is>
          <t>State government</t>
        </is>
      </c>
      <c r="C242" s="4" t="inlineStr">
        <is>
          <t>in.gov</t>
        </is>
      </c>
      <c r="D242" s="15" t="inlineStr">
        <is>
          <t>260701-State-Budget-Agency-Memo-Maximum-Levy-Growth-Quotient.pdf</t>
        </is>
      </c>
      <c r="E242" s="4" t="inlineStr">
        <is>
          <t>2026</t>
        </is>
      </c>
      <c r="F242" s="4" t="n"/>
      <c r="G242" s="4" t="inlineStr">
        <is>
          <t>https://www.in.gov/dlgf/files/2026-memos/260701-State-Budget-Agency-Memo-Maximum-Levy-Growth-Quotient.pdf</t>
        </is>
      </c>
    </row>
    <row r="243" ht="30" customHeight="1">
      <c r="A243" s="13" t="inlineStr">
        <is>
          <t>Indiana</t>
        </is>
      </c>
      <c r="B243" s="4" t="inlineStr">
        <is>
          <t>State government</t>
        </is>
      </c>
      <c r="C243" s="4" t="inlineStr">
        <is>
          <t>in.gov</t>
        </is>
      </c>
      <c r="D243" s="15" t="inlineStr">
        <is>
          <t>Legislative Changes to Property Tax Referenda and Controlled Projects</t>
        </is>
      </c>
      <c r="E243" s="4" t="inlineStr">
        <is>
          <t>2025</t>
        </is>
      </c>
      <c r="F243" s="4" t="n"/>
      <c r="G243" s="4" t="inlineStr">
        <is>
          <t>https://www.in.gov/dlgf/files/2025-memos/250610-Cockerill-Memo-Legislative-Changes-to-Property-Tax-Referenda-and-Controlled-Projects.pdf</t>
        </is>
      </c>
    </row>
    <row r="244" ht="30" customHeight="1">
      <c r="A244" s="13" t="inlineStr">
        <is>
          <t>Indiana</t>
        </is>
      </c>
      <c r="B244" s="4" t="inlineStr">
        <is>
          <t>State government</t>
        </is>
      </c>
      <c r="C244" s="4" t="inlineStr">
        <is>
          <t>in.gov</t>
        </is>
      </c>
      <c r="D244" s="15" t="inlineStr">
        <is>
          <t>Legislation Affecting Local Budgeting Matters</t>
        </is>
      </c>
      <c r="E244" s="4" t="inlineStr">
        <is>
          <t>2026</t>
        </is>
      </c>
      <c r="F244" s="4" t="n"/>
      <c r="G244" s="4" t="inlineStr">
        <is>
          <t>https://www.in.gov/dlgf/files/2026-memos/Legislation-Affecting-Local-Budgeting-Matters.pdf</t>
        </is>
      </c>
    </row>
    <row r="245" ht="30" customHeight="1">
      <c r="A245" s="13" t="inlineStr">
        <is>
          <t>Indiana</t>
        </is>
      </c>
      <c r="B245" s="4" t="inlineStr">
        <is>
          <t>State government</t>
        </is>
      </c>
      <c r="C245" s="4" t="inlineStr">
        <is>
          <t>in.gov</t>
        </is>
      </c>
      <c r="D245" s="15" t="inlineStr">
        <is>
          <t>STATE OF INDIANA DEPARTMENT OF LOCAL GOVERNMENT FINANCE</t>
        </is>
      </c>
      <c r="E245" s="4" t="inlineStr">
        <is>
          <t>2026</t>
        </is>
      </c>
      <c r="F245" s="4" t="n"/>
      <c r="G245" s="4" t="inlineStr">
        <is>
          <t>https://www.in.gov/dlgf/files/2026-memos/260527-Cockerill-Memo-Legislation-Affecting-Deductions,-Credits,-and-Exemptions.pdf</t>
        </is>
      </c>
    </row>
    <row r="246" ht="30" customHeight="1">
      <c r="A246" s="13" t="inlineStr">
        <is>
          <t>Indiana</t>
        </is>
      </c>
      <c r="B246" s="4" t="inlineStr">
        <is>
          <t>News</t>
        </is>
      </c>
      <c r="C246" s="4" t="inlineStr">
        <is>
          <t>indianacapitalchronicle.com</t>
        </is>
      </c>
      <c r="D246" s="15" t="inlineStr">
        <is>
          <t>The-Indiana-Property-Tax-Reform-of-2025-Deboer-November-2025.pdf</t>
        </is>
      </c>
      <c r="E246" s="4" t="inlineStr">
        <is>
          <t>2025</t>
        </is>
      </c>
      <c r="F246" s="4" t="n"/>
      <c r="G246" s="4" t="inlineStr">
        <is>
          <t>https://indianacapitalchronicle.com/wp-content/uploads/2025/11/The-Indiana-Property-Tax-Reform-of-2025-Deboer-November-2025.pdf</t>
        </is>
      </c>
    </row>
    <row r="247" ht="30" customHeight="1">
      <c r="A247" s="13" t="inlineStr">
        <is>
          <t>Indiana</t>
        </is>
      </c>
      <c r="B247" s="4" t="inlineStr">
        <is>
          <t>Bills &amp; legislative documents</t>
        </is>
      </c>
      <c r="C247" s="4" t="inlineStr">
        <is>
          <t>iga.in.gov</t>
        </is>
      </c>
      <c r="D247" s="15" t="inlineStr">
        <is>
          <t>Senate Enrolled Act 1 (2025), enrolled text</t>
        </is>
      </c>
      <c r="E247" s="4" t="n"/>
      <c r="F247" s="4" t="n"/>
      <c r="G247" s="4" t="inlineStr">
        <is>
          <t>https://iga.in.gov/pdf-documents/124/2025/senate/bills/SB0001/SB0001.05.ENRH.pdf</t>
        </is>
      </c>
    </row>
    <row r="248" ht="30" customHeight="1">
      <c r="A248" s="13" t="inlineStr">
        <is>
          <t>Indiana</t>
        </is>
      </c>
      <c r="B248" s="4" t="inlineStr">
        <is>
          <t>Bills &amp; legislative documents</t>
        </is>
      </c>
      <c r="C248" s="4" t="inlineStr">
        <is>
          <t>iga.in.gov</t>
        </is>
      </c>
      <c r="D248" s="15" t="inlineStr">
        <is>
          <t>SEA 1 (2025) enrolled fiscal note, Legislative Services Agency</t>
        </is>
      </c>
      <c r="E248" s="4" t="n"/>
      <c r="F248" s="4" t="n"/>
      <c r="G248" s="4" t="inlineStr">
        <is>
          <t>https://iga.in.gov/pdf-documents/124/2025/senate/bills/SB0001/fiscal-notes/SB0001.05.ENRH.FN001.pdf</t>
        </is>
      </c>
    </row>
    <row r="249" ht="30" customHeight="1">
      <c r="A249" s="13" t="inlineStr">
        <is>
          <t>Indiana</t>
        </is>
      </c>
      <c r="B249" s="4" t="inlineStr">
        <is>
          <t>State government</t>
        </is>
      </c>
      <c r="C249" s="4" t="inlineStr">
        <is>
          <t>in.gov</t>
        </is>
      </c>
      <c r="D249" s="15" t="inlineStr">
        <is>
          <t>DLGF: Legislation Affecting Local Income Taxes (2026)</t>
        </is>
      </c>
      <c r="E249" s="4" t="n"/>
      <c r="F249" s="4" t="n"/>
      <c r="G249" s="4" t="inlineStr">
        <is>
          <t>https://www.in.gov/dlgf/files/2026-memos/Legislation-Affecting-Local-Income-Taxes.pdf</t>
        </is>
      </c>
    </row>
    <row r="250" ht="30" customHeight="1">
      <c r="A250" s="13" t="inlineStr">
        <is>
          <t>Indiana</t>
        </is>
      </c>
      <c r="B250" s="4" t="inlineStr">
        <is>
          <t>State government</t>
        </is>
      </c>
      <c r="C250" s="4" t="inlineStr">
        <is>
          <t>in.gov</t>
        </is>
      </c>
      <c r="D250" s="15" t="inlineStr">
        <is>
          <t>DLGF: Referendum Information</t>
        </is>
      </c>
      <c r="E250" s="4" t="n"/>
      <c r="F250" s="4" t="n"/>
      <c r="G250" s="4" t="inlineStr">
        <is>
          <t>https://www.in.gov/dlgf/referendum-information/</t>
        </is>
      </c>
    </row>
    <row r="251" ht="30" customHeight="1">
      <c r="A251" s="13" t="inlineStr">
        <is>
          <t>Indiana</t>
        </is>
      </c>
      <c r="B251" s="4" t="inlineStr">
        <is>
          <t>Research &amp; associations</t>
        </is>
      </c>
      <c r="C251" s="4" t="inlineStr">
        <is>
          <t>aimindiana.org</t>
        </is>
      </c>
      <c r="D251" s="15" t="inlineStr">
        <is>
          <t>2025 SENATE ENROLLED ACT 1: DEBT SERVICE AND</t>
        </is>
      </c>
      <c r="E251" s="4" t="inlineStr">
        <is>
          <t>2025</t>
        </is>
      </c>
      <c r="F251" s="4" t="n"/>
      <c r="G251" s="4" t="inlineStr">
        <is>
          <t>https://aimindiana.org/wp-content/uploads/2025/07/Mini-Quick-Guide-SEA-1-Debt-Service-and-Controlled-Projects.pdf</t>
        </is>
      </c>
    </row>
    <row r="252" ht="30" customHeight="1">
      <c r="A252" s="13" t="inlineStr">
        <is>
          <t>Indiana</t>
        </is>
      </c>
      <c r="B252" s="4" t="inlineStr">
        <is>
          <t>Research &amp; associations</t>
        </is>
      </c>
      <c r="C252" s="4" t="inlineStr">
        <is>
          <t>fbtgibbons.com</t>
        </is>
      </c>
      <c r="D252" s="15" t="inlineStr">
        <is>
          <t>Updates to Indiana’s Property Tax Process Now…</t>
        </is>
      </c>
      <c r="E252" s="4" t="inlineStr">
        <is>
          <t>2025-07-30</t>
        </is>
      </c>
      <c r="F252" s="4" t="n"/>
      <c r="G252" s="4" t="inlineStr">
        <is>
          <t>https://fbtgibbons.com/updates-to-indianas-property-tax-process-now-in-effect/</t>
        </is>
      </c>
    </row>
    <row r="253" ht="30" customHeight="1">
      <c r="A253" s="13" t="inlineStr">
        <is>
          <t>Indiana</t>
        </is>
      </c>
      <c r="B253" s="4" t="inlineStr">
        <is>
          <t>Bills &amp; legislative documents</t>
        </is>
      </c>
      <c r="C253" s="4" t="inlineStr">
        <is>
          <t>iga.in.gov</t>
        </is>
      </c>
      <c r="D253" s="15" t="inlineStr">
        <is>
          <t>Indiana General Assembly</t>
        </is>
      </c>
      <c r="E253" s="4" t="n"/>
      <c r="F253" s="4" t="n"/>
      <c r="G253" s="4" t="inlineStr">
        <is>
          <t>https://iga.in.gov/legislative/2025/bills/senate/1</t>
        </is>
      </c>
    </row>
    <row r="254" ht="30" customHeight="1">
      <c r="A254" s="13" t="inlineStr">
        <is>
          <t>Indiana</t>
        </is>
      </c>
      <c r="B254" s="4" t="inlineStr">
        <is>
          <t>State government</t>
        </is>
      </c>
      <c r="C254" s="4" t="inlineStr">
        <is>
          <t>in.gov</t>
        </is>
      </c>
      <c r="D254" s="15" t="inlineStr">
        <is>
          <t>County Option Circuit Breaker Tax Credit</t>
        </is>
      </c>
      <c r="E254" s="4" t="inlineStr">
        <is>
          <t>2025</t>
        </is>
      </c>
      <c r="F254" s="4" t="n"/>
      <c r="G254" s="4" t="inlineStr">
        <is>
          <t>https://www.in.gov/dlgf/files/2025-memos/250728-Cockerill-Memo-County-Option-Circuit-Breaker-Tax-Credit.pdf</t>
        </is>
      </c>
    </row>
    <row r="255" ht="30" customHeight="1">
      <c r="A255" s="13" t="inlineStr">
        <is>
          <t>Indiana</t>
        </is>
      </c>
      <c r="B255" s="4" t="inlineStr">
        <is>
          <t>Free-market groups &amp; GOP caucuses</t>
        </is>
      </c>
      <c r="C255" s="4" t="inlineStr">
        <is>
          <t>taxfoundation.org</t>
        </is>
      </c>
      <c r="D255" s="15" t="inlineStr">
        <is>
          <t>Indiana Mulls Local Income and Property Tax Reforms</t>
        </is>
      </c>
      <c r="E255" s="4" t="inlineStr">
        <is>
          <t>2025-03-26</t>
        </is>
      </c>
      <c r="F255" s="4" t="n"/>
      <c r="G255" s="4" t="inlineStr">
        <is>
          <t>https://taxfoundation.org/blog/indiana-property-tax-reform-local-income-taxes/</t>
        </is>
      </c>
    </row>
    <row r="256" ht="30" customHeight="1">
      <c r="A256" s="13" t="inlineStr">
        <is>
          <t>Indiana</t>
        </is>
      </c>
      <c r="B256" s="4" t="inlineStr">
        <is>
          <t>News</t>
        </is>
      </c>
      <c r="C256" s="4" t="inlineStr">
        <is>
          <t>indianacapitalchronicle.com</t>
        </is>
      </c>
      <c r="D256" s="15" t="inlineStr">
        <is>
          <t>36-indiana-school-districts-to-seek-referendums-this-fall</t>
        </is>
      </c>
      <c r="E256" s="4" t="n"/>
      <c r="F256" s="4" t="n"/>
      <c r="G256" s="4" t="inlineStr">
        <is>
          <t>https://indianacapitalchronicle.com/2026/08/04/36-indiana-school-districts-to-seek-referendums-this-fall/</t>
        </is>
      </c>
    </row>
    <row r="257" ht="34" customHeight="1">
      <c r="A257" s="13" t="inlineStr">
        <is>
          <t>Indiana</t>
        </is>
      </c>
      <c r="B257" s="4" t="inlineStr">
        <is>
          <t>News</t>
        </is>
      </c>
      <c r="C257" s="4" t="inlineStr">
        <is>
          <t>chalkbeat.org</t>
        </is>
      </c>
      <c r="D257" s="15" t="inlineStr">
        <is>
          <t>IPEC will ask voters for a tax increase. Here’s how it would be split between district and charter schools.</t>
        </is>
      </c>
      <c r="E257" s="4" t="inlineStr">
        <is>
          <t>2026-06-22</t>
        </is>
      </c>
      <c r="F257" s="4" t="n"/>
      <c r="G257" s="4" t="inlineStr">
        <is>
          <t>https://www.chalkbeat.org/indiana/2026/06/22/ipec-approves-referendum-for-fall-ballot/</t>
        </is>
      </c>
    </row>
    <row r="258" ht="30" customHeight="1">
      <c r="A258" s="13" t="inlineStr">
        <is>
          <t>Indiana</t>
        </is>
      </c>
      <c r="B258" s="4" t="inlineStr">
        <is>
          <t>News</t>
        </is>
      </c>
      <c r="C258" s="4" t="inlineStr">
        <is>
          <t>journalgazette.net</t>
        </is>
      </c>
      <c r="D258" s="15" t="inlineStr">
        <is>
          <t>Fort Wayne officials present proposed 2026 budget amid tax revenue concerns</t>
        </is>
      </c>
      <c r="E258" s="4" t="inlineStr">
        <is>
          <t>2025-09-26</t>
        </is>
      </c>
      <c r="F258" s="4" t="n"/>
      <c r="G258" s="4" t="inlineStr">
        <is>
          <t>https://www.journalgazette.net/local/local-government/fort-wayne-officials-present-proposed-2026-budget-amid-tax-revenue-concerns/article_713632f7-e807-42bf-8209-df80c7c086e2.html</t>
        </is>
      </c>
    </row>
    <row r="259" ht="34" customHeight="1">
      <c r="A259" s="13" t="inlineStr">
        <is>
          <t>Indiana</t>
        </is>
      </c>
      <c r="B259" s="4" t="inlineStr">
        <is>
          <t>Free-market groups &amp; GOP caucuses</t>
        </is>
      </c>
      <c r="C259" s="4" t="inlineStr">
        <is>
          <t>americansforprosperity.org</t>
        </is>
      </c>
      <c r="D259" s="15" t="inlineStr">
        <is>
          <t>AFP-IN Launches Campaign Urging Hoosiers to Vote NO on School Property Tax Referendums</t>
        </is>
      </c>
      <c r="E259" s="4" t="inlineStr">
        <is>
          <t>2026-08-21</t>
        </is>
      </c>
      <c r="F259" s="4" t="n"/>
      <c r="G259" s="4" t="inlineStr">
        <is>
          <t>https://americansforprosperity.org/press-release/afp-in-launches-campaign-urging-hoosiers-to-vote-no-on-school-property-tax-referendums/</t>
        </is>
      </c>
    </row>
    <row r="260" ht="30" customHeight="1">
      <c r="A260" s="13" t="inlineStr">
        <is>
          <t>Indiana</t>
        </is>
      </c>
      <c r="B260" s="4" t="inlineStr">
        <is>
          <t>Free-market groups &amp; GOP caucuses</t>
        </is>
      </c>
      <c r="C260" s="4" t="inlineStr">
        <is>
          <t>infarmbureau.org</t>
        </is>
      </c>
      <c r="D260" s="15" t="inlineStr">
        <is>
          <t>Tax Facts: When it comes to property taxes, nothing is simple</t>
        </is>
      </c>
      <c r="E260" s="4" t="n"/>
      <c r="F260" s="4" t="n"/>
      <c r="G260" s="4" t="inlineStr">
        <is>
          <t>https://www.infarmbureau.org/news/news-article/2025/03/26/tax-facts-when-it-comes-to-property-taxes-nothing-is-simple</t>
        </is>
      </c>
    </row>
    <row r="261" ht="30" customHeight="1">
      <c r="A261" s="13" t="inlineStr">
        <is>
          <t>Iowa</t>
        </is>
      </c>
      <c r="B261" s="4" t="inlineStr">
        <is>
          <t>Bills &amp; legislative documents</t>
        </is>
      </c>
      <c r="C261" s="4" t="inlineStr">
        <is>
          <t>legis.iowa.gov</t>
        </is>
      </c>
      <c r="D261" s="15" t="inlineStr">
        <is>
          <t>Iowa Legislature - BillBook</t>
        </is>
      </c>
      <c r="E261" s="4" t="n"/>
      <c r="F261" s="4" t="n"/>
      <c r="G261" s="4" t="inlineStr">
        <is>
          <t>https://www.legis.iowa.gov/legislation/BillBook?ga=91&amp;ba=SF2472</t>
        </is>
      </c>
    </row>
    <row r="262" ht="30" customHeight="1">
      <c r="A262" s="13" t="inlineStr">
        <is>
          <t>Iowa</t>
        </is>
      </c>
      <c r="B262" s="4" t="inlineStr">
        <is>
          <t>Bills &amp; legislative documents</t>
        </is>
      </c>
      <c r="C262" s="4" t="inlineStr">
        <is>
          <t>legis.iowa.gov</t>
        </is>
      </c>
      <c r="D262" s="15" t="inlineStr">
        <is>
          <t>Senate File 2472 - Enrolled Senate File 2472</t>
        </is>
      </c>
      <c r="E262" s="4" t="inlineStr">
        <is>
          <t>2026</t>
        </is>
      </c>
      <c r="F262" s="4" t="n"/>
      <c r="G262" s="4" t="inlineStr">
        <is>
          <t>https://www.legis.iowa.gov/docs/publications/LGE/91/SF2472.pdf</t>
        </is>
      </c>
    </row>
    <row r="263" ht="30" customHeight="1">
      <c r="A263" s="13" t="inlineStr">
        <is>
          <t>Iowa</t>
        </is>
      </c>
      <c r="B263" s="4" t="inlineStr">
        <is>
          <t>News</t>
        </is>
      </c>
      <c r="C263" s="4" t="inlineStr">
        <is>
          <t>thegazette.com</t>
        </is>
      </c>
      <c r="D263" s="15" t="inlineStr">
        <is>
          <t>What’s in Iowa’s property tax legislation?</t>
        </is>
      </c>
      <c r="E263" s="4" t="inlineStr">
        <is>
          <t>2026-05-03</t>
        </is>
      </c>
      <c r="F263" s="4" t="n"/>
      <c r="G263" s="4" t="inlineStr">
        <is>
          <t>https://www.thegazette.com/news/state/what-s-in-iowa-s-property-tax-legislation/article_bccdd01a-d59f-48d6-a0eb-dddecf8fc473.html</t>
        </is>
      </c>
    </row>
    <row r="264" ht="30" customHeight="1">
      <c r="A264" s="13" t="inlineStr">
        <is>
          <t>Iowa</t>
        </is>
      </c>
      <c r="B264" s="4" t="inlineStr">
        <is>
          <t>News</t>
        </is>
      </c>
      <c r="C264" s="4" t="inlineStr">
        <is>
          <t>kmaland.com</t>
        </is>
      </c>
      <c r="D264" s="15" t="inlineStr">
        <is>
          <t>Governor signs Iowa property tax limitation into law</t>
        </is>
      </c>
      <c r="E264" s="4" t="inlineStr">
        <is>
          <t>2026-05-19</t>
        </is>
      </c>
      <c r="F264" s="4" t="n"/>
      <c r="G264" s="4" t="inlineStr">
        <is>
          <t>https://www.kmaland.com/news/governor-signs-iowa-property-tax-limitation-into-law/article_6dd323c4-87fe-4a0e-9754-ba8efdb8b750.html</t>
        </is>
      </c>
    </row>
    <row r="265" ht="34" customHeight="1">
      <c r="A265" s="13" t="inlineStr">
        <is>
          <t>Iowa</t>
        </is>
      </c>
      <c r="B265" s="4" t="inlineStr">
        <is>
          <t>News</t>
        </is>
      </c>
      <c r="C265" s="4" t="inlineStr">
        <is>
          <t>iowacapitaldispatch.com</t>
        </is>
      </c>
      <c r="D265" s="15" t="inlineStr">
        <is>
          <t>gov-kim-reynolds-signs-property-tax-law-projected-to-save-4-2-billion-over-6-years</t>
        </is>
      </c>
      <c r="E265" s="4" t="n"/>
      <c r="F265" s="4" t="n"/>
      <c r="G265" s="4" t="inlineStr">
        <is>
          <t>https://iowacapitaldispatch.com/2026/05/18/gov-kim-reynolds-signs-property-tax-law-projected-to-save-4-2-billion-over-6-years/</t>
        </is>
      </c>
    </row>
    <row r="266" ht="30" customHeight="1">
      <c r="A266" s="13" t="inlineStr">
        <is>
          <t>Iowa</t>
        </is>
      </c>
      <c r="B266" s="4" t="inlineStr">
        <is>
          <t>Research &amp; associations</t>
        </is>
      </c>
      <c r="C266" s="4" t="inlineStr">
        <is>
          <t>iowaleague.org</t>
        </is>
      </c>
      <c r="D266" s="15" t="inlineStr">
        <is>
          <t>HF 718 with updates from 2024 passage of SF 2442</t>
        </is>
      </c>
      <c r="E266" s="4" t="inlineStr">
        <is>
          <t>2023-05-12</t>
        </is>
      </c>
      <c r="F266" s="4" t="n"/>
      <c r="G266" s="4" t="inlineStr">
        <is>
          <t>https://iowaleague.org/resource/hf-718/</t>
        </is>
      </c>
    </row>
    <row r="267" ht="30" customHeight="1">
      <c r="A267" s="13" t="inlineStr">
        <is>
          <t>Iowa</t>
        </is>
      </c>
      <c r="B267" s="4" t="inlineStr">
        <is>
          <t>Constitution &amp; statutes</t>
        </is>
      </c>
      <c r="C267" s="4" t="inlineStr">
        <is>
          <t>legis.iowa.gov</t>
        </is>
      </c>
      <c r="D267" s="15" t="inlineStr">
        <is>
          <t>LOCAL BUDGETS, §24.2A 24.2A Budget statements to owners and taxpayers.</t>
        </is>
      </c>
      <c r="E267" s="4" t="inlineStr">
        <is>
          <t>2025</t>
        </is>
      </c>
      <c r="F267" s="4" t="n"/>
      <c r="G267" s="4" t="inlineStr">
        <is>
          <t>https://www.legis.iowa.gov/docs/code/2026/24.2A.pdf</t>
        </is>
      </c>
    </row>
    <row r="268" ht="30" customHeight="1">
      <c r="A268" s="13" t="inlineStr">
        <is>
          <t>Iowa</t>
        </is>
      </c>
      <c r="B268" s="4" t="inlineStr">
        <is>
          <t>Constitution &amp; statutes</t>
        </is>
      </c>
      <c r="C268" s="4" t="inlineStr">
        <is>
          <t>legis.iowa.gov</t>
        </is>
      </c>
      <c r="D268" s="15" t="inlineStr">
        <is>
          <t>CITY FINANCE, §384.15A 384.15A Resolution establishing maximum</t>
        </is>
      </c>
      <c r="E268" s="4" t="inlineStr">
        <is>
          <t>2025</t>
        </is>
      </c>
      <c r="F268" s="4" t="n"/>
      <c r="G268" s="4" t="inlineStr">
        <is>
          <t>https://www.legis.iowa.gov/docs/code/2026/384.15A.pdf</t>
        </is>
      </c>
    </row>
    <row r="269" ht="30" customHeight="1">
      <c r="A269" s="13" t="inlineStr">
        <is>
          <t>Iowa</t>
        </is>
      </c>
      <c r="B269" s="4" t="inlineStr">
        <is>
          <t>Constitution &amp; statutes</t>
        </is>
      </c>
      <c r="C269" s="4" t="inlineStr">
        <is>
          <t>legis.iowa.gov</t>
        </is>
      </c>
      <c r="D269" s="15" t="inlineStr">
        <is>
          <t>AUTHORIZATION AND SALE OF PUBLIC BONDS, §75.1 75.1 Bonds — election</t>
        </is>
      </c>
      <c r="E269" s="4" t="inlineStr">
        <is>
          <t>2025</t>
        </is>
      </c>
      <c r="F269" s="4" t="n"/>
      <c r="G269" s="4" t="inlineStr">
        <is>
          <t>https://www.legis.iowa.gov/docs/code/2026/75.1.pdf</t>
        </is>
      </c>
    </row>
    <row r="270" ht="34" customHeight="1">
      <c r="A270" s="13" t="inlineStr">
        <is>
          <t>Iowa</t>
        </is>
      </c>
      <c r="B270" s="4" t="inlineStr">
        <is>
          <t>Constitution &amp; statutes</t>
        </is>
      </c>
      <c r="C270" s="4" t="inlineStr">
        <is>
          <t>legis.iowa.gov</t>
        </is>
      </c>
      <c r="D270" s="15" t="inlineStr">
        <is>
          <t>ELECTIONS, ELECTORS, APPOINTMENTS, TERMS, AND OFFICERS, §39.2 39.2 Special elections.</t>
        </is>
      </c>
      <c r="E270" s="4" t="inlineStr">
        <is>
          <t>2025</t>
        </is>
      </c>
      <c r="F270" s="4" t="n"/>
      <c r="G270" s="4" t="inlineStr">
        <is>
          <t>https://www.legis.iowa.gov/docs/code/2026/39.2.pdf</t>
        </is>
      </c>
    </row>
    <row r="271" ht="30" customHeight="1">
      <c r="A271" s="13" t="inlineStr">
        <is>
          <t>Iowa</t>
        </is>
      </c>
      <c r="B271" s="4" t="inlineStr">
        <is>
          <t>Constitution &amp; statutes</t>
        </is>
      </c>
      <c r="C271" s="4" t="inlineStr">
        <is>
          <t>legis.iowa.gov</t>
        </is>
      </c>
      <c r="D271" s="15" t="inlineStr">
        <is>
          <t>POWERS AND DUTIES OF CITIES, §364.2 364.2 Vesting of power</t>
        </is>
      </c>
      <c r="E271" s="4" t="inlineStr">
        <is>
          <t>2025</t>
        </is>
      </c>
      <c r="F271" s="4" t="n"/>
      <c r="G271" s="4" t="inlineStr">
        <is>
          <t>https://www.legis.iowa.gov/docs/code/2026/364.2.pdf</t>
        </is>
      </c>
    </row>
    <row r="272" ht="30" customHeight="1">
      <c r="A272" s="13" t="inlineStr">
        <is>
          <t>Iowa</t>
        </is>
      </c>
      <c r="B272" s="4" t="inlineStr">
        <is>
          <t>Constitution &amp; statutes</t>
        </is>
      </c>
      <c r="C272" s="4" t="inlineStr">
        <is>
          <t>legis.iowa.gov</t>
        </is>
      </c>
      <c r="D272" s="15" t="inlineStr">
        <is>
          <t>ASSESSMENT AND VALUATION OF PROPERTY</t>
        </is>
      </c>
      <c r="E272" s="4" t="n"/>
      <c r="F272" s="4" t="n"/>
      <c r="G272" s="4" t="inlineStr">
        <is>
          <t>https://www.legis.iowa.gov/docs/code/2024/441.html</t>
        </is>
      </c>
    </row>
    <row r="273" ht="30" customHeight="1">
      <c r="A273" s="13" t="inlineStr">
        <is>
          <t>Iowa</t>
        </is>
      </c>
      <c r="B273" s="4" t="inlineStr">
        <is>
          <t>Research &amp; associations</t>
        </is>
      </c>
      <c r="C273" s="4" t="inlineStr">
        <is>
          <t>apps.lincolninst.edu</t>
        </is>
      </c>
      <c r="D273" s="15" t="inlineStr">
        <is>
          <t>rate-limits-2022-4.xlsx</t>
        </is>
      </c>
      <c r="E273" s="4" t="n"/>
      <c r="F273" s="4" t="inlineStr">
        <is>
          <t>AL, FL, ID, KS, KY, LA, MA, MI, MO, NM, NV, SC, SD, UT, WA, WV, WY</t>
        </is>
      </c>
      <c r="G273" s="4" t="inlineStr">
        <is>
          <t>https://apps.lincolninst.edu/uploads/summary-tables/rate-limits-summary-tables/rate-limits-2022-4.xlsx</t>
        </is>
      </c>
    </row>
    <row r="274" ht="30" customHeight="1">
      <c r="A274" s="13" t="inlineStr">
        <is>
          <t>Iowa</t>
        </is>
      </c>
      <c r="B274" s="4" t="inlineStr">
        <is>
          <t>Research &amp; associations</t>
        </is>
      </c>
      <c r="C274" s="4" t="inlineStr">
        <is>
          <t>lincolninst.edu</t>
        </is>
      </c>
      <c r="D274" s="15" t="inlineStr">
        <is>
          <t>truth in taxation 2024.xlsx</t>
        </is>
      </c>
      <c r="E274" s="4" t="n"/>
      <c r="F274" s="4" t="inlineStr">
        <is>
          <t>DE, GA, IL, KY, MD, MI, MN, MO, NC, ND, NE, NM, NV, NY, OH, OK, OR, PA, RI, TN, TX, UT, VA, VT, WV, WY</t>
        </is>
      </c>
      <c r="G274" s="4" t="inlineStr">
        <is>
          <t>https://www.lincolninst.edu/app/uploads/2024/10/truth_in_taxation_2024.xlsx</t>
        </is>
      </c>
    </row>
    <row r="275" ht="30" customHeight="1">
      <c r="A275" s="13" t="inlineStr">
        <is>
          <t>Iowa</t>
        </is>
      </c>
      <c r="B275" s="4" t="inlineStr">
        <is>
          <t>Federal government &amp; data</t>
        </is>
      </c>
      <c r="C275" s="4" t="inlineStr">
        <is>
          <t>www2.census.gov</t>
        </is>
      </c>
      <c r="D275" s="15" t="inlineStr">
        <is>
          <t>22slsstab1.xlsx</t>
        </is>
      </c>
      <c r="E275" s="4" t="n"/>
      <c r="F275" s="4" t="inlineStr">
        <is>
          <t>AL, AR, KS, KY, LA, MA, MD, ME, MI, MN, MO, MS, MT, NC, ND, NE, NH, NJ, NM, NV, NY, OH, OK, OR, PA, RI, SC, SD, TN, TX, UT, VA, VT, WA, WI, WV, WY</t>
        </is>
      </c>
      <c r="G275" s="4" t="inlineStr">
        <is>
          <t>https://www2.census.gov/programs-surveys/gov-finances/tables/2022/22slsstab1.xlsx</t>
        </is>
      </c>
    </row>
    <row r="276" ht="34" customHeight="1">
      <c r="A276" s="13" t="inlineStr">
        <is>
          <t>Iowa</t>
        </is>
      </c>
      <c r="B276" s="4" t="inlineStr">
        <is>
          <t>Constitution &amp; statutes</t>
        </is>
      </c>
      <c r="C276" s="4" t="inlineStr">
        <is>
          <t>legis.iowa.gov</t>
        </is>
      </c>
      <c r="D276" s="15" t="inlineStr">
        <is>
          <t>ASSESSMENT AND VALUATION OF PROPERTY, §441.21 441.21 Actual, assessed, and taxable value.</t>
        </is>
      </c>
      <c r="E276" s="4" t="inlineStr">
        <is>
          <t>2025</t>
        </is>
      </c>
      <c r="F276" s="4" t="n"/>
      <c r="G276" s="4" t="inlineStr">
        <is>
          <t>https://www.legis.iowa.gov/docs/code/2026/441.21.pdf</t>
        </is>
      </c>
    </row>
    <row r="277" ht="30" customHeight="1">
      <c r="A277" s="13" t="inlineStr">
        <is>
          <t>Iowa</t>
        </is>
      </c>
      <c r="B277" s="4" t="inlineStr">
        <is>
          <t>Local government</t>
        </is>
      </c>
      <c r="C277" s="4" t="inlineStr">
        <is>
          <t>councildocs.dsm.city</t>
        </is>
      </c>
      <c r="D277" s="15" t="inlineStr">
        <is>
          <t>Roll Call Number Agenda Item Number Date ........March 23,.2026.</t>
        </is>
      </c>
      <c r="E277" s="4" t="inlineStr">
        <is>
          <t>2026</t>
        </is>
      </c>
      <c r="F277" s="4" t="n"/>
      <c r="G277" s="4" t="inlineStr">
        <is>
          <t>https://councildocs.dsm.city/resolutions/20260323/3.pdf</t>
        </is>
      </c>
    </row>
    <row r="278" ht="30" customHeight="1">
      <c r="A278" s="13" t="inlineStr">
        <is>
          <t>Iowa</t>
        </is>
      </c>
      <c r="B278" s="4" t="inlineStr">
        <is>
          <t>News</t>
        </is>
      </c>
      <c r="C278" s="4" t="inlineStr">
        <is>
          <t>cbs2iowa.com</t>
        </is>
      </c>
      <c r="D278" s="15" t="inlineStr">
        <is>
          <t>Cedar Rapids releases $928 million budget for 2027</t>
        </is>
      </c>
      <c r="E278" s="4" t="inlineStr">
        <is>
          <t>2026-02-26</t>
        </is>
      </c>
      <c r="F278" s="4" t="n"/>
      <c r="G278" s="4" t="inlineStr">
        <is>
          <t>https://www.cbs2iowa.com/news/local/cedar-rapids-releases-928-million-budget-for-2027-fiscal-year-city-manager</t>
        </is>
      </c>
    </row>
    <row r="279" ht="30" customHeight="1">
      <c r="A279" s="13" t="inlineStr">
        <is>
          <t>Iowa</t>
        </is>
      </c>
      <c r="B279" s="4" t="inlineStr">
        <is>
          <t>Free-market groups &amp; GOP caucuses</t>
        </is>
      </c>
      <c r="C279" s="4" t="inlineStr">
        <is>
          <t>itrfoundation.org</t>
        </is>
      </c>
      <c r="D279" s="15" t="inlineStr">
        <is>
          <t>School Districts Blame SAVE Changes for Tax Hikes Already in the Works</t>
        </is>
      </c>
      <c r="E279" s="4" t="inlineStr">
        <is>
          <t>2026-08-31</t>
        </is>
      </c>
      <c r="F279" s="4" t="n"/>
      <c r="G279" s="4" t="inlineStr">
        <is>
          <t>https://itrfoundation.org/school-districts-blame-save-changes-for-tax-hikes-already-in-the-works/</t>
        </is>
      </c>
    </row>
    <row r="280" ht="30" customHeight="1">
      <c r="A280" s="13" t="inlineStr">
        <is>
          <t>Iowa</t>
        </is>
      </c>
      <c r="B280" s="4" t="inlineStr">
        <is>
          <t>Free-market groups &amp; GOP caucuses</t>
        </is>
      </c>
      <c r="C280" s="4" t="inlineStr">
        <is>
          <t>itrfoundation.org</t>
        </is>
      </c>
      <c r="D280" s="15" t="inlineStr">
        <is>
          <t>Taxpayers Come First as Iowa Wraps Up 2026 Legislative Session</t>
        </is>
      </c>
      <c r="E280" s="4" t="inlineStr">
        <is>
          <t>2026-05-08</t>
        </is>
      </c>
      <c r="F280" s="4" t="n"/>
      <c r="G280" s="4" t="inlineStr">
        <is>
          <t>https://itrfoundation.org/taxpayers-come-first-as-iowa-wraps-up-2026-legislative-session/</t>
        </is>
      </c>
    </row>
    <row r="281" ht="30" customHeight="1">
      <c r="A281" s="13" t="inlineStr">
        <is>
          <t>Kansas</t>
        </is>
      </c>
      <c r="B281" s="4" t="inlineStr">
        <is>
          <t>Constitution &amp; statutes</t>
        </is>
      </c>
      <c r="C281" s="4" t="inlineStr">
        <is>
          <t>ksrevisor.gov</t>
        </is>
      </c>
      <c r="D281" s="15" t="inlineStr">
        <is>
          <t>79-2988</t>
        </is>
      </c>
      <c r="E281" s="4" t="n"/>
      <c r="F281" s="4" t="n"/>
      <c r="G281" s="4" t="inlineStr">
        <is>
          <t>https://www.ksrevisor.gov/statutes/chapters/ch79/079_029_0088.html</t>
        </is>
      </c>
    </row>
    <row r="282" ht="30" customHeight="1">
      <c r="A282" s="13" t="inlineStr">
        <is>
          <t>Kansas</t>
        </is>
      </c>
      <c r="B282" s="4" t="inlineStr">
        <is>
          <t>Constitution &amp; statutes</t>
        </is>
      </c>
      <c r="C282" s="4" t="inlineStr">
        <is>
          <t>ksrevisor.gov</t>
        </is>
      </c>
      <c r="D282" s="15" t="inlineStr">
        <is>
          <t>72-5142</t>
        </is>
      </c>
      <c r="E282" s="4" t="n"/>
      <c r="F282" s="4" t="n"/>
      <c r="G282" s="4" t="inlineStr">
        <is>
          <t>https://www.ksrevisor.gov/statutes/chapters/ch72/072_051_0042.html</t>
        </is>
      </c>
    </row>
    <row r="283" ht="30" customHeight="1">
      <c r="A283" s="13" t="inlineStr">
        <is>
          <t>Kansas</t>
        </is>
      </c>
      <c r="B283" s="4" t="inlineStr">
        <is>
          <t>Constitution &amp; statutes</t>
        </is>
      </c>
      <c r="C283" s="4" t="inlineStr">
        <is>
          <t>ksrevisor.gov</t>
        </is>
      </c>
      <c r="D283" s="15" t="inlineStr">
        <is>
          <t>79-201x</t>
        </is>
      </c>
      <c r="E283" s="4" t="n"/>
      <c r="F283" s="4" t="n"/>
      <c r="G283" s="4" t="inlineStr">
        <is>
          <t>https://www.ksrevisor.gov/statutes/chapters/ch79/079_002_0001x.html</t>
        </is>
      </c>
    </row>
    <row r="284" ht="30" customHeight="1">
      <c r="A284" s="13" t="inlineStr">
        <is>
          <t>Kansas</t>
        </is>
      </c>
      <c r="B284" s="4" t="inlineStr">
        <is>
          <t>Constitution &amp; statutes</t>
        </is>
      </c>
      <c r="C284" s="4" t="inlineStr">
        <is>
          <t>ksrevisor.gov</t>
        </is>
      </c>
      <c r="D284" s="15" t="inlineStr">
        <is>
          <t>76-6b01</t>
        </is>
      </c>
      <c r="E284" s="4" t="n"/>
      <c r="F284" s="4" t="n"/>
      <c r="G284" s="4" t="inlineStr">
        <is>
          <t>https://www.ksrevisor.gov/statutes/chapters/ch76/076_006b_0001.html</t>
        </is>
      </c>
    </row>
    <row r="285" ht="30" customHeight="1">
      <c r="A285" s="13" t="inlineStr">
        <is>
          <t>Kansas</t>
        </is>
      </c>
      <c r="B285" s="4" t="inlineStr">
        <is>
          <t>Constitution &amp; statutes</t>
        </is>
      </c>
      <c r="C285" s="4" t="inlineStr">
        <is>
          <t>ksrevisor.gov</t>
        </is>
      </c>
      <c r="D285" s="15" t="inlineStr">
        <is>
          <t>76-6b04</t>
        </is>
      </c>
      <c r="E285" s="4" t="n"/>
      <c r="F285" s="4" t="n"/>
      <c r="G285" s="4" t="inlineStr">
        <is>
          <t>https://www.ksrevisor.gov/statutes/chapters/ch76/076_006b_0004.html</t>
        </is>
      </c>
    </row>
    <row r="286" ht="30" customHeight="1">
      <c r="A286" s="13" t="inlineStr">
        <is>
          <t>Kansas</t>
        </is>
      </c>
      <c r="B286" s="4" t="inlineStr">
        <is>
          <t>State government</t>
        </is>
      </c>
      <c r="C286" s="4" t="inlineStr">
        <is>
          <t>ksrevenue.gov</t>
        </is>
      </c>
      <c r="D286" s="15" t="inlineStr">
        <is>
          <t>Kansas Department of Revenue</t>
        </is>
      </c>
      <c r="E286" s="4" t="n"/>
      <c r="F286" s="4" t="n"/>
      <c r="G286" s="4" t="inlineStr">
        <is>
          <t>https://www.ksrevenue.gov/perstaxtypeshs.html</t>
        </is>
      </c>
    </row>
    <row r="287" ht="30" customHeight="1">
      <c r="A287" s="13" t="inlineStr">
        <is>
          <t>Kansas</t>
        </is>
      </c>
      <c r="B287" s="4" t="inlineStr">
        <is>
          <t>Bills &amp; legislative documents</t>
        </is>
      </c>
      <c r="C287" s="4" t="inlineStr">
        <is>
          <t>kslegislature.gov</t>
        </is>
      </c>
      <c r="D287" s="15" t="inlineStr">
        <is>
          <t>20250317 28.pdf</t>
        </is>
      </c>
      <c r="E287" s="4" t="inlineStr">
        <is>
          <t>2025</t>
        </is>
      </c>
      <c r="F287" s="4" t="n"/>
      <c r="G287" s="4" t="inlineStr">
        <is>
          <t>https://kslegislature.gov/li/b2025_26/committees/ctte_s_assess_tax_1/documents/testimony/20250317_28.pdf</t>
        </is>
      </c>
    </row>
    <row r="288" ht="30" customHeight="1">
      <c r="A288" s="13" t="inlineStr">
        <is>
          <t>Kansas</t>
        </is>
      </c>
      <c r="B288" s="4" t="inlineStr">
        <is>
          <t>News</t>
        </is>
      </c>
      <c r="C288" s="4" t="inlineStr">
        <is>
          <t>kansasreflector.com</t>
        </is>
      </c>
      <c r="D288" s="15" t="inlineStr">
        <is>
          <t>kansas-governor-rejects-legislatures-property-tax-bill-as-a-false-promise</t>
        </is>
      </c>
      <c r="E288" s="4" t="n"/>
      <c r="F288" s="4" t="n"/>
      <c r="G288" s="4" t="inlineStr">
        <is>
          <t>https://kansasreflector.com/2026/04/28/kansas-governor-rejects-legislatures-property-tax-bill-as-a-false-promise/</t>
        </is>
      </c>
    </row>
    <row r="289" ht="34" customHeight="1">
      <c r="A289" s="13" t="inlineStr">
        <is>
          <t>Kansas</t>
        </is>
      </c>
      <c r="B289" s="4" t="inlineStr">
        <is>
          <t>News</t>
        </is>
      </c>
      <c r="C289" s="4" t="inlineStr">
        <is>
          <t>hppr.org</t>
        </is>
      </c>
      <c r="D289" s="15" t="inlineStr">
        <is>
          <t>Gov. Laura Kelly vetoes Kansas property tax relief plan as lawmakers' efforts falter again</t>
        </is>
      </c>
      <c r="E289" s="4" t="inlineStr">
        <is>
          <t>2026-04-30</t>
        </is>
      </c>
      <c r="F289" s="4" t="n"/>
      <c r="G289" s="4" t="inlineStr">
        <is>
          <t>https://www.hppr.org/hppr-news/2026-04-30/gov-laura-kelly-vetoes-kansas-property-tax-relief-plan-as-lawmakers-efforts-falter-again</t>
        </is>
      </c>
    </row>
    <row r="290" ht="34" customHeight="1">
      <c r="A290" s="13" t="inlineStr">
        <is>
          <t>Kansas</t>
        </is>
      </c>
      <c r="B290" s="4" t="inlineStr">
        <is>
          <t>News</t>
        </is>
      </c>
      <c r="C290" s="4" t="inlineStr">
        <is>
          <t>kansasreflector.com</t>
        </is>
      </c>
      <c r="D290" s="15" t="inlineStr">
        <is>
          <t>kansas-senate-falls-one-vote-short-of-approving-constitutional-amendment-on-property-taxes</t>
        </is>
      </c>
      <c r="E290" s="4" t="n"/>
      <c r="F290" s="4" t="n"/>
      <c r="G290" s="4" t="inlineStr">
        <is>
          <t>https://kansasreflector.com/2025/03/26/kansas-senate-falls-one-vote-short-of-approving-constitutional-amendment-on-property-taxes/</t>
        </is>
      </c>
    </row>
    <row r="291" ht="30" customHeight="1">
      <c r="A291" s="13" t="inlineStr">
        <is>
          <t>Kansas</t>
        </is>
      </c>
      <c r="B291" s="4" t="inlineStr">
        <is>
          <t>News</t>
        </is>
      </c>
      <c r="C291" s="4" t="inlineStr">
        <is>
          <t>kwch.com</t>
        </is>
      </c>
      <c r="D291" s="15" t="inlineStr">
        <is>
          <t>Kansas House fails to advance property tax cap amendment</t>
        </is>
      </c>
      <c r="E291" s="4" t="inlineStr">
        <is>
          <t>2026-03-13</t>
        </is>
      </c>
      <c r="F291" s="4" t="n"/>
      <c r="G291" s="4" t="inlineStr">
        <is>
          <t>https://www.kwch.com/2026/03/13/kansas-house-fails-advance-property-tax-cap-amendment/</t>
        </is>
      </c>
    </row>
    <row r="292" ht="30" customHeight="1">
      <c r="A292" s="13" t="inlineStr">
        <is>
          <t>Kansas</t>
        </is>
      </c>
      <c r="B292" s="4" t="inlineStr">
        <is>
          <t>News</t>
        </is>
      </c>
      <c r="C292" s="4" t="inlineStr">
        <is>
          <t>johnsoncountypost.com</t>
        </is>
      </c>
      <c r="D292" s="15" t="inlineStr">
        <is>
          <t>Johnson County's property tax rate is going down</t>
        </is>
      </c>
      <c r="E292" s="4" t="inlineStr">
        <is>
          <t>2023-08-25</t>
        </is>
      </c>
      <c r="F292" s="4" t="n"/>
      <c r="G292" s="4" t="inlineStr">
        <is>
          <t>https://johnsoncountypost.com/2023/08/25/johnson-county-property-tax-rate-210731/</t>
        </is>
      </c>
    </row>
    <row r="293" ht="30" customHeight="1">
      <c r="A293" s="13" t="inlineStr">
        <is>
          <t>Kansas</t>
        </is>
      </c>
      <c r="B293" s="4" t="inlineStr">
        <is>
          <t>Research &amp; associations</t>
        </is>
      </c>
      <c r="C293" s="4" t="inlineStr">
        <is>
          <t>apps.lincolninst.edu</t>
        </is>
      </c>
      <c r="D293" s="15" t="inlineStr">
        <is>
          <t>rate-limits-2022-4.xlsx</t>
        </is>
      </c>
      <c r="E293" s="4" t="n"/>
      <c r="F293" s="4" t="inlineStr">
        <is>
          <t>AL, FL, IA, ID, KY, LA, MA, MI, MO, NM, NV, SC, SD, UT, WA, WV, WY</t>
        </is>
      </c>
      <c r="G293" s="4" t="inlineStr">
        <is>
          <t>https://apps.lincolninst.edu/uploads/summary-tables/rate-limits-summary-tables/rate-limits-2022-4.xlsx</t>
        </is>
      </c>
    </row>
    <row r="294" ht="30" customHeight="1">
      <c r="A294" s="13" t="inlineStr">
        <is>
          <t>Kansas</t>
        </is>
      </c>
      <c r="B294" s="4" t="inlineStr">
        <is>
          <t>Federal government &amp; data</t>
        </is>
      </c>
      <c r="C294" s="4" t="inlineStr">
        <is>
          <t>www2.census.gov</t>
        </is>
      </c>
      <c r="D294" s="15" t="inlineStr">
        <is>
          <t>22slsstab1.xlsx</t>
        </is>
      </c>
      <c r="E294" s="4" t="n"/>
      <c r="F294" s="4" t="inlineStr">
        <is>
          <t>AL, AR, IA, KY, LA, MA, MD, ME, MI, MN, MO, MS, MT, NC, ND, NE, NH, NJ, NM, NV, NY, OH, OK, OR, PA, RI, SC, SD, TN, TX, UT, VA, VT, WA, WI, WV, WY</t>
        </is>
      </c>
      <c r="G294" s="4" t="inlineStr">
        <is>
          <t>https://www2.census.gov/programs-surveys/gov-finances/tables/2022/22slsstab1.xlsx</t>
        </is>
      </c>
    </row>
    <row r="295" ht="30" customHeight="1">
      <c r="A295" s="13" t="inlineStr">
        <is>
          <t>Kansas</t>
        </is>
      </c>
      <c r="B295" s="4" t="inlineStr">
        <is>
          <t>Free-market groups &amp; GOP caucuses</t>
        </is>
      </c>
      <c r="C295" s="4" t="inlineStr">
        <is>
          <t>taxfoundation.org</t>
        </is>
      </c>
      <c r="D295" s="15" t="inlineStr">
        <is>
          <t>2026 State and Local Sales Tax Rates</t>
        </is>
      </c>
      <c r="E295" s="4" t="inlineStr">
        <is>
          <t>2026-01-20</t>
        </is>
      </c>
      <c r="F295" s="4" t="inlineStr">
        <is>
          <t>AL, LA</t>
        </is>
      </c>
      <c r="G295" s="4" t="inlineStr">
        <is>
          <t>https://taxfoundation.org/data/all/state/sales-tax-rates/</t>
        </is>
      </c>
    </row>
    <row r="296" ht="30" customHeight="1">
      <c r="A296" s="13" t="inlineStr">
        <is>
          <t>Kansas</t>
        </is>
      </c>
      <c r="B296" s="4" t="inlineStr">
        <is>
          <t>News</t>
        </is>
      </c>
      <c r="C296" s="4" t="inlineStr">
        <is>
          <t>kctv5.com</t>
        </is>
      </c>
      <c r="D296" s="15" t="inlineStr">
        <is>
          <t>Kansas Governor vetoes property tax bill, backs alternative plan</t>
        </is>
      </c>
      <c r="E296" s="4" t="inlineStr">
        <is>
          <t>2026-04-10</t>
        </is>
      </c>
      <c r="F296" s="4" t="n"/>
      <c r="G296" s="4" t="inlineStr">
        <is>
          <t>https://www.kctv5.com/2026/04/10/kansas-governor-vetoes-property-tax-bill-backs-alternative-plan</t>
        </is>
      </c>
    </row>
    <row r="297" ht="30" customHeight="1">
      <c r="A297" s="13" t="inlineStr">
        <is>
          <t>Kansas</t>
        </is>
      </c>
      <c r="B297" s="4" t="inlineStr">
        <is>
          <t>Free-market groups &amp; GOP caucuses</t>
        </is>
      </c>
      <c r="C297" s="4" t="inlineStr">
        <is>
          <t>kansaspolicy.org</t>
        </is>
      </c>
      <c r="D297" s="15" t="inlineStr">
        <is>
          <t>Examining the issues and options for property tax relief in Kansas</t>
        </is>
      </c>
      <c r="E297" s="4" t="inlineStr">
        <is>
          <t>2026-09-01</t>
        </is>
      </c>
      <c r="F297" s="4" t="n"/>
      <c r="G297" s="4" t="inlineStr">
        <is>
          <t>https://kansaspolicy.org/examining-issues-options-property-tax-relief/</t>
        </is>
      </c>
    </row>
    <row r="298" ht="30" customHeight="1">
      <c r="A298" s="13" t="inlineStr">
        <is>
          <t>Kansas</t>
        </is>
      </c>
      <c r="B298" s="4" t="inlineStr">
        <is>
          <t>Free-market groups &amp; GOP caucuses</t>
        </is>
      </c>
      <c r="C298" s="4" t="inlineStr">
        <is>
          <t>kansaspolicy.org</t>
        </is>
      </c>
      <c r="D298" s="15" t="inlineStr">
        <is>
          <t>National group praises Kansas revenue-neutral system, says more must be done</t>
        </is>
      </c>
      <c r="E298" s="4" t="inlineStr">
        <is>
          <t>2026-02-25</t>
        </is>
      </c>
      <c r="F298" s="4" t="n"/>
      <c r="G298" s="4" t="inlineStr">
        <is>
          <t>https://kansaspolicy.org/alec-praises-revenue-neutral-says-more-is-needed/</t>
        </is>
      </c>
    </row>
    <row r="299" ht="30" customHeight="1">
      <c r="A299" s="13" t="inlineStr">
        <is>
          <t>Kansas</t>
        </is>
      </c>
      <c r="B299" s="4" t="inlineStr">
        <is>
          <t>News</t>
        </is>
      </c>
      <c r="C299" s="4" t="inlineStr">
        <is>
          <t>johnsoncountypost.com</t>
        </is>
      </c>
      <c r="D299" s="15" t="inlineStr">
        <is>
          <t>Johnson County passes $1.9B budget</t>
        </is>
      </c>
      <c r="E299" s="4" t="inlineStr">
        <is>
          <t>2026-09-04</t>
        </is>
      </c>
      <c r="F299" s="4" t="n"/>
      <c r="G299" s="4" t="inlineStr">
        <is>
          <t>https://johnsoncountypost.com/2026/09/04/johnson-county-2027-budget-295606/</t>
        </is>
      </c>
    </row>
    <row r="300" ht="34" customHeight="1">
      <c r="A300" s="13" t="inlineStr">
        <is>
          <t>Kansas</t>
        </is>
      </c>
      <c r="B300" s="4" t="inlineStr">
        <is>
          <t>News</t>
        </is>
      </c>
      <c r="C300" s="4" t="inlineStr">
        <is>
          <t>kwch.com</t>
        </is>
      </c>
      <c r="D300" s="15" t="inlineStr">
        <is>
          <t>Sedgwick County’s budget approval includes lowered mill levy, additional EMS resources</t>
        </is>
      </c>
      <c r="E300" s="4" t="inlineStr">
        <is>
          <t>2026-08-26</t>
        </is>
      </c>
      <c r="F300" s="4" t="n"/>
      <c r="G300" s="4" t="inlineStr">
        <is>
          <t>https://www.kwch.com/2026/08/26/sedgwick-countys-budget-approval-includes-lowered-mill-levy-additional-ems-resources/</t>
        </is>
      </c>
    </row>
    <row r="301" ht="30" customHeight="1">
      <c r="A301" s="13" t="inlineStr">
        <is>
          <t>Kansas</t>
        </is>
      </c>
      <c r="B301" s="4" t="inlineStr">
        <is>
          <t>News</t>
        </is>
      </c>
      <c r="C301" s="4" t="inlineStr">
        <is>
          <t>digital-release.ksn.com</t>
        </is>
      </c>
      <c r="D301" s="15" t="inlineStr">
        <is>
          <t>No property tax relief for most with new Wichita budget</t>
        </is>
      </c>
      <c r="E301" s="4" t="inlineStr">
        <is>
          <t>2023-08-23</t>
        </is>
      </c>
      <c r="F301" s="4" t="n"/>
      <c r="G301" s="4" t="inlineStr">
        <is>
          <t>https://digital-release.ksn.com/news/local/no-property-tax-relief-for-most-with-new-wichita-budget</t>
        </is>
      </c>
    </row>
    <row r="302" ht="30" customHeight="1">
      <c r="A302" s="13" t="inlineStr">
        <is>
          <t>Kansas</t>
        </is>
      </c>
      <c r="B302" s="4" t="inlineStr">
        <is>
          <t>News</t>
        </is>
      </c>
      <c r="C302" s="4" t="inlineStr">
        <is>
          <t>hoodline.com</t>
        </is>
      </c>
      <c r="D302" s="15" t="inlineStr">
        <is>
          <t>KCK Could See Up To $11M More In Property Taxes</t>
        </is>
      </c>
      <c r="E302" s="4" t="inlineStr">
        <is>
          <t>2026-07-21</t>
        </is>
      </c>
      <c r="F302" s="4" t="n"/>
      <c r="G302" s="4" t="inlineStr">
        <is>
          <t>https://hoodline.com/2026/07/kck-pols-crack-open-door-to-11-million-property-tax-hit/</t>
        </is>
      </c>
    </row>
    <row r="303" ht="30" customHeight="1">
      <c r="A303" s="13" t="inlineStr">
        <is>
          <t>Kansas</t>
        </is>
      </c>
      <c r="B303" s="4" t="inlineStr">
        <is>
          <t>News</t>
        </is>
      </c>
      <c r="C303" s="4" t="inlineStr">
        <is>
          <t>kctv5.com</t>
        </is>
      </c>
      <c r="D303" s="15" t="inlineStr">
        <is>
          <t>Wyandotte County, KCK approve the possibility of a 2027 property tax rate hike</t>
        </is>
      </c>
      <c r="E303" s="4" t="inlineStr">
        <is>
          <t>2026-08-25</t>
        </is>
      </c>
      <c r="F303" s="4" t="n"/>
      <c r="G303" s="4" t="inlineStr">
        <is>
          <t>https://www.kctv5.com/2026/08/25/wyandotte-county-kansas-city-kansas-approve-possibility-property-tax-rate-hike-2027/</t>
        </is>
      </c>
    </row>
    <row r="304" ht="34" customHeight="1">
      <c r="A304" s="13" t="inlineStr">
        <is>
          <t>Kansas</t>
        </is>
      </c>
      <c r="B304" s="4" t="inlineStr">
        <is>
          <t>News</t>
        </is>
      </c>
      <c r="C304" s="4" t="inlineStr">
        <is>
          <t>ksnt.com</t>
        </is>
      </c>
      <c r="D304" s="15" t="inlineStr">
        <is>
          <t>Could Kansas lawmakers call a special session to reverse property tax relief failures?</t>
        </is>
      </c>
      <c r="E304" s="4" t="inlineStr">
        <is>
          <t>2026-04-29</t>
        </is>
      </c>
      <c r="F304" s="4" t="n"/>
      <c r="G304" s="4" t="inlineStr">
        <is>
          <t>https://www.ksnt.com/capitol-bureau/could-kansas-lawmakers-call-a-special-session-to-reverse-property-tax-relief-failures/amp/</t>
        </is>
      </c>
    </row>
    <row r="305" ht="30" customHeight="1">
      <c r="A305" s="13" t="inlineStr">
        <is>
          <t>Kansas</t>
        </is>
      </c>
      <c r="B305" s="4" t="inlineStr">
        <is>
          <t>Research &amp; associations</t>
        </is>
      </c>
      <c r="C305" s="4" t="inlineStr">
        <is>
          <t>kla.org</t>
        </is>
      </c>
      <c r="D305" s="15" t="inlineStr">
        <is>
          <t>Kansas Legislature Wraps Up 2026 Session</t>
        </is>
      </c>
      <c r="E305" s="4" t="inlineStr">
        <is>
          <t>2026-04-16</t>
        </is>
      </c>
      <c r="F305" s="4" t="n"/>
      <c r="G305" s="4" t="inlineStr">
        <is>
          <t>https://www.kla.org/news-center/news-releases/news/details/47721/kansas-legislature-wraps-up-2026-session</t>
        </is>
      </c>
    </row>
    <row r="306" ht="30" customHeight="1">
      <c r="A306" s="13" t="inlineStr">
        <is>
          <t>Kansas</t>
        </is>
      </c>
      <c r="B306" s="4" t="inlineStr">
        <is>
          <t>News</t>
        </is>
      </c>
      <c r="C306" s="4" t="inlineStr">
        <is>
          <t>lawrencekstimes.com</t>
        </is>
      </c>
      <c r="D306" s="15" t="inlineStr">
        <is>
          <t>Kansas governor rejects Legislature’s property tax bill as a ‘false promise’</t>
        </is>
      </c>
      <c r="E306" s="4" t="n"/>
      <c r="F306" s="4" t="n"/>
      <c r="G306" s="4" t="inlineStr">
        <is>
          <t>https://lawrencekstimes.com/2026/04/29/kelly-vetoes-property-tax-bill/</t>
        </is>
      </c>
    </row>
    <row r="307" ht="30" customHeight="1">
      <c r="A307" s="13" t="inlineStr">
        <is>
          <t>Kansas</t>
        </is>
      </c>
      <c r="B307" s="4" t="inlineStr">
        <is>
          <t>News</t>
        </is>
      </c>
      <c r="C307" s="4" t="inlineStr">
        <is>
          <t>wibw.com</t>
        </is>
      </c>
      <c r="D307" s="15" t="inlineStr">
        <is>
          <t>Gov. Kelly vetoes property tax protest bill, Kansas House Speaker responds</t>
        </is>
      </c>
      <c r="E307" s="4" t="inlineStr">
        <is>
          <t>2026-04-27</t>
        </is>
      </c>
      <c r="F307" s="4" t="n"/>
      <c r="G307" s="4" t="inlineStr">
        <is>
          <t>https://www.wibw.com/2026/04/27/gov-kelly-vetoes-property-tax-protest-bill-kansas-house-speaker-responds/</t>
        </is>
      </c>
    </row>
    <row r="308" ht="34" customHeight="1">
      <c r="A308" s="13" t="inlineStr">
        <is>
          <t>Kansas</t>
        </is>
      </c>
      <c r="B308" s="4" t="inlineStr">
        <is>
          <t>Free-market groups &amp; GOP caucuses</t>
        </is>
      </c>
      <c r="C308" s="4" t="inlineStr">
        <is>
          <t>americansforprosperity.org</t>
        </is>
      </c>
      <c r="D308" s="15" t="inlineStr">
        <is>
          <t>Americans for Prosperity-Kansas Issues Statement on School Bond Property Tax Vote</t>
        </is>
      </c>
      <c r="E308" s="4" t="inlineStr">
        <is>
          <t>2025-02-26</t>
        </is>
      </c>
      <c r="F308" s="4" t="n"/>
      <c r="G308" s="4" t="inlineStr">
        <is>
          <t>https://americansforprosperity.org/press-release/americans-for-prosperity-kansas-issues-statement-on-school-bond-property-tax-vote/</t>
        </is>
      </c>
    </row>
    <row r="309" ht="34" customHeight="1">
      <c r="A309" s="13" t="inlineStr">
        <is>
          <t>Kentucky</t>
        </is>
      </c>
      <c r="B309" s="4" t="inlineStr">
        <is>
          <t>Constitution &amp; statutes</t>
        </is>
      </c>
      <c r="C309" s="4" t="inlineStr">
        <is>
          <t>apps.legislature.ky.gov</t>
        </is>
      </c>
      <c r="D309" s="15" t="inlineStr">
        <is>
          <t>160.470 Tax rate limits -- Hearing -- Levy exceeding four percent increase subject to recall vote or reconsideration -- Levy of minimum equivalent tax rate.</t>
        </is>
      </c>
      <c r="E309" s="4" t="inlineStr">
        <is>
          <t>2026</t>
        </is>
      </c>
      <c r="F309" s="4" t="n"/>
      <c r="G309" s="4" t="inlineStr">
        <is>
          <t>https://apps.legislature.ky.gov/law/Statutes/statute.aspx?id=57653</t>
        </is>
      </c>
    </row>
    <row r="310" ht="30" customHeight="1">
      <c r="A310" s="13" t="inlineStr">
        <is>
          <t>Kentucky</t>
        </is>
      </c>
      <c r="B310" s="4" t="inlineStr">
        <is>
          <t>Courts &amp; legal codes</t>
        </is>
      </c>
      <c r="C310" s="4" t="inlineStr">
        <is>
          <t>law.justia.com</t>
        </is>
      </c>
      <c r="D310" s="15" t="inlineStr">
        <is>
          <t>section-132-017</t>
        </is>
      </c>
      <c r="E310" s="4" t="n"/>
      <c r="F310" s="4" t="n"/>
      <c r="G310" s="4" t="inlineStr">
        <is>
          <t>https://law.justia.com/codes/kentucky/chapter-132/section-132-017/</t>
        </is>
      </c>
    </row>
    <row r="311" ht="30" customHeight="1">
      <c r="A311" s="13" t="inlineStr">
        <is>
          <t>Kentucky</t>
        </is>
      </c>
      <c r="B311" s="4" t="inlineStr">
        <is>
          <t>State government</t>
        </is>
      </c>
      <c r="C311" s="4" t="inlineStr">
        <is>
          <t>revenue.ky.gov</t>
        </is>
      </c>
      <c r="D311" s="15" t="inlineStr">
        <is>
          <t>2025 State Real Property Tax Rate Drops to 10.6 cents</t>
        </is>
      </c>
      <c r="E311" s="4" t="n"/>
      <c r="F311" s="4" t="n"/>
      <c r="G311" s="4" t="inlineStr">
        <is>
          <t>https://revenue.ky.gov/Property/Pages/2025-State-Real-Property-Tax-Rate-Drops-to-10.6-cents.aspx</t>
        </is>
      </c>
    </row>
    <row r="312" ht="30" customHeight="1">
      <c r="A312" s="13" t="inlineStr">
        <is>
          <t>Kentucky</t>
        </is>
      </c>
      <c r="B312" s="4" t="inlineStr">
        <is>
          <t>News</t>
        </is>
      </c>
      <c r="C312" s="4" t="inlineStr">
        <is>
          <t>wbko.com</t>
        </is>
      </c>
      <c r="D312" s="15" t="inlineStr">
        <is>
          <t>State real property tax rate drops for 6th consecutive year</t>
        </is>
      </c>
      <c r="E312" s="4" t="inlineStr">
        <is>
          <t>2026-07-16</t>
        </is>
      </c>
      <c r="F312" s="4" t="n"/>
      <c r="G312" s="4" t="inlineStr">
        <is>
          <t>https://www.wbko.com/2026/07/16/state-real-property-tax-rate-drops-6th-consecutive-year/</t>
        </is>
      </c>
    </row>
    <row r="313" ht="30" customHeight="1">
      <c r="A313" s="13" t="inlineStr">
        <is>
          <t>Kentucky</t>
        </is>
      </c>
      <c r="B313" s="4" t="inlineStr">
        <is>
          <t>State government</t>
        </is>
      </c>
      <c r="C313" s="4" t="inlineStr">
        <is>
          <t>revenue.ky.gov</t>
        </is>
      </c>
      <c r="D313" s="15" t="inlineStr">
        <is>
          <t>DOR Sets 2025-2026 Homestead Exemption</t>
        </is>
      </c>
      <c r="E313" s="4" t="n"/>
      <c r="F313" s="4" t="n"/>
      <c r="G313" s="4" t="inlineStr">
        <is>
          <t>https://revenue.ky.gov/News/Pages/DOR-Sets-2025-2026-Homestead-Exemption.aspx</t>
        </is>
      </c>
    </row>
    <row r="314" ht="30" customHeight="1">
      <c r="A314" s="13" t="inlineStr">
        <is>
          <t>Kentucky</t>
        </is>
      </c>
      <c r="B314" s="4" t="inlineStr">
        <is>
          <t>Bills &amp; legislative documents</t>
        </is>
      </c>
      <c r="C314" s="4" t="inlineStr">
        <is>
          <t>apps.legislature.ky.gov</t>
        </is>
      </c>
      <c r="D314" s="15" t="inlineStr">
        <is>
          <t>26RS SB 41</t>
        </is>
      </c>
      <c r="E314" s="4" t="n"/>
      <c r="F314" s="4" t="n"/>
      <c r="G314" s="4" t="inlineStr">
        <is>
          <t>https://apps.legislature.ky.gov/record/26rs/sb41.html</t>
        </is>
      </c>
    </row>
    <row r="315" ht="30" customHeight="1">
      <c r="A315" s="13" t="inlineStr">
        <is>
          <t>Kentucky</t>
        </is>
      </c>
      <c r="B315" s="4" t="inlineStr">
        <is>
          <t>Bills &amp; legislative documents</t>
        </is>
      </c>
      <c r="C315" s="4" t="inlineStr">
        <is>
          <t>apps.legislature.ky.gov</t>
        </is>
      </c>
      <c r="D315" s="15" t="inlineStr">
        <is>
          <t>Commonwealth of Kentucky</t>
        </is>
      </c>
      <c r="E315" s="4" t="inlineStr">
        <is>
          <t>2026</t>
        </is>
      </c>
      <c r="F315" s="4" t="n"/>
      <c r="G315" s="4" t="inlineStr">
        <is>
          <t>https://apps.legislature.ky.gov/recorddocuments/note/26RS/sb41/LM.pdf</t>
        </is>
      </c>
    </row>
    <row r="316" ht="30" customHeight="1">
      <c r="A316" s="13" t="inlineStr">
        <is>
          <t>Kentucky</t>
        </is>
      </c>
      <c r="B316" s="4" t="inlineStr">
        <is>
          <t>Bills &amp; legislative documents</t>
        </is>
      </c>
      <c r="C316" s="4" t="inlineStr">
        <is>
          <t>apps.legislature.ky.gov</t>
        </is>
      </c>
      <c r="D316" s="15" t="inlineStr">
        <is>
          <t>COMMONWEALTH OF KENTUCKY FISCAL NOTE STATEMENT LEGISLATIVE RESEARCH COMMISSION</t>
        </is>
      </c>
      <c r="E316" s="4" t="inlineStr">
        <is>
          <t>2026</t>
        </is>
      </c>
      <c r="F316" s="4" t="n"/>
      <c r="G316" s="4" t="inlineStr">
        <is>
          <t>https://apps.legislature.ky.gov/recorddocuments/note/26RS/sb51/FN.pdf</t>
        </is>
      </c>
    </row>
    <row r="317" ht="30" customHeight="1">
      <c r="A317" s="13" t="inlineStr">
        <is>
          <t>Kentucky</t>
        </is>
      </c>
      <c r="B317" s="4" t="inlineStr">
        <is>
          <t>Research &amp; associations</t>
        </is>
      </c>
      <c r="C317" s="4" t="inlineStr">
        <is>
          <t>apps.lincolninst.edu</t>
        </is>
      </c>
      <c r="D317" s="15" t="inlineStr">
        <is>
          <t>rate-limits-2022-4.xlsx</t>
        </is>
      </c>
      <c r="E317" s="4" t="n"/>
      <c r="F317" s="4" t="inlineStr">
        <is>
          <t>AL, FL, IA, ID, KS, LA, MA, MI, MO, NM, NV, SC, SD, UT, WA, WV, WY</t>
        </is>
      </c>
      <c r="G317" s="4" t="inlineStr">
        <is>
          <t>https://apps.lincolninst.edu/uploads/summary-tables/rate-limits-summary-tables/rate-limits-2022-4.xlsx</t>
        </is>
      </c>
    </row>
    <row r="318" ht="30" customHeight="1">
      <c r="A318" s="13" t="inlineStr">
        <is>
          <t>Kentucky</t>
        </is>
      </c>
      <c r="B318" s="4" t="inlineStr">
        <is>
          <t>Research &amp; associations</t>
        </is>
      </c>
      <c r="C318" s="4" t="inlineStr">
        <is>
          <t>lincolninst.edu</t>
        </is>
      </c>
      <c r="D318" s="15" t="inlineStr">
        <is>
          <t>truth in taxation 2024.xlsx</t>
        </is>
      </c>
      <c r="E318" s="4" t="n"/>
      <c r="F318" s="4" t="inlineStr">
        <is>
          <t>DE, GA, IA, IL, MD, MI, MN, MO, NC, ND, NE, NM, NV, NY, OH, OK, OR, PA, RI, TN, TX, UT, VA, VT, WV, WY</t>
        </is>
      </c>
      <c r="G318" s="4" t="inlineStr">
        <is>
          <t>https://www.lincolninst.edu/app/uploads/2024/10/truth_in_taxation_2024.xlsx</t>
        </is>
      </c>
    </row>
    <row r="319" ht="30" customHeight="1">
      <c r="A319" s="13" t="inlineStr">
        <is>
          <t>Kentucky</t>
        </is>
      </c>
      <c r="B319" s="4" t="inlineStr">
        <is>
          <t>Federal government &amp; data</t>
        </is>
      </c>
      <c r="C319" s="4" t="inlineStr">
        <is>
          <t>www2.census.gov</t>
        </is>
      </c>
      <c r="D319" s="15" t="inlineStr">
        <is>
          <t>22slsstab1.xlsx</t>
        </is>
      </c>
      <c r="E319" s="4" t="n"/>
      <c r="F319" s="4" t="inlineStr">
        <is>
          <t>AL, AR, IA, KS, LA, MA, MD, ME, MI, MN, MO, MS, MT, NC, ND, NE, NH, NJ, NM, NV, NY, OH, OK, OR, PA, RI, SC, SD, TN, TX, UT, VA, VT, WA, WI, WV, WY</t>
        </is>
      </c>
      <c r="G319" s="4" t="inlineStr">
        <is>
          <t>https://www2.census.gov/programs-surveys/gov-finances/tables/2022/22slsstab1.xlsx</t>
        </is>
      </c>
    </row>
    <row r="320" ht="30" customHeight="1">
      <c r="A320" s="13" t="inlineStr">
        <is>
          <t>Kentucky</t>
        </is>
      </c>
      <c r="B320" s="4" t="inlineStr">
        <is>
          <t>Free-market groups &amp; GOP caucuses</t>
        </is>
      </c>
      <c r="C320" s="4" t="inlineStr">
        <is>
          <t>bluegrassinstitute.org</t>
        </is>
      </c>
      <c r="D320" s="15" t="inlineStr">
        <is>
          <t>KY's flawed property tax system allows silent increases</t>
        </is>
      </c>
      <c r="E320" s="4" t="inlineStr">
        <is>
          <t>2026-01-26</t>
        </is>
      </c>
      <c r="F320" s="4" t="n"/>
      <c r="G320" s="4" t="inlineStr">
        <is>
          <t>https://www.bluegrassinstitute.org/kys-flawed-property-tax-system-allows-silent-increases/</t>
        </is>
      </c>
    </row>
    <row r="321" ht="34" customHeight="1">
      <c r="A321" s="13" t="inlineStr">
        <is>
          <t>Kentucky</t>
        </is>
      </c>
      <c r="B321" s="4" t="inlineStr">
        <is>
          <t>News</t>
        </is>
      </c>
      <c r="C321" s="4" t="inlineStr">
        <is>
          <t>wkyt.com</t>
        </is>
      </c>
      <c r="D321" s="15" t="inlineStr">
        <is>
          <t>Fayette County Board of Education to consider tax rate drop that still boosts total revenue</t>
        </is>
      </c>
      <c r="E321" s="4" t="inlineStr">
        <is>
          <t>2026-08-14</t>
        </is>
      </c>
      <c r="F321" s="4" t="n"/>
      <c r="G321" s="4" t="inlineStr">
        <is>
          <t>https://www.wkyt.com/2026/08/14/fayette-county-board-education-consider-tax-rate-drop-that-still-boosts-total-revenue/</t>
        </is>
      </c>
    </row>
    <row r="322" ht="30" customHeight="1">
      <c r="A322" s="13" t="inlineStr">
        <is>
          <t>Kentucky</t>
        </is>
      </c>
      <c r="B322" s="4" t="inlineStr">
        <is>
          <t>News</t>
        </is>
      </c>
      <c r="C322" s="4" t="inlineStr">
        <is>
          <t>wave3.com</t>
        </is>
      </c>
      <c r="D322" s="15" t="inlineStr">
        <is>
          <t>JCPS board approves lower property tax rate</t>
        </is>
      </c>
      <c r="E322" s="4" t="inlineStr">
        <is>
          <t>2025-08-20</t>
        </is>
      </c>
      <c r="F322" s="4" t="n"/>
      <c r="G322" s="4" t="inlineStr">
        <is>
          <t>https://www.wave3.com/2025/08/20/jcps-board-approves-lower-property-tax-rate</t>
        </is>
      </c>
    </row>
    <row r="323" ht="30" customHeight="1">
      <c r="A323" s="13" t="inlineStr">
        <is>
          <t>Kentucky</t>
        </is>
      </c>
      <c r="B323" s="4" t="inlineStr">
        <is>
          <t>Free-market groups &amp; GOP caucuses</t>
        </is>
      </c>
      <c r="C323" s="4" t="inlineStr">
        <is>
          <t>kysenaterepublicans.com</t>
        </is>
      </c>
      <c r="D323" s="15" t="inlineStr">
        <is>
          <t>BOSWELL BILL STRENGTHENING TAXPAYER PROTECTIONS PASSES SENATE</t>
        </is>
      </c>
      <c r="E323" s="4" t="inlineStr">
        <is>
          <t>2026-03-11</t>
        </is>
      </c>
      <c r="F323" s="4" t="n"/>
      <c r="G323" s="4" t="inlineStr">
        <is>
          <t>https://kysenaterepublicans.com/press-releases/2026/4/8/boswell-bill-strengthening-taxpayer-protections-passes-senate</t>
        </is>
      </c>
    </row>
    <row r="324" ht="30" customHeight="1">
      <c r="A324" s="13" t="inlineStr">
        <is>
          <t>Kentucky</t>
        </is>
      </c>
      <c r="B324" s="4" t="inlineStr">
        <is>
          <t>Bills &amp; legislative documents</t>
        </is>
      </c>
      <c r="C324" s="4" t="inlineStr">
        <is>
          <t>apps.legislature.ky.gov</t>
        </is>
      </c>
      <c r="D324" s="15" t="inlineStr">
        <is>
          <t>26RS HB 233</t>
        </is>
      </c>
      <c r="E324" s="4" t="n"/>
      <c r="F324" s="4" t="n"/>
      <c r="G324" s="4" t="inlineStr">
        <is>
          <t>https://apps.legislature.ky.gov/record/26rs/hb233.html</t>
        </is>
      </c>
    </row>
    <row r="325" ht="30" customHeight="1">
      <c r="A325" s="13" t="inlineStr">
        <is>
          <t>Kentucky</t>
        </is>
      </c>
      <c r="B325" s="4" t="inlineStr">
        <is>
          <t>News</t>
        </is>
      </c>
      <c r="C325" s="4" t="inlineStr">
        <is>
          <t>fox19.com</t>
        </is>
      </c>
      <c r="D325" s="15" t="inlineStr">
        <is>
          <t>Election 2026: Explaining Kentucky, Indiana’s ballot measures</t>
        </is>
      </c>
      <c r="E325" s="4" t="inlineStr">
        <is>
          <t>2026-10-07</t>
        </is>
      </c>
      <c r="F325" s="4" t="n"/>
      <c r="G325" s="4" t="inlineStr">
        <is>
          <t>https://www.fox19.com/2026/10/07/election-2026-explaining-kentucky-indianas-ballot-measures/</t>
        </is>
      </c>
    </row>
    <row r="326" ht="30" customHeight="1">
      <c r="A326" s="13" t="inlineStr">
        <is>
          <t>Louisiana</t>
        </is>
      </c>
      <c r="B326" s="4" t="inlineStr">
        <is>
          <t>Constitution &amp; statutes</t>
        </is>
      </c>
      <c r="C326" s="4" t="inlineStr">
        <is>
          <t>house.louisiana.gov</t>
        </is>
      </c>
      <c r="D326" s="15" t="inlineStr">
        <is>
          <t>Creator: Print Server 110</t>
        </is>
      </c>
      <c r="E326" s="4" t="inlineStr">
        <is>
          <t>2012</t>
        </is>
      </c>
      <c r="F326" s="4" t="n"/>
      <c r="G326" s="4" t="inlineStr">
        <is>
          <t>https://house.louisiana.gov/slg/PDF/Chapter%203%20Part%20D%20-%20Local%20Government%20Finance.pdf</t>
        </is>
      </c>
    </row>
    <row r="327" ht="30" customHeight="1">
      <c r="A327" s="13" t="inlineStr">
        <is>
          <t>Louisiana</t>
        </is>
      </c>
      <c r="B327" s="4" t="inlineStr">
        <is>
          <t>Bills &amp; legislative documents</t>
        </is>
      </c>
      <c r="C327" s="4" t="inlineStr">
        <is>
          <t>legis.la.gov</t>
        </is>
      </c>
      <c r="D327" s="15" t="inlineStr">
        <is>
          <t>Louisiana Laws - Louisiana State Legislature (LawPrint (d 101336))</t>
        </is>
      </c>
      <c r="E327" s="4" t="n"/>
      <c r="F327" s="4" t="n"/>
      <c r="G327" s="4" t="inlineStr">
        <is>
          <t>https://legis.la.gov/legis/LawPrint.aspx?d=101336</t>
        </is>
      </c>
    </row>
    <row r="328" ht="30" customHeight="1">
      <c r="A328" s="13" t="inlineStr">
        <is>
          <t>Louisiana</t>
        </is>
      </c>
      <c r="B328" s="4" t="inlineStr">
        <is>
          <t>Bills &amp; legislative documents</t>
        </is>
      </c>
      <c r="C328" s="4" t="inlineStr">
        <is>
          <t>legis.la.gov</t>
        </is>
      </c>
      <c r="D328" s="15" t="inlineStr">
        <is>
          <t>Louisiana Laws - Louisiana State Legislature (LawPrint (d 102361))</t>
        </is>
      </c>
      <c r="E328" s="4" t="n"/>
      <c r="F328" s="4" t="n"/>
      <c r="G328" s="4" t="inlineStr">
        <is>
          <t>https://legis.la.gov/Legis/LawPrint.aspx?d=102361</t>
        </is>
      </c>
    </row>
    <row r="329" ht="30" customHeight="1">
      <c r="A329" s="13" t="inlineStr">
        <is>
          <t>Louisiana</t>
        </is>
      </c>
      <c r="B329" s="4" t="inlineStr">
        <is>
          <t>Research &amp; associations</t>
        </is>
      </c>
      <c r="C329" s="4" t="inlineStr">
        <is>
          <t>webiis08.mondaq.com</t>
        </is>
      </c>
      <c r="D329" s="15" t="inlineStr">
        <is>
          <t>LDR Issues Guidance On Changes To The Inventory Tax Credit</t>
        </is>
      </c>
      <c r="E329" s="4" t="inlineStr">
        <is>
          <t>2026-04-09</t>
        </is>
      </c>
      <c r="F329" s="4" t="n"/>
      <c r="G329" s="4" t="inlineStr">
        <is>
          <t>https://webiis08.mondaq.com/unitedstates/tax-authorities/1770732/ldr-issues-guidance-on-changes-to-the-inventory-tax-credit</t>
        </is>
      </c>
    </row>
    <row r="330" ht="30" customHeight="1">
      <c r="A330" s="13" t="inlineStr">
        <is>
          <t>Louisiana</t>
        </is>
      </c>
      <c r="B330" s="4" t="inlineStr">
        <is>
          <t>News</t>
        </is>
      </c>
      <c r="C330" s="4" t="inlineStr">
        <is>
          <t>710keel.com</t>
        </is>
      </c>
      <c r="D330" s="15" t="inlineStr">
        <is>
          <t>What's On Your Louisiana Ballot: 2018 Amendment 6</t>
        </is>
      </c>
      <c r="E330" s="4" t="inlineStr">
        <is>
          <t>2018-10-27</t>
        </is>
      </c>
      <c r="F330" s="4" t="n"/>
      <c r="G330" s="4" t="inlineStr">
        <is>
          <t>https://710keel.com/whats-on-your-louisiana-ballot-2018-amendment-6/</t>
        </is>
      </c>
    </row>
    <row r="331" ht="34" customHeight="1">
      <c r="A331" s="13" t="inlineStr">
        <is>
          <t>Louisiana</t>
        </is>
      </c>
      <c r="B331" s="4" t="inlineStr">
        <is>
          <t>News</t>
        </is>
      </c>
      <c r="C331" s="4" t="inlineStr">
        <is>
          <t>lailluminator.com</t>
        </is>
      </c>
      <c r="D331" s="15" t="inlineStr">
        <is>
          <t>louisiana-wont-touch-generous-industrial-property-tax-break-amid-landrys-overhaul</t>
        </is>
      </c>
      <c r="E331" s="4" t="n"/>
      <c r="F331" s="4" t="n"/>
      <c r="G331" s="4" t="inlineStr">
        <is>
          <t>https://lailluminator.com/2024/11/11/louisiana-wont-touch-generous-industrial-property-tax-break-amid-landrys-overhaul/</t>
        </is>
      </c>
    </row>
    <row r="332" ht="30" customHeight="1">
      <c r="A332" s="13" t="inlineStr">
        <is>
          <t>Louisiana</t>
        </is>
      </c>
      <c r="B332" s="4" t="inlineStr">
        <is>
          <t>Free-market groups &amp; GOP caucuses</t>
        </is>
      </c>
      <c r="C332" s="4" t="inlineStr">
        <is>
          <t>taxfoundation.org</t>
        </is>
      </c>
      <c r="D332" s="15" t="inlineStr">
        <is>
          <t>State Tax Ballot Measures to Watch in 2026</t>
        </is>
      </c>
      <c r="E332" s="4" t="inlineStr">
        <is>
          <t>2026-10-07</t>
        </is>
      </c>
      <c r="F332" s="4" t="inlineStr">
        <is>
          <t>AZ, CA, CO, FL, OH</t>
        </is>
      </c>
      <c r="G332" s="4" t="inlineStr">
        <is>
          <t>https://taxfoundation.org/research/state-tax/2026-state-tax-ballot-measures/</t>
        </is>
      </c>
    </row>
    <row r="333" ht="30" customHeight="1">
      <c r="A333" s="13" t="inlineStr">
        <is>
          <t>Louisiana</t>
        </is>
      </c>
      <c r="B333" s="4" t="inlineStr">
        <is>
          <t>Research &amp; associations</t>
        </is>
      </c>
      <c r="C333" s="4" t="inlineStr">
        <is>
          <t>apps.lincolninst.edu</t>
        </is>
      </c>
      <c r="D333" s="15" t="inlineStr">
        <is>
          <t>rate-limits-2022-4.xlsx</t>
        </is>
      </c>
      <c r="E333" s="4" t="n"/>
      <c r="F333" s="4" t="inlineStr">
        <is>
          <t>AL, FL, IA, ID, KS, KY, MA, MI, MO, NM, NV, SC, SD, UT, WA, WV, WY</t>
        </is>
      </c>
      <c r="G333" s="4" t="inlineStr">
        <is>
          <t>https://apps.lincolninst.edu/uploads/summary-tables/rate-limits-summary-tables/rate-limits-2022-4.xlsx</t>
        </is>
      </c>
    </row>
    <row r="334" ht="30" customHeight="1">
      <c r="A334" s="13" t="inlineStr">
        <is>
          <t>Louisiana</t>
        </is>
      </c>
      <c r="B334" s="4" t="inlineStr">
        <is>
          <t>Research &amp; associations</t>
        </is>
      </c>
      <c r="C334" s="4" t="inlineStr">
        <is>
          <t>lincolninst.edu</t>
        </is>
      </c>
      <c r="D334" s="15" t="inlineStr">
        <is>
          <t>assessment limits 2022-3.xlsx</t>
        </is>
      </c>
      <c r="E334" s="4" t="n"/>
      <c r="F334" s="4" t="inlineStr">
        <is>
          <t>CA, CT, FL, MD, MI, NY, SC</t>
        </is>
      </c>
      <c r="G334" s="4" t="inlineStr">
        <is>
          <t>https://www.lincolninst.edu/app/uploads/2024/12/assessment_limits_2022-3.xlsx</t>
        </is>
      </c>
    </row>
    <row r="335" ht="30" customHeight="1">
      <c r="A335" s="13" t="inlineStr">
        <is>
          <t>Louisiana</t>
        </is>
      </c>
      <c r="B335" s="4" t="inlineStr">
        <is>
          <t>Federal government &amp; data</t>
        </is>
      </c>
      <c r="C335" s="4" t="inlineStr">
        <is>
          <t>www2.census.gov</t>
        </is>
      </c>
      <c r="D335" s="15" t="inlineStr">
        <is>
          <t>22slsstab1.xlsx</t>
        </is>
      </c>
      <c r="E335" s="4" t="n"/>
      <c r="F335" s="4" t="inlineStr">
        <is>
          <t>AL, AR, IA, KS, KY, MA, MD, ME, MI, MN, MO, MS, MT, NC, ND, NE, NH, NJ, NM, NV, NY, OH, OK, OR, PA, RI, SC, SD, TN, TX, UT, VA, VT, WA, WI, WV, WY</t>
        </is>
      </c>
      <c r="G335" s="4" t="inlineStr">
        <is>
          <t>https://www2.census.gov/programs-surveys/gov-finances/tables/2022/22slsstab1.xlsx</t>
        </is>
      </c>
    </row>
    <row r="336" ht="30" customHeight="1">
      <c r="A336" s="13" t="inlineStr">
        <is>
          <t>Louisiana</t>
        </is>
      </c>
      <c r="B336" s="4" t="inlineStr">
        <is>
          <t>Free-market groups &amp; GOP caucuses</t>
        </is>
      </c>
      <c r="C336" s="4" t="inlineStr">
        <is>
          <t>taxfoundation.org</t>
        </is>
      </c>
      <c r="D336" s="15" t="inlineStr">
        <is>
          <t>2026 State and Local Sales Tax Rates</t>
        </is>
      </c>
      <c r="E336" s="4" t="inlineStr">
        <is>
          <t>2026-01-20</t>
        </is>
      </c>
      <c r="F336" s="4" t="inlineStr">
        <is>
          <t>AL, KS</t>
        </is>
      </c>
      <c r="G336" s="4" t="inlineStr">
        <is>
          <t>https://taxfoundation.org/data/all/state/sales-tax-rates/</t>
        </is>
      </c>
    </row>
    <row r="337" ht="34" customHeight="1">
      <c r="A337" s="13" t="inlineStr">
        <is>
          <t>Louisiana</t>
        </is>
      </c>
      <c r="B337" s="4" t="inlineStr">
        <is>
          <t>News</t>
        </is>
      </c>
      <c r="C337" s="4" t="inlineStr">
        <is>
          <t>wwno.org</t>
        </is>
      </c>
      <c r="D337" s="15" t="inlineStr">
        <is>
          <t>May 16 election results: Louisiana voters reject all 5 amendments; see full results</t>
        </is>
      </c>
      <c r="E337" s="4" t="inlineStr">
        <is>
          <t>2026-05-17</t>
        </is>
      </c>
      <c r="F337" s="4" t="n"/>
      <c r="G337" s="4" t="inlineStr">
        <is>
          <t>https://www.wwno.org/politics/2026-05-16/may-16-election-results-louisiana-voters-reject-all-5-amendments-see-full-results</t>
        </is>
      </c>
    </row>
    <row r="338" ht="30" customHeight="1">
      <c r="A338" s="13" t="inlineStr">
        <is>
          <t>Louisiana</t>
        </is>
      </c>
      <c r="B338" s="4" t="inlineStr">
        <is>
          <t>Free-market groups &amp; GOP caucuses</t>
        </is>
      </c>
      <c r="C338" s="4" t="inlineStr">
        <is>
          <t>pelicanpolicy.org</t>
        </is>
      </c>
      <c r="D338" s="15" t="inlineStr">
        <is>
          <t>YES on Constitutional Amendment 4: Begin to End the Inventory Tax</t>
        </is>
      </c>
      <c r="E338" s="4" t="inlineStr">
        <is>
          <t>2026-03-30</t>
        </is>
      </c>
      <c r="F338" s="4" t="n"/>
      <c r="G338" s="4" t="inlineStr">
        <is>
          <t>https://pelicanpolicy.org/local-government/amendment4/</t>
        </is>
      </c>
    </row>
    <row r="339" ht="30" customHeight="1">
      <c r="A339" s="13" t="inlineStr">
        <is>
          <t>Louisiana</t>
        </is>
      </c>
      <c r="B339" s="4" t="inlineStr">
        <is>
          <t>News</t>
        </is>
      </c>
      <c r="C339" s="4" t="inlineStr">
        <is>
          <t>websterparishjournal.com</t>
        </is>
      </c>
      <c r="D339" s="15" t="inlineStr">
        <is>
          <t>Explaining the Constitutional Amendments</t>
        </is>
      </c>
      <c r="E339" s="4" t="inlineStr">
        <is>
          <t>2026-09-04</t>
        </is>
      </c>
      <c r="F339" s="4" t="n"/>
      <c r="G339" s="4" t="inlineStr">
        <is>
          <t>https://websterparishjournal.com/2026/09/04/explaining-the-constitutional-amendments/</t>
        </is>
      </c>
    </row>
    <row r="340" ht="34" customHeight="1">
      <c r="A340" s="13" t="inlineStr">
        <is>
          <t>Louisiana</t>
        </is>
      </c>
      <c r="B340" s="4" t="inlineStr">
        <is>
          <t>Ballot information</t>
        </is>
      </c>
      <c r="C340" s="4" t="inlineStr">
        <is>
          <t>news.ballotpedia.org</t>
        </is>
      </c>
      <c r="D340" s="15" t="inlineStr">
        <is>
          <t>louisiana-voters-will-decide-on-10-legislatively-referred-ballot-measures-in-nov-2026</t>
        </is>
      </c>
      <c r="E340" s="4" t="n"/>
      <c r="F340" s="4" t="n"/>
      <c r="G340" s="4" t="inlineStr">
        <is>
          <t>https://news.ballotpedia.org/2026/06/03/louisiana-voters-will-decide-on-10-legislatively-referred-ballot-measures-in-nov-2026/</t>
        </is>
      </c>
    </row>
    <row r="341" ht="34" customHeight="1">
      <c r="A341" s="13" t="inlineStr">
        <is>
          <t>Louisiana</t>
        </is>
      </c>
      <c r="B341" s="4" t="inlineStr">
        <is>
          <t>Research &amp; associations</t>
        </is>
      </c>
      <c r="C341" s="4" t="inlineStr">
        <is>
          <t>liskow.com</t>
        </is>
      </c>
      <c r="D341" s="15" t="inlineStr">
        <is>
          <t>Proposed Constitutional Amendment Would Expand Homestead Exemption for Senior Property Owners</t>
        </is>
      </c>
      <c r="E341" s="4" t="inlineStr">
        <is>
          <t>2026-05-28</t>
        </is>
      </c>
      <c r="F341" s="4" t="n"/>
      <c r="G341" s="4" t="inlineStr">
        <is>
          <t>https://www.liskow.com/insights/proposed-constitutional-amendment-would-expand-homestead-exemption-for-senior-pro-102mx4y/</t>
        </is>
      </c>
    </row>
    <row r="342" ht="34" customHeight="1">
      <c r="A342" s="13" t="inlineStr">
        <is>
          <t>Louisiana</t>
        </is>
      </c>
      <c r="B342" s="4" t="inlineStr">
        <is>
          <t>News</t>
        </is>
      </c>
      <c r="C342" s="4" t="inlineStr">
        <is>
          <t>wwno.org</t>
        </is>
      </c>
      <c r="D342" s="15" t="inlineStr">
        <is>
          <t>East Baton Rouge voters overwhelmingly approve funding renewals for library, other agencies</t>
        </is>
      </c>
      <c r="E342" s="4" t="inlineStr">
        <is>
          <t>2026-06-28</t>
        </is>
      </c>
      <c r="F342" s="4" t="n"/>
      <c r="G342" s="4" t="inlineStr">
        <is>
          <t>https://www.wwno.org/2026-06-27/east-baton-rouge-voters-overwhelmingly-approve-funding-renewals-for-library-other-agencies</t>
        </is>
      </c>
    </row>
    <row r="343" ht="30" customHeight="1">
      <c r="A343" s="13" t="inlineStr">
        <is>
          <t>Louisiana</t>
        </is>
      </c>
      <c r="B343" s="4" t="inlineStr">
        <is>
          <t>News</t>
        </is>
      </c>
      <c r="C343" s="4" t="inlineStr">
        <is>
          <t>thelensnola.org</t>
        </is>
      </c>
      <c r="D343" s="15" t="inlineStr">
        <is>
          <t>Cantrell administration to make case for increasing property taxes on Thursday</t>
        </is>
      </c>
      <c r="E343" s="4" t="inlineStr">
        <is>
          <t>2019-09-24</t>
        </is>
      </c>
      <c r="F343" s="4" t="n"/>
      <c r="G343" s="4" t="inlineStr">
        <is>
          <t>https://thelensnola.org/?p=473158</t>
        </is>
      </c>
    </row>
    <row r="344" ht="30" customHeight="1">
      <c r="A344" s="13" t="inlineStr">
        <is>
          <t>Louisiana</t>
        </is>
      </c>
      <c r="B344" s="4" t="inlineStr">
        <is>
          <t>News</t>
        </is>
      </c>
      <c r="C344" s="4" t="inlineStr">
        <is>
          <t>wwno.org</t>
        </is>
      </c>
      <c r="D344" s="15" t="inlineStr">
        <is>
          <t>May 3 election: What's on the ballot?</t>
        </is>
      </c>
      <c r="E344" s="4" t="inlineStr">
        <is>
          <t>2025-04-29</t>
        </is>
      </c>
      <c r="F344" s="4" t="n"/>
      <c r="G344" s="4" t="inlineStr">
        <is>
          <t>https://www.wwno.org/politics/2025-04-29/may-3-election-whats-on-the-ballot</t>
        </is>
      </c>
    </row>
    <row r="345" ht="30" customHeight="1">
      <c r="A345" s="13" t="inlineStr">
        <is>
          <t>Maine</t>
        </is>
      </c>
      <c r="B345" s="4" t="inlineStr">
        <is>
          <t>Bills &amp; legislative documents</t>
        </is>
      </c>
      <c r="C345" s="4" t="inlineStr">
        <is>
          <t>lldc.mainelegislature.org</t>
        </is>
      </c>
      <c r="D345" s="15" t="inlineStr">
        <is>
          <t>MAINE STATE LEGISLATURE The following document is provided by the</t>
        </is>
      </c>
      <c r="E345" s="4" t="n"/>
      <c r="F345" s="4" t="n"/>
      <c r="G345" s="4" t="inlineStr">
        <is>
          <t>https://lldc.mainelegislature.org/Open/Rpts/kf6784_z99m254_2014.pdf</t>
        </is>
      </c>
    </row>
    <row r="346" ht="30" customHeight="1">
      <c r="A346" s="13" t="inlineStr">
        <is>
          <t>Maine</t>
        </is>
      </c>
      <c r="B346" s="4" t="inlineStr">
        <is>
          <t>Constitution &amp; statutes</t>
        </is>
      </c>
      <c r="C346" s="4" t="inlineStr">
        <is>
          <t>legislature.maine.gov</t>
        </is>
      </c>
      <c r="D346" s="15" t="inlineStr">
        <is>
          <t>Title 36, §685: Duty of assessor; reimbursement by State</t>
        </is>
      </c>
      <c r="E346" s="4" t="n"/>
      <c r="F346" s="4" t="n"/>
      <c r="G346" s="4" t="inlineStr">
        <is>
          <t>https://legislature.maine.gov/statutes/36/title36sec685.html</t>
        </is>
      </c>
    </row>
    <row r="347" ht="30" customHeight="1">
      <c r="A347" s="13" t="inlineStr">
        <is>
          <t>Maine</t>
        </is>
      </c>
      <c r="B347" s="4" t="inlineStr">
        <is>
          <t>Constitution &amp; statutes</t>
        </is>
      </c>
      <c r="C347" s="4" t="inlineStr">
        <is>
          <t>legislature.maine.gov</t>
        </is>
      </c>
      <c r="D347" s="15" t="inlineStr">
        <is>
          <t>Title 36, §683: Exemption of homesteads</t>
        </is>
      </c>
      <c r="E347" s="4" t="n"/>
      <c r="F347" s="4" t="n"/>
      <c r="G347" s="4" t="inlineStr">
        <is>
          <t>https://legislature.maine.gov/statutes/36/title36sec683.html</t>
        </is>
      </c>
    </row>
    <row r="348" ht="34" customHeight="1">
      <c r="A348" s="13" t="inlineStr">
        <is>
          <t>Maine</t>
        </is>
      </c>
      <c r="B348" s="4" t="inlineStr">
        <is>
          <t>News</t>
        </is>
      </c>
      <c r="C348" s="4" t="inlineStr">
        <is>
          <t>mainemorningstar.com</t>
        </is>
      </c>
      <c r="D348" s="15" t="inlineStr">
        <is>
          <t>legislature-trying-to-reimburse-municipalities-after-repeal-of-failed-senior-tax-relief-program</t>
        </is>
      </c>
      <c r="E348" s="4" t="n"/>
      <c r="F348" s="4" t="n"/>
      <c r="G348" s="4" t="inlineStr">
        <is>
          <t>https://mainemorningstar.com/2024/02/13/legislature-trying-to-reimburse-municipalities-after-repeal-of-failed-senior-tax-relief-program/</t>
        </is>
      </c>
    </row>
    <row r="349" ht="30" customHeight="1">
      <c r="A349" s="13" t="inlineStr">
        <is>
          <t>Maine</t>
        </is>
      </c>
      <c r="B349" s="4" t="inlineStr">
        <is>
          <t>Local government</t>
        </is>
      </c>
      <c r="C349" s="4" t="inlineStr">
        <is>
          <t>kennebunkmaine.us</t>
        </is>
      </c>
      <c r="D349" s="15" t="inlineStr">
        <is>
          <t>Exemptions and Tax Credits | Kennebunk, ME</t>
        </is>
      </c>
      <c r="E349" s="4" t="n"/>
      <c r="F349" s="4" t="n"/>
      <c r="G349" s="4" t="inlineStr">
        <is>
          <t>https://kennebunkmaine.us/470/Exemptions-and-Tax-Credits</t>
        </is>
      </c>
    </row>
    <row r="350" ht="30" customHeight="1">
      <c r="A350" s="13" t="inlineStr">
        <is>
          <t>Maine</t>
        </is>
      </c>
      <c r="B350" s="4" t="inlineStr">
        <is>
          <t>Research &amp; associations</t>
        </is>
      </c>
      <c r="C350" s="4" t="inlineStr">
        <is>
          <t>lincolninst.edu</t>
        </is>
      </c>
      <c r="D350" s="15" t="inlineStr">
        <is>
          <t>levy limits 2022.xlsx</t>
        </is>
      </c>
      <c r="E350" s="4" t="n"/>
      <c r="F350" s="4" t="inlineStr">
        <is>
          <t>MA, MI, MN, MO, MS, MT, NM, NV, NY, RI, SD, WA, WI, WV</t>
        </is>
      </c>
      <c r="G350" s="4" t="inlineStr">
        <is>
          <t>https://www.lincolninst.edu/app/uploads/2024/12/levy_limits_2022.xlsx</t>
        </is>
      </c>
    </row>
    <row r="351" ht="30" customHeight="1">
      <c r="A351" s="13" t="inlineStr">
        <is>
          <t>Maine</t>
        </is>
      </c>
      <c r="B351" s="4" t="inlineStr">
        <is>
          <t>Federal government &amp; data</t>
        </is>
      </c>
      <c r="C351" s="4" t="inlineStr">
        <is>
          <t>www2.census.gov</t>
        </is>
      </c>
      <c r="D351" s="15" t="inlineStr">
        <is>
          <t>22slsstab1.xlsx</t>
        </is>
      </c>
      <c r="E351" s="4" t="n"/>
      <c r="F351" s="4" t="inlineStr">
        <is>
          <t>AL, AR, IA, KS, KY, LA, MA, MD, MI, MN, MO, MS, MT, NC, ND, NE, NH, NJ, NM, NV, NY, OH, OK, OR, PA, RI, SC, SD, TN, TX, UT, VA, VT, WA, WI, WV, WY</t>
        </is>
      </c>
      <c r="G351" s="4" t="inlineStr">
        <is>
          <t>https://www2.census.gov/programs-surveys/gov-finances/tables/2022/22slsstab1.xlsx</t>
        </is>
      </c>
    </row>
    <row r="352" ht="30" customHeight="1">
      <c r="A352" s="13" t="inlineStr">
        <is>
          <t>Maine</t>
        </is>
      </c>
      <c r="B352" s="4" t="inlineStr">
        <is>
          <t>Bills &amp; legislative documents</t>
        </is>
      </c>
      <c r="C352" s="4" t="inlineStr">
        <is>
          <t>lldc.mainelegislature.org</t>
        </is>
      </c>
      <c r="D352" s="15" t="inlineStr">
        <is>
          <t>MAINE STATE LEGISLATURE LAW AND LEGISLATIVE REFERENCE LIBRARY</t>
        </is>
      </c>
      <c r="E352" s="4" t="inlineStr">
        <is>
          <t>2026</t>
        </is>
      </c>
      <c r="F352" s="4" t="n"/>
      <c r="G352" s="4" t="inlineStr">
        <is>
          <t>https://lldc.mainelegislature.org/Open/Meta/LegHist/131/lh131-LD-2102.pdf</t>
        </is>
      </c>
    </row>
    <row r="353" ht="30" customHeight="1">
      <c r="A353" s="13" t="inlineStr">
        <is>
          <t>Maine</t>
        </is>
      </c>
      <c r="B353" s="4" t="inlineStr">
        <is>
          <t>Bills &amp; legislative documents</t>
        </is>
      </c>
      <c r="C353" s="4" t="inlineStr">
        <is>
          <t>legislature.maine.gov</t>
        </is>
      </c>
      <c r="D353" s="15" t="inlineStr">
        <is>
          <t>LawMakerWeb summary</t>
        </is>
      </c>
      <c r="E353" s="4" t="n"/>
      <c r="F353" s="4" t="n"/>
      <c r="G353" s="4" t="inlineStr">
        <is>
          <t>https://legislature.maine.gov/LawMakerWeb/summary.asp?LD=542&amp;SessionID=16</t>
        </is>
      </c>
    </row>
    <row r="354" ht="30" customHeight="1">
      <c r="A354" s="13" t="inlineStr">
        <is>
          <t>Maine</t>
        </is>
      </c>
      <c r="B354" s="4" t="inlineStr">
        <is>
          <t>State government</t>
        </is>
      </c>
      <c r="C354" s="4" t="inlineStr">
        <is>
          <t>maine.gov</t>
        </is>
      </c>
      <c r="D354" s="15" t="inlineStr">
        <is>
          <t>Dear DEAR:</t>
        </is>
      </c>
      <c r="E354" s="4" t="inlineStr">
        <is>
          <t>2026</t>
        </is>
      </c>
      <c r="F354" s="4" t="n"/>
      <c r="G354" s="4" t="inlineStr">
        <is>
          <t>https://www.maine.gov/revenue/sites/maine.gov.revenue/files/inline-files/2024%20Municipal%20Valuation%20Return%20Statistical%20Summary%20Report.pdf</t>
        </is>
      </c>
    </row>
    <row r="355" ht="30" customHeight="1">
      <c r="A355" s="13" t="inlineStr">
        <is>
          <t>Maine</t>
        </is>
      </c>
      <c r="B355" s="4" t="inlineStr">
        <is>
          <t>State government</t>
        </is>
      </c>
      <c r="C355" s="4" t="inlineStr">
        <is>
          <t>maine.gov</t>
        </is>
      </c>
      <c r="D355" s="15" t="inlineStr">
        <is>
          <t>2019mvrstats.pdf</t>
        </is>
      </c>
      <c r="E355" s="4" t="inlineStr">
        <is>
          <t>2021</t>
        </is>
      </c>
      <c r="F355" s="4" t="n"/>
      <c r="G355" s="4" t="inlineStr">
        <is>
          <t>https://www.maine.gov/revenue/sites/maine.gov.revenue/files/inline-files/2019mvrstats.pdf</t>
        </is>
      </c>
    </row>
    <row r="356" ht="30" customHeight="1">
      <c r="A356" s="13" t="inlineStr">
        <is>
          <t>Maine</t>
        </is>
      </c>
      <c r="B356" s="4" t="inlineStr">
        <is>
          <t>News</t>
        </is>
      </c>
      <c r="C356" s="4" t="inlineStr">
        <is>
          <t>spectrumlocalnews.com</t>
        </is>
      </c>
      <c r="D356" s="15" t="inlineStr">
        <is>
          <t>New Maine task force looks to find ways lower property taxes</t>
        </is>
      </c>
      <c r="E356" s="4" t="inlineStr">
        <is>
          <t>2025-09-12</t>
        </is>
      </c>
      <c r="F356" s="4" t="n"/>
      <c r="G356" s="4" t="inlineStr">
        <is>
          <t>https://spectrumlocalnews.com/me/maine/politics/2025/09/12/new-maine-task-force-looks-to-find-ways-lower-property-taxes</t>
        </is>
      </c>
    </row>
    <row r="357" ht="30" customHeight="1">
      <c r="A357" s="13" t="inlineStr">
        <is>
          <t>Maine</t>
        </is>
      </c>
      <c r="B357" s="4" t="inlineStr">
        <is>
          <t>News</t>
        </is>
      </c>
      <c r="C357" s="4" t="inlineStr">
        <is>
          <t>spectrumlocalnews.com</t>
        </is>
      </c>
      <c r="D357" s="15" t="inlineStr">
        <is>
          <t>Portland passes city budget, taxes up 4.9%</t>
        </is>
      </c>
      <c r="E357" s="4" t="inlineStr">
        <is>
          <t>2026-06-02</t>
        </is>
      </c>
      <c r="F357" s="4" t="n"/>
      <c r="G357" s="4" t="inlineStr">
        <is>
          <t>https://spectrumlocalnews.com/me/maine/news/2026/06/02/portland-taxpayers-to-bear-5-7--increase-after-council-approves-municipal-budget</t>
        </is>
      </c>
    </row>
    <row r="358" ht="30" customHeight="1">
      <c r="A358" s="13" t="inlineStr">
        <is>
          <t>Maine</t>
        </is>
      </c>
      <c r="B358" s="4" t="inlineStr">
        <is>
          <t>News</t>
        </is>
      </c>
      <c r="C358" s="4" t="inlineStr">
        <is>
          <t>spectrumlocalnews.com</t>
        </is>
      </c>
      <c r="D358" s="15" t="inlineStr">
        <is>
          <t>Lewiston considers layoffs, hiring freezes to lower budget</t>
        </is>
      </c>
      <c r="E358" s="4" t="inlineStr">
        <is>
          <t>2026-04-16</t>
        </is>
      </c>
      <c r="F358" s="4" t="n"/>
      <c r="G358" s="4" t="inlineStr">
        <is>
          <t>https://spectrumlocalnews.com/me/maine/news/2026/04/16/lewiston-considers-layoffs--hiring-freezes-to-lower-budget</t>
        </is>
      </c>
    </row>
    <row r="359" ht="30" customHeight="1">
      <c r="A359" s="13" t="inlineStr">
        <is>
          <t>Maine</t>
        </is>
      </c>
      <c r="B359" s="4" t="inlineStr">
        <is>
          <t>Free-market groups &amp; GOP caucuses</t>
        </is>
      </c>
      <c r="C359" s="4" t="inlineStr">
        <is>
          <t>mainehousegop.org</t>
        </is>
      </c>
      <c r="D359" s="15" t="inlineStr">
        <is>
          <t>LD 2102 WILL RAISE PROPERTY TAXES</t>
        </is>
      </c>
      <c r="E359" s="4" t="n"/>
      <c r="F359" s="4" t="n"/>
      <c r="G359" s="4" t="inlineStr">
        <is>
          <t>https://mainehousegop.org/newsroom/ld-2102-will-raise-property-taxes/</t>
        </is>
      </c>
    </row>
    <row r="360" ht="30" customHeight="1">
      <c r="A360" s="13" t="inlineStr">
        <is>
          <t>Maine</t>
        </is>
      </c>
      <c r="B360" s="4" t="inlineStr">
        <is>
          <t>Free-market groups &amp; GOP caucuses</t>
        </is>
      </c>
      <c r="C360" s="4" t="inlineStr">
        <is>
          <t>mesenategop.com</t>
        </is>
      </c>
      <c r="D360" s="15" t="inlineStr">
        <is>
          <t>Property taxes are becoming an existential threat to Maine’s homeowners</t>
        </is>
      </c>
      <c r="E360" s="4" t="inlineStr">
        <is>
          <t>2024-09-02</t>
        </is>
      </c>
      <c r="F360" s="4" t="n"/>
      <c r="G360" s="4" t="inlineStr">
        <is>
          <t>https://mesenategop.com/2024/09/02/property-taxes-are-becoming-an-existential-threat-to-maines-homeowners/</t>
        </is>
      </c>
    </row>
    <row r="361" ht="30" customHeight="1">
      <c r="A361" s="13" t="inlineStr">
        <is>
          <t>Maine</t>
        </is>
      </c>
      <c r="B361" s="4" t="inlineStr">
        <is>
          <t>Bills &amp; legislative documents</t>
        </is>
      </c>
      <c r="C361" s="4" t="inlineStr">
        <is>
          <t>legislature.maine.gov</t>
        </is>
      </c>
      <c r="D361" s="15" t="inlineStr">
        <is>
          <t>LawMakerWeb summary</t>
        </is>
      </c>
      <c r="E361" s="4" t="n"/>
      <c r="F361" s="4" t="n"/>
      <c r="G361" s="4" t="inlineStr">
        <is>
          <t>https://legislature.maine.gov/LawMakerWeb/summary.asp?LD=140&amp;SessionID=16</t>
        </is>
      </c>
    </row>
    <row r="362" ht="30" customHeight="1">
      <c r="A362" s="13" t="inlineStr">
        <is>
          <t>Maine</t>
        </is>
      </c>
      <c r="B362" s="4" t="inlineStr">
        <is>
          <t>Bills &amp; legislative documents</t>
        </is>
      </c>
      <c r="C362" s="4" t="inlineStr">
        <is>
          <t>legislature.maine.gov</t>
        </is>
      </c>
      <c r="D362" s="15" t="inlineStr">
        <is>
          <t>FN014002</t>
        </is>
      </c>
      <c r="E362" s="4" t="n"/>
      <c r="F362" s="4" t="n"/>
      <c r="G362" s="4" t="inlineStr">
        <is>
          <t>https://legislature.maine.gov/legis/bills/bills_132nd/fiscalnotes/FN014002.htm</t>
        </is>
      </c>
    </row>
    <row r="363" ht="30" customHeight="1">
      <c r="A363" s="13" t="inlineStr">
        <is>
          <t>Maryland</t>
        </is>
      </c>
      <c r="B363" s="4" t="inlineStr">
        <is>
          <t>State government</t>
        </is>
      </c>
      <c r="C363" s="4" t="inlineStr">
        <is>
          <t>dat.maryland.gov</t>
        </is>
      </c>
      <c r="D363" s="15" t="inlineStr">
        <is>
          <t>Tax Rates 2026-2027 - Tax Table &amp; Homestead Credit Caps</t>
        </is>
      </c>
      <c r="E363" s="4" t="inlineStr">
        <is>
          <t>2026</t>
        </is>
      </c>
      <c r="F363" s="4" t="n"/>
      <c r="G363" s="4" t="inlineStr">
        <is>
          <t>https://dat.maryland.gov/SiteAssets/Pages/Tax-Rates/Tax%20Rates%202026-2027%20-%20Tax%20Table%20%26%20Homestead%20Credit%20Caps_July%202026_0926-A.pdf</t>
        </is>
      </c>
    </row>
    <row r="364" ht="30" customHeight="1">
      <c r="A364" s="13" t="inlineStr">
        <is>
          <t>Maryland</t>
        </is>
      </c>
      <c r="B364" s="4" t="inlineStr">
        <is>
          <t>Bills &amp; legislative documents</t>
        </is>
      </c>
      <c r="C364" s="4" t="inlineStr">
        <is>
          <t>mgaleg.maryland.gov</t>
        </is>
      </c>
      <c r="D364" s="15" t="inlineStr">
        <is>
          <t>2012 Regular Session (sb0740.pdf)</t>
        </is>
      </c>
      <c r="E364" s="4" t="inlineStr">
        <is>
          <t>2012</t>
        </is>
      </c>
      <c r="F364" s="4" t="n"/>
      <c r="G364" s="4" t="inlineStr">
        <is>
          <t>https://mgaleg.maryland.gov/2012rs/fnotes/bil_0000/sb0740.pdf</t>
        </is>
      </c>
    </row>
    <row r="365" ht="30" customHeight="1">
      <c r="A365" s="13" t="inlineStr">
        <is>
          <t>Maryland</t>
        </is>
      </c>
      <c r="B365" s="4" t="inlineStr">
        <is>
          <t>Bills &amp; legislative documents</t>
        </is>
      </c>
      <c r="C365" s="4" t="inlineStr">
        <is>
          <t>mgaleg.maryland.gov</t>
        </is>
      </c>
      <c r="D365" s="15" t="inlineStr">
        <is>
          <t>2012 Regular Session (sb0848.pdf)</t>
        </is>
      </c>
      <c r="E365" s="4" t="inlineStr">
        <is>
          <t>2012</t>
        </is>
      </c>
      <c r="F365" s="4" t="n"/>
      <c r="G365" s="4" t="inlineStr">
        <is>
          <t>https://mgaleg.maryland.gov/2012rs/fnotes/bil_0008/sb0848.pdf</t>
        </is>
      </c>
    </row>
    <row r="366" ht="34" customHeight="1">
      <c r="A366" s="13" t="inlineStr">
        <is>
          <t>Maryland</t>
        </is>
      </c>
      <c r="B366" s="4" t="inlineStr">
        <is>
          <t>Research &amp; associations</t>
        </is>
      </c>
      <c r="C366" s="4" t="inlineStr">
        <is>
          <t>conduitstreet.mdcounties.org</t>
        </is>
      </c>
      <c r="D366" s="15" t="inlineStr">
        <is>
          <t>Montgomery Residents Vote to Remodel Property Tax Structure, Expand Council Membership</t>
        </is>
      </c>
      <c r="E366" s="4" t="inlineStr">
        <is>
          <t>2020-11-04</t>
        </is>
      </c>
      <c r="F366" s="4" t="n"/>
      <c r="G366" s="4" t="inlineStr">
        <is>
          <t>https://conduitstreet.mdcounties.org/2020/11/04/montgomery-residents-vote-to-remodel-property-tax-structure-expand-council-membership/</t>
        </is>
      </c>
    </row>
    <row r="367" ht="30" customHeight="1">
      <c r="A367" s="13" t="inlineStr">
        <is>
          <t>Maryland</t>
        </is>
      </c>
      <c r="B367" s="4" t="inlineStr">
        <is>
          <t>News</t>
        </is>
      </c>
      <c r="C367" s="4" t="inlineStr">
        <is>
          <t>marylandmatters.org</t>
        </is>
      </c>
      <c r="D367" s="15" t="inlineStr">
        <is>
          <t>montgomery-county-ballot-questions-―-on-property-taxes-council-makeup-explained</t>
        </is>
      </c>
      <c r="E367" s="4" t="n"/>
      <c r="F367" s="4" t="n"/>
      <c r="G367" s="4" t="inlineStr">
        <is>
          <t>https://marylandmatters.org/2020/09/29/montgomery-county-ballot-questions-―-on-property-taxes-council-makeup-explained/</t>
        </is>
      </c>
    </row>
    <row r="368" ht="30" customHeight="1">
      <c r="A368" s="13" t="inlineStr">
        <is>
          <t>Maryland</t>
        </is>
      </c>
      <c r="B368" s="4" t="inlineStr">
        <is>
          <t>Bills &amp; legislative documents</t>
        </is>
      </c>
      <c r="C368" s="4" t="inlineStr">
        <is>
          <t>dls.maryland.gov</t>
        </is>
      </c>
      <c r="D368" s="15" t="inlineStr">
        <is>
          <t>Local Revenue Growth</t>
        </is>
      </c>
      <c r="E368" s="4" t="inlineStr">
        <is>
          <t>2026</t>
        </is>
      </c>
      <c r="F368" s="4" t="n"/>
      <c r="G368" s="4" t="inlineStr">
        <is>
          <t>https://dls.maryland.gov/pubs/prod/NoPblTabPDF/2026HomesteadPropertyTaxCredit.pdf</t>
        </is>
      </c>
    </row>
    <row r="369" ht="30" customHeight="1">
      <c r="A369" s="13" t="inlineStr">
        <is>
          <t>Maryland</t>
        </is>
      </c>
      <c r="B369" s="4" t="inlineStr">
        <is>
          <t>Research &amp; associations</t>
        </is>
      </c>
      <c r="C369" s="4" t="inlineStr">
        <is>
          <t>lincolninst.edu</t>
        </is>
      </c>
      <c r="D369" s="15" t="inlineStr">
        <is>
          <t>assessment limits 2022-3.xlsx</t>
        </is>
      </c>
      <c r="E369" s="4" t="n"/>
      <c r="F369" s="4" t="inlineStr">
        <is>
          <t>CA, CT, FL, LA, MI, NY, SC</t>
        </is>
      </c>
      <c r="G369" s="4" t="inlineStr">
        <is>
          <t>https://www.lincolninst.edu/app/uploads/2024/12/assessment_limits_2022-3.xlsx</t>
        </is>
      </c>
    </row>
    <row r="370" ht="30" customHeight="1">
      <c r="A370" s="13" t="inlineStr">
        <is>
          <t>Maryland</t>
        </is>
      </c>
      <c r="B370" s="4" t="inlineStr">
        <is>
          <t>Federal government &amp; data</t>
        </is>
      </c>
      <c r="C370" s="4" t="inlineStr">
        <is>
          <t>www2.census.gov</t>
        </is>
      </c>
      <c r="D370" s="15" t="inlineStr">
        <is>
          <t>22slsstab1.xlsx</t>
        </is>
      </c>
      <c r="E370" s="4" t="n"/>
      <c r="F370" s="4" t="inlineStr">
        <is>
          <t>AL, AR, IA, KS, KY, LA, MA, ME, MI, MN, MO, MS, MT, NC, ND, NE, NH, NJ, NM, NV, NY, OH, OK, OR, PA, RI, SC, SD, TN, TX, UT, VA, VT, WA, WI, WV, WY</t>
        </is>
      </c>
      <c r="G370" s="4" t="inlineStr">
        <is>
          <t>https://www2.census.gov/programs-surveys/gov-finances/tables/2022/22slsstab1.xlsx</t>
        </is>
      </c>
    </row>
    <row r="371" ht="30" customHeight="1">
      <c r="A371" s="13" t="inlineStr">
        <is>
          <t>Maryland</t>
        </is>
      </c>
      <c r="B371" s="4" t="inlineStr">
        <is>
          <t>Constitution &amp; statutes</t>
        </is>
      </c>
      <c r="C371" s="4" t="inlineStr">
        <is>
          <t>mgaleg.maryland.gov</t>
        </is>
      </c>
      <c r="D371" s="15" t="inlineStr">
        <is>
          <t>Laws - Statute Text (StatuteText)</t>
        </is>
      </c>
      <c r="E371" s="4" t="n"/>
      <c r="F371" s="4" t="n"/>
      <c r="G371" s="4" t="inlineStr">
        <is>
          <t>https://mgaleg.maryland.gov/mgawebsite/Laws/StatuteText?article=gtp&amp;section=6-308&amp;enactments=false</t>
        </is>
      </c>
    </row>
    <row r="372" ht="30" customHeight="1">
      <c r="A372" s="13" t="inlineStr">
        <is>
          <t>Maryland</t>
        </is>
      </c>
      <c r="B372" s="4" t="inlineStr">
        <is>
          <t>Constitution &amp; statutes</t>
        </is>
      </c>
      <c r="C372" s="4" t="inlineStr">
        <is>
          <t>mgaleg.maryland.gov</t>
        </is>
      </c>
      <c r="D372" s="15" t="inlineStr">
        <is>
          <t>Laws - Statute Text (StatuteText)</t>
        </is>
      </c>
      <c r="E372" s="4" t="n"/>
      <c r="F372" s="4" t="n"/>
      <c r="G372" s="4" t="inlineStr">
        <is>
          <t>https://mgaleg.maryland.gov/mgawebsite/Laws/StatuteText?article=gtp&amp;section=2-205&amp;enactments=false</t>
        </is>
      </c>
    </row>
    <row r="373" ht="30" customHeight="1">
      <c r="A373" s="13" t="inlineStr">
        <is>
          <t>Maryland</t>
        </is>
      </c>
      <c r="B373" s="4" t="inlineStr">
        <is>
          <t>Bills &amp; legislative documents</t>
        </is>
      </c>
      <c r="C373" s="4" t="inlineStr">
        <is>
          <t>mgaleg.maryland.gov</t>
        </is>
      </c>
      <c r="D373" s="15" t="inlineStr">
        <is>
          <t>2023 Regular Session</t>
        </is>
      </c>
      <c r="E373" s="4" t="inlineStr">
        <is>
          <t>2023</t>
        </is>
      </c>
      <c r="F373" s="4" t="n"/>
      <c r="G373" s="4" t="inlineStr">
        <is>
          <t>https://mgaleg.maryland.gov/2023RS/fnotes/bil_0004/sb0114.pdf</t>
        </is>
      </c>
    </row>
    <row r="374" ht="30" customHeight="1">
      <c r="A374" s="13" t="inlineStr">
        <is>
          <t>Maryland</t>
        </is>
      </c>
      <c r="B374" s="4" t="inlineStr">
        <is>
          <t>Bills &amp; legislative documents</t>
        </is>
      </c>
      <c r="C374" s="4" t="inlineStr">
        <is>
          <t>mgaleg.maryland.gov</t>
        </is>
      </c>
      <c r="D374" s="15" t="inlineStr">
        <is>
          <t>2025 Regular Session</t>
        </is>
      </c>
      <c r="E374" s="4" t="inlineStr">
        <is>
          <t>2025</t>
        </is>
      </c>
      <c r="F374" s="4" t="n"/>
      <c r="G374" s="4" t="inlineStr">
        <is>
          <t>https://mgaleg.maryland.gov/2025RS/fnotes/bil_0003/hb0133.pdf</t>
        </is>
      </c>
    </row>
    <row r="375" ht="30" customHeight="1">
      <c r="A375" s="13" t="inlineStr">
        <is>
          <t>Maryland</t>
        </is>
      </c>
      <c r="B375" s="4" t="inlineStr">
        <is>
          <t>State government</t>
        </is>
      </c>
      <c r="C375" s="4" t="inlineStr">
        <is>
          <t>dat.maryland.gov</t>
        </is>
      </c>
      <c r="D375" s="15" t="inlineStr">
        <is>
          <t>Constant Yield Tax Rates</t>
        </is>
      </c>
      <c r="E375" s="4" t="n"/>
      <c r="F375" s="4" t="n"/>
      <c r="G375" s="4" t="inlineStr">
        <is>
          <t>https://dat.maryland.gov/realproperty/Pages/Constant-Yield-Tax-Rates.aspx</t>
        </is>
      </c>
    </row>
    <row r="376" ht="30" customHeight="1">
      <c r="A376" s="13" t="inlineStr">
        <is>
          <t>Maryland</t>
        </is>
      </c>
      <c r="B376" s="4" t="inlineStr">
        <is>
          <t>Research &amp; associations</t>
        </is>
      </c>
      <c r="C376" s="4" t="inlineStr">
        <is>
          <t>storage.pardot.com</t>
        </is>
      </c>
      <c r="D376" s="15" t="inlineStr">
        <is>
          <t>Author: kathy</t>
        </is>
      </c>
      <c r="E376" s="4" t="inlineStr">
        <is>
          <t>2024</t>
        </is>
      </c>
      <c r="F376" s="4" t="n"/>
      <c r="G376" s="4" t="inlineStr">
        <is>
          <t>https://storage.pardot.com/153411/1721770738w2cOfbLK/Um_WP24YU1.pdf</t>
        </is>
      </c>
    </row>
    <row r="377" ht="30" customHeight="1">
      <c r="A377" s="13" t="inlineStr">
        <is>
          <t>Maryland</t>
        </is>
      </c>
      <c r="B377" s="4" t="inlineStr">
        <is>
          <t>Research &amp; associations</t>
        </is>
      </c>
      <c r="C377" s="4" t="inlineStr">
        <is>
          <t>lincolninst.edu</t>
        </is>
      </c>
      <c r="D377" s="15" t="inlineStr">
        <is>
          <t>truth in taxation 2024.xlsx</t>
        </is>
      </c>
      <c r="E377" s="4" t="n"/>
      <c r="F377" s="4" t="inlineStr">
        <is>
          <t>DE, GA, IA, IL, KY, MI, MN, MO, NC, ND, NE, NM, NV, NY, OH, OK, OR, PA, RI, TN, TX, UT, VA, VT, WV, WY</t>
        </is>
      </c>
      <c r="G377" s="4" t="inlineStr">
        <is>
          <t>https://www.lincolninst.edu/app/uploads/2024/10/truth_in_taxation_2024.xlsx</t>
        </is>
      </c>
    </row>
    <row r="378" ht="30" customHeight="1">
      <c r="A378" s="13" t="inlineStr">
        <is>
          <t>Maryland</t>
        </is>
      </c>
      <c r="B378" s="4" t="inlineStr">
        <is>
          <t>State government</t>
        </is>
      </c>
      <c r="C378" s="4" t="inlineStr">
        <is>
          <t>dat.maryland.gov</t>
        </is>
      </c>
      <c r="D378" s="15" t="inlineStr">
        <is>
          <t>2025-2026 TAX RATES &amp; HOMESTEAD CREDIT CAPS</t>
        </is>
      </c>
      <c r="E378" s="4" t="inlineStr">
        <is>
          <t>2025</t>
        </is>
      </c>
      <c r="F378" s="4" t="n"/>
      <c r="G378" s="4" t="inlineStr">
        <is>
          <t>https://dat.maryland.gov/Documents/Accessible%20Documents/Real%20Property%20Reports/Tax%20Rates%20and%20Homestead%20Cap%20Percentages/County%20%26%20Municipal%20property%20tax%20rates%20%26%20Homestead%20Credit%20Caps%20in%20effect%20for%20July%201%2c%202025%20tax%20bills_0426-A%20%281%29.pdf</t>
        </is>
      </c>
    </row>
    <row r="379" ht="30" customHeight="1">
      <c r="A379" s="13" t="inlineStr">
        <is>
          <t>Maryland</t>
        </is>
      </c>
      <c r="B379" s="4" t="inlineStr">
        <is>
          <t>State government</t>
        </is>
      </c>
      <c r="C379" s="4" t="inlineStr">
        <is>
          <t>dat.maryland.gov</t>
        </is>
      </c>
      <c r="D379" s="15" t="inlineStr">
        <is>
          <t>Tax Rates 2023-2024 - Tax Table July 2023</t>
        </is>
      </c>
      <c r="E379" s="4" t="inlineStr">
        <is>
          <t>2024</t>
        </is>
      </c>
      <c r="F379" s="4" t="n"/>
      <c r="G379" s="4" t="inlineStr">
        <is>
          <t>https://dat.maryland.gov/Documents/Accessible%20Documents/Real%20Property%20Reports/Tax%20Rates%20and%20Homestead%20Cap%20Percentages/County%20%26%20Municipal%20property%20tax%20rates%20in%20effect%20for%20July%201%2c%202023%20tax%20bills_0426-A.pdf</t>
        </is>
      </c>
    </row>
    <row r="380" ht="30" customHeight="1">
      <c r="A380" s="13" t="inlineStr">
        <is>
          <t>Maryland</t>
        </is>
      </c>
      <c r="B380" s="4" t="inlineStr">
        <is>
          <t>Bills &amp; legislative documents</t>
        </is>
      </c>
      <c r="C380" s="4" t="inlineStr">
        <is>
          <t>dls.maryland.gov</t>
        </is>
      </c>
      <c r="D380" s="15" t="inlineStr">
        <is>
          <t>2023 - The 90 Day Report, A Review of the 2023 Legislative Session</t>
        </is>
      </c>
      <c r="E380" s="4" t="inlineStr">
        <is>
          <t>2023</t>
        </is>
      </c>
      <c r="F380" s="4" t="n"/>
      <c r="G380" s="4" t="inlineStr">
        <is>
          <t>https://dls.maryland.gov/pubs/prod/RecurRpt/23rs_90_Day_Report.pdf</t>
        </is>
      </c>
    </row>
    <row r="381" ht="30" customHeight="1">
      <c r="A381" s="13" t="inlineStr">
        <is>
          <t>Maryland</t>
        </is>
      </c>
      <c r="B381" s="4" t="inlineStr">
        <is>
          <t>Bills &amp; legislative documents</t>
        </is>
      </c>
      <c r="C381" s="4" t="inlineStr">
        <is>
          <t>dls.maryland.gov</t>
        </is>
      </c>
      <c r="D381" s="15" t="inlineStr">
        <is>
          <t>2024 - 90 Day Report, A Review of the 2024 Legislative Session</t>
        </is>
      </c>
      <c r="E381" s="4" t="inlineStr">
        <is>
          <t>2024</t>
        </is>
      </c>
      <c r="F381" s="4" t="n"/>
      <c r="G381" s="4" t="inlineStr">
        <is>
          <t>https://dls.maryland.gov/pubs/prod/RecurRpt/24rs_90_Day_Report.pdf</t>
        </is>
      </c>
    </row>
    <row r="382" ht="30" customHeight="1">
      <c r="A382" s="13" t="inlineStr">
        <is>
          <t>Maryland</t>
        </is>
      </c>
      <c r="B382" s="4" t="inlineStr">
        <is>
          <t>Bills &amp; legislative documents</t>
        </is>
      </c>
      <c r="C382" s="4" t="inlineStr">
        <is>
          <t>dls.maryland.gov</t>
        </is>
      </c>
      <c r="D382" s="15" t="inlineStr">
        <is>
          <t>2025 - 90 Day Report, A Review of the 2025 Legislative Session</t>
        </is>
      </c>
      <c r="E382" s="4" t="inlineStr">
        <is>
          <t>2025</t>
        </is>
      </c>
      <c r="F382" s="4" t="n"/>
      <c r="G382" s="4" t="inlineStr">
        <is>
          <t>https://dls.maryland.gov/pubs/prod/RecurRpt/25rs_90_Day_Report.pdf</t>
        </is>
      </c>
    </row>
    <row r="383" ht="30" customHeight="1">
      <c r="A383" s="13" t="inlineStr">
        <is>
          <t>Maryland</t>
        </is>
      </c>
      <c r="B383" s="4" t="inlineStr">
        <is>
          <t>Bills &amp; legislative documents</t>
        </is>
      </c>
      <c r="C383" s="4" t="inlineStr">
        <is>
          <t>dls.maryland.gov</t>
        </is>
      </c>
      <c r="D383" s="15" t="inlineStr">
        <is>
          <t>2026 - 90 Day Report, A Review of the 2026 Legislative Session</t>
        </is>
      </c>
      <c r="E383" s="4" t="inlineStr">
        <is>
          <t>2026</t>
        </is>
      </c>
      <c r="F383" s="4" t="n"/>
      <c r="G383" s="4" t="inlineStr">
        <is>
          <t>https://dls.maryland.gov/pubs/prod/RecurRpt/26rs_90_Day_Report.pdf</t>
        </is>
      </c>
    </row>
    <row r="384" ht="30" customHeight="1">
      <c r="A384" s="13" t="inlineStr">
        <is>
          <t>Maryland</t>
        </is>
      </c>
      <c r="B384" s="4" t="inlineStr">
        <is>
          <t>News</t>
        </is>
      </c>
      <c r="C384" s="4" t="inlineStr">
        <is>
          <t>mymcmedia.org</t>
        </is>
      </c>
      <c r="D384" s="15" t="inlineStr">
        <is>
          <t>Councilmembers Support 4.7-Cent Property Tax Increase</t>
        </is>
      </c>
      <c r="E384" s="4" t="inlineStr">
        <is>
          <t>2023-05-18</t>
        </is>
      </c>
      <c r="F384" s="4" t="n"/>
      <c r="G384" s="4" t="inlineStr">
        <is>
          <t>https://www.mymcmedia.org/councilmembers-support-4-7-cent-property-tax-increase/</t>
        </is>
      </c>
    </row>
    <row r="385" ht="30" customHeight="1">
      <c r="A385" s="13" t="inlineStr">
        <is>
          <t>Maryland</t>
        </is>
      </c>
      <c r="B385" s="4" t="inlineStr">
        <is>
          <t>News</t>
        </is>
      </c>
      <c r="C385" s="4" t="inlineStr">
        <is>
          <t>montgomeryperspective.com</t>
        </is>
      </c>
      <c r="D385" s="15" t="inlineStr">
        <is>
          <t>should-we-make-property-tax-hikes-easier-part-two</t>
        </is>
      </c>
      <c r="E385" s="4" t="n"/>
      <c r="F385" s="4" t="n"/>
      <c r="G385" s="4" t="inlineStr">
        <is>
          <t>https://montgomeryperspective.com/2024/07/18/should-we-make-property-tax-hikes-easier-part-two/</t>
        </is>
      </c>
    </row>
    <row r="386" ht="30" customHeight="1">
      <c r="A386" s="13" t="inlineStr">
        <is>
          <t>Maryland</t>
        </is>
      </c>
      <c r="B386" s="4" t="inlineStr">
        <is>
          <t>News</t>
        </is>
      </c>
      <c r="C386" s="4" t="inlineStr">
        <is>
          <t>montgomeryperspective.com</t>
        </is>
      </c>
      <c r="D386" s="15" t="inlineStr">
        <is>
          <t>How the Council Voted on Making Property Tax Hikes Easier</t>
        </is>
      </c>
      <c r="E386" s="4" t="inlineStr">
        <is>
          <t>2024-07-24</t>
        </is>
      </c>
      <c r="F386" s="4" t="n"/>
      <c r="G386" s="4" t="inlineStr">
        <is>
          <t>https://montgomeryperspective.com/2024/07/24/how-the-council-voted-on-making-property-tax-hikes-easier/</t>
        </is>
      </c>
    </row>
    <row r="387" ht="30" customHeight="1">
      <c r="A387" s="13" t="inlineStr">
        <is>
          <t>Maryland</t>
        </is>
      </c>
      <c r="B387" s="4" t="inlineStr">
        <is>
          <t>News</t>
        </is>
      </c>
      <c r="C387" s="4" t="inlineStr">
        <is>
          <t>montgomeryperspective.com</t>
        </is>
      </c>
      <c r="D387" s="15" t="inlineStr">
        <is>
          <t>the-challenge-of-getting-to-eight</t>
        </is>
      </c>
      <c r="E387" s="4" t="n"/>
      <c r="F387" s="4" t="n"/>
      <c r="G387" s="4" t="inlineStr">
        <is>
          <t>https://montgomeryperspective.com/2026/05/13/the-challenge-of-getting-to-eight/</t>
        </is>
      </c>
    </row>
    <row r="388" ht="30" customHeight="1">
      <c r="A388" s="13" t="inlineStr">
        <is>
          <t>Maryland</t>
        </is>
      </c>
      <c r="B388" s="4" t="inlineStr">
        <is>
          <t>News</t>
        </is>
      </c>
      <c r="C388" s="4" t="inlineStr">
        <is>
          <t>montgomeryperspective.com</t>
        </is>
      </c>
      <c r="D388" s="15" t="inlineStr">
        <is>
          <t>MoCo’s Shocking Homeowner Tax Hike</t>
        </is>
      </c>
      <c r="E388" s="4" t="inlineStr">
        <is>
          <t>2026-07-02</t>
        </is>
      </c>
      <c r="F388" s="4" t="n"/>
      <c r="G388" s="4" t="inlineStr">
        <is>
          <t>https://montgomeryperspective.com/2026/07/02/mocos-shocking-homeowner-tax-hike/</t>
        </is>
      </c>
    </row>
    <row r="389" ht="30" customHeight="1">
      <c r="A389" s="13" t="inlineStr">
        <is>
          <t>Maryland</t>
        </is>
      </c>
      <c r="B389" s="4" t="inlineStr">
        <is>
          <t>News</t>
        </is>
      </c>
      <c r="C389" s="4" t="inlineStr">
        <is>
          <t>montgomeryperspective.com</t>
        </is>
      </c>
      <c r="D389" s="15" t="inlineStr">
        <is>
          <t>Another Tax Hike? - Montgomery Perspective</t>
        </is>
      </c>
      <c r="E389" s="4" t="inlineStr">
        <is>
          <t>2026-08-03</t>
        </is>
      </c>
      <c r="F389" s="4" t="n"/>
      <c r="G389" s="4" t="inlineStr">
        <is>
          <t>https://montgomeryperspective.com/2026/08/03/another-tax-hike/</t>
        </is>
      </c>
    </row>
    <row r="390" ht="30" customHeight="1">
      <c r="A390" s="13" t="inlineStr">
        <is>
          <t>Maryland</t>
        </is>
      </c>
      <c r="B390" s="4" t="inlineStr">
        <is>
          <t>News</t>
        </is>
      </c>
      <c r="C390" s="4" t="inlineStr">
        <is>
          <t>montgomeryperspective.com</t>
        </is>
      </c>
      <c r="D390" s="15" t="inlineStr">
        <is>
          <t>Will Stop the Spend Get On the Ballot?</t>
        </is>
      </c>
      <c r="E390" s="4" t="inlineStr">
        <is>
          <t>2026-07-22</t>
        </is>
      </c>
      <c r="F390" s="4" t="n"/>
      <c r="G390" s="4" t="inlineStr">
        <is>
          <t>https://montgomeryperspective.com/2026/07/22/will-stop-the-spend-get-on-the-ballot/</t>
        </is>
      </c>
    </row>
    <row r="391" ht="30" customHeight="1">
      <c r="A391" s="13" t="inlineStr">
        <is>
          <t>Maryland</t>
        </is>
      </c>
      <c r="B391" s="4" t="inlineStr">
        <is>
          <t>News</t>
        </is>
      </c>
      <c r="C391" s="4" t="inlineStr">
        <is>
          <t>montgomeryperspective.com</t>
        </is>
      </c>
      <c r="D391" s="15" t="inlineStr">
        <is>
          <t>Stop the Spend Charter Amendment Fails</t>
        </is>
      </c>
      <c r="E391" s="4" t="inlineStr">
        <is>
          <t>2026-08-17</t>
        </is>
      </c>
      <c r="F391" s="4" t="n"/>
      <c r="G391" s="4" t="inlineStr">
        <is>
          <t>https://montgomeryperspective.com/2026/08/17/stop-the-spend-charter-amendment-fails/</t>
        </is>
      </c>
    </row>
    <row r="392" ht="30" customHeight="1">
      <c r="A392" s="13" t="inlineStr">
        <is>
          <t>Maryland</t>
        </is>
      </c>
      <c r="B392" s="4" t="inlineStr">
        <is>
          <t>News</t>
        </is>
      </c>
      <c r="C392" s="4" t="inlineStr">
        <is>
          <t>montgomeryperspective.com</t>
        </is>
      </c>
      <c r="D392" s="15" t="inlineStr">
        <is>
          <t>more-outrage-over-taxes-top-stories-august-2026</t>
        </is>
      </c>
      <c r="E392" s="4" t="n"/>
      <c r="F392" s="4" t="n"/>
      <c r="G392" s="4" t="inlineStr">
        <is>
          <t>https://montgomeryperspective.com/2026/09/04/more-outrage-over-taxes-top-stories-august-2026/</t>
        </is>
      </c>
    </row>
    <row r="393" ht="30" customHeight="1">
      <c r="A393" s="13" t="inlineStr">
        <is>
          <t>Maryland</t>
        </is>
      </c>
      <c r="B393" s="4" t="inlineStr">
        <is>
          <t>State government</t>
        </is>
      </c>
      <c r="C393" s="4" t="inlineStr">
        <is>
          <t>elections.maryland.gov</t>
        </is>
      </c>
      <c r="D393" s="15" t="inlineStr">
        <is>
          <t>Author:</t>
        </is>
      </c>
      <c r="E393" s="4" t="inlineStr">
        <is>
          <t>2026</t>
        </is>
      </c>
      <c r="F393" s="4" t="n"/>
      <c r="G393" s="4" t="inlineStr">
        <is>
          <t>https://www.elections.maryland.gov/elections/2026/general_ballots/Cecil.pdf</t>
        </is>
      </c>
    </row>
    <row r="394" ht="30" customHeight="1">
      <c r="A394" s="13" t="inlineStr">
        <is>
          <t>Maryland</t>
        </is>
      </c>
      <c r="B394" s="4" t="inlineStr">
        <is>
          <t>Free-market groups &amp; GOP caucuses</t>
        </is>
      </c>
      <c r="C394" s="4" t="inlineStr">
        <is>
          <t>taxfoundation.org</t>
        </is>
      </c>
      <c r="D394" s="15" t="inlineStr">
        <is>
          <t>Two Virginia Income Tax Proposals Would Make the State Less Affordable</t>
        </is>
      </c>
      <c r="E394" s="4" t="inlineStr">
        <is>
          <t>2026-02-04</t>
        </is>
      </c>
      <c r="F394" s="4" t="n"/>
      <c r="G394" s="4" t="inlineStr">
        <is>
          <t>https://taxfoundation.org/blog/virginia-income-tax-proposals-2026/</t>
        </is>
      </c>
    </row>
    <row r="395" ht="30" customHeight="1">
      <c r="A395" s="13" t="inlineStr">
        <is>
          <t>Massachusetts</t>
        </is>
      </c>
      <c r="B395" s="4" t="inlineStr">
        <is>
          <t>Constitution &amp; statutes</t>
        </is>
      </c>
      <c r="C395" s="4" t="inlineStr">
        <is>
          <t>malegislature.gov</t>
        </is>
      </c>
      <c r="D395" s="15" t="inlineStr">
        <is>
          <t>General Law - Part I, Title IX, Chapter 59, Section 21C</t>
        </is>
      </c>
      <c r="E395" s="4" t="n"/>
      <c r="F395" s="4" t="n"/>
      <c r="G395" s="4" t="inlineStr">
        <is>
          <t>https://malegislature.gov/Laws/GeneralLaws/PartI/TitleIX/Chapter59/Section21C</t>
        </is>
      </c>
    </row>
    <row r="396" ht="34" customHeight="1">
      <c r="A396" s="13" t="inlineStr">
        <is>
          <t>Massachusetts</t>
        </is>
      </c>
      <c r="B396" s="4" t="inlineStr">
        <is>
          <t>State government</t>
        </is>
      </c>
      <c r="C396" s="4" t="inlineStr">
        <is>
          <t>mass.gov</t>
        </is>
      </c>
      <c r="D396" s="15" t="inlineStr">
        <is>
          <t>Not allowed | Mass Gov (reporting-proposition-2-12-election-results-and-related-fy2026-analysis)</t>
        </is>
      </c>
      <c r="E396" s="4" t="n"/>
      <c r="F396" s="4" t="n"/>
      <c r="G396" s="4" t="inlineStr">
        <is>
          <t>https://www.mass.gov/info-details/reporting-proposition-2-12-election-results-and-related-fy2026-analysis</t>
        </is>
      </c>
    </row>
    <row r="397" ht="30" customHeight="1">
      <c r="A397" s="13" t="inlineStr">
        <is>
          <t>Massachusetts</t>
        </is>
      </c>
      <c r="B397" s="4" t="inlineStr">
        <is>
          <t>Research &amp; associations</t>
        </is>
      </c>
      <c r="C397" s="4" t="inlineStr">
        <is>
          <t>lincolninst.edu</t>
        </is>
      </c>
      <c r="D397" s="15" t="inlineStr">
        <is>
          <t>levy limits 2022.xlsx</t>
        </is>
      </c>
      <c r="E397" s="4" t="n"/>
      <c r="F397" s="4" t="inlineStr">
        <is>
          <t>ME, MI, MN, MO, MS, MT, NM, NV, NY, RI, SD, WA, WI, WV</t>
        </is>
      </c>
      <c r="G397" s="4" t="inlineStr">
        <is>
          <t>https://www.lincolninst.edu/app/uploads/2024/12/levy_limits_2022.xlsx</t>
        </is>
      </c>
    </row>
    <row r="398" ht="30" customHeight="1">
      <c r="A398" s="13" t="inlineStr">
        <is>
          <t>Massachusetts</t>
        </is>
      </c>
      <c r="B398" s="4" t="inlineStr">
        <is>
          <t>Research &amp; associations</t>
        </is>
      </c>
      <c r="C398" s="4" t="inlineStr">
        <is>
          <t>apps.lincolninst.edu</t>
        </is>
      </c>
      <c r="D398" s="15" t="inlineStr">
        <is>
          <t>rate-limits-2022-4.xlsx</t>
        </is>
      </c>
      <c r="E398" s="4" t="n"/>
      <c r="F398" s="4" t="inlineStr">
        <is>
          <t>AL, FL, IA, ID, KS, KY, LA, MI, MO, NM, NV, SC, SD, UT, WA, WV, WY</t>
        </is>
      </c>
      <c r="G398" s="4" t="inlineStr">
        <is>
          <t>https://apps.lincolninst.edu/uploads/summary-tables/rate-limits-summary-tables/rate-limits-2022-4.xlsx</t>
        </is>
      </c>
    </row>
    <row r="399" ht="30" customHeight="1">
      <c r="A399" s="13" t="inlineStr">
        <is>
          <t>Massachusetts</t>
        </is>
      </c>
      <c r="B399" s="4" t="inlineStr">
        <is>
          <t>News</t>
        </is>
      </c>
      <c r="C399" s="4" t="inlineStr">
        <is>
          <t>commonwealthbeacon.org</t>
        </is>
      </c>
      <c r="D399" s="15" t="inlineStr">
        <is>
          <t>429 Too Many Requests (the-geography-of-proposition-2frac12-overrides)</t>
        </is>
      </c>
      <c r="E399" s="4" t="n"/>
      <c r="F399" s="4" t="n"/>
      <c r="G399" s="4" t="inlineStr">
        <is>
          <t>https://commonwealthbeacon.org/economy/the-geography-of-proposition-2frac12-overrides/</t>
        </is>
      </c>
    </row>
    <row r="400" ht="30" customHeight="1">
      <c r="A400" s="13" t="inlineStr">
        <is>
          <t>Massachusetts</t>
        </is>
      </c>
      <c r="B400" s="4" t="inlineStr">
        <is>
          <t>Federal government &amp; data</t>
        </is>
      </c>
      <c r="C400" s="4" t="inlineStr">
        <is>
          <t>www2.census.gov</t>
        </is>
      </c>
      <c r="D400" s="15" t="inlineStr">
        <is>
          <t>22slsstab1.xlsx</t>
        </is>
      </c>
      <c r="E400" s="4" t="n"/>
      <c r="F400" s="4" t="inlineStr">
        <is>
          <t>AL, AR, IA, KS, KY, LA, MD, ME, MI, MN, MO, MS, MT, NC, ND, NE, NH, NJ, NM, NV, NY, OH, OK, OR, PA, RI, SC, SD, TN, TX, UT, VA, VT, WA, WI, WV, WY</t>
        </is>
      </c>
      <c r="G400" s="4" t="inlineStr">
        <is>
          <t>https://www2.census.gov/programs-surveys/gov-finances/tables/2022/22slsstab1.xlsx</t>
        </is>
      </c>
    </row>
    <row r="401" ht="34" customHeight="1">
      <c r="A401" s="13" t="inlineStr">
        <is>
          <t>Massachusetts</t>
        </is>
      </c>
      <c r="B401" s="4" t="inlineStr">
        <is>
          <t>State government</t>
        </is>
      </c>
      <c r="C401" s="4" t="inlineStr">
        <is>
          <t>mass.gov</t>
        </is>
      </c>
      <c r="D401" s="15" t="inlineStr">
        <is>
          <t>Not allowed | Mass Gov (reporting-prop-2-12-election-results-and-related-fy2025-analysis)</t>
        </is>
      </c>
      <c r="E401" s="4" t="n"/>
      <c r="F401" s="4" t="n"/>
      <c r="G401" s="4" t="inlineStr">
        <is>
          <t>https://www.mass.gov/info-details/reporting-prop-2-12-election-results-and-related-fy2025-analysis</t>
        </is>
      </c>
    </row>
    <row r="402" ht="30" customHeight="1">
      <c r="A402" s="13" t="inlineStr">
        <is>
          <t>Massachusetts</t>
        </is>
      </c>
      <c r="B402" s="4" t="inlineStr">
        <is>
          <t>State government</t>
        </is>
      </c>
      <c r="C402" s="4" t="inlineStr">
        <is>
          <t>mass.gov</t>
        </is>
      </c>
      <c r="D402" s="15" t="inlineStr">
        <is>
          <t>Not allowed | Mass Gov (analyzing-fy2026-new-growth)</t>
        </is>
      </c>
      <c r="E402" s="4" t="n"/>
      <c r="F402" s="4" t="n"/>
      <c r="G402" s="4" t="inlineStr">
        <is>
          <t>https://www.mass.gov/info-details/analyzing-fy2026-new-growth</t>
        </is>
      </c>
    </row>
    <row r="403" ht="30" customHeight="1">
      <c r="A403" s="13" t="inlineStr">
        <is>
          <t>Massachusetts</t>
        </is>
      </c>
      <c r="B403" s="4" t="inlineStr">
        <is>
          <t>State government</t>
        </is>
      </c>
      <c r="C403" s="4" t="inlineStr">
        <is>
          <t>mass.gov</t>
        </is>
      </c>
      <c r="D403" s="15" t="inlineStr">
        <is>
          <t>Not allowed | Mass Gov (examining-fy26-excess-levy-capacity-and-levy-limits)</t>
        </is>
      </c>
      <c r="E403" s="4" t="n"/>
      <c r="F403" s="4" t="n"/>
      <c r="G403" s="4" t="inlineStr">
        <is>
          <t>https://www.mass.gov/info-details/examining-fy26-excess-levy-capacity-and-levy-limits</t>
        </is>
      </c>
    </row>
    <row r="404" ht="30" customHeight="1">
      <c r="A404" s="13" t="inlineStr">
        <is>
          <t>Massachusetts</t>
        </is>
      </c>
      <c r="B404" s="4" t="inlineStr">
        <is>
          <t>State government</t>
        </is>
      </c>
      <c r="C404" s="4" t="inlineStr">
        <is>
          <t>mass.gov</t>
        </is>
      </c>
      <c r="D404" s="15" t="inlineStr">
        <is>
          <t>Not allowed | Mass Gov (fy2026-tax-levies-assessed-values-and-tax-rates)</t>
        </is>
      </c>
      <c r="E404" s="4" t="n"/>
      <c r="F404" s="4" t="n"/>
      <c r="G404" s="4" t="inlineStr">
        <is>
          <t>https://www.mass.gov/info-details/fy2026-tax-levies-assessed-values-and-tax-rates</t>
        </is>
      </c>
    </row>
    <row r="405" ht="34" customHeight="1">
      <c r="A405" s="13" t="inlineStr">
        <is>
          <t>Massachusetts</t>
        </is>
      </c>
      <c r="B405" s="4" t="inlineStr">
        <is>
          <t>State government</t>
        </is>
      </c>
      <c r="C405" s="4" t="inlineStr">
        <is>
          <t>mass.gov</t>
        </is>
      </c>
      <c r="D405" s="15" t="inlineStr">
        <is>
          <t>Not allowed | Mass Gov (tir-25-7-annual-update-of-real-estate-tax-credit-for-certain-persons-age-65-and-older)</t>
        </is>
      </c>
      <c r="E405" s="4" t="n"/>
      <c r="F405" s="4" t="n"/>
      <c r="G405" s="4" t="inlineStr">
        <is>
          <t>https://mass.gov/technical-information-release/tir-25-7-annual-update-of-real-estate-tax-credit-for-certain-persons-age-65-and-older</t>
        </is>
      </c>
    </row>
    <row r="406" ht="30" customHeight="1">
      <c r="A406" s="13" t="inlineStr">
        <is>
          <t>Massachusetts</t>
        </is>
      </c>
      <c r="B406" s="4" t="inlineStr">
        <is>
          <t>Constitution &amp; statutes</t>
        </is>
      </c>
      <c r="C406" s="4" t="inlineStr">
        <is>
          <t>malegislature.gov</t>
        </is>
      </c>
      <c r="D406" s="15" t="inlineStr">
        <is>
          <t>General Law - Part I, Title IX, Chapter 59, Section 5C</t>
        </is>
      </c>
      <c r="E406" s="4" t="n"/>
      <c r="F406" s="4" t="n"/>
      <c r="G406" s="4" t="inlineStr">
        <is>
          <t>https://malegislature.gov/Laws/GeneralLaws/PartI/TitleIX/Chapter59/Section5C</t>
        </is>
      </c>
    </row>
    <row r="407" ht="30" customHeight="1">
      <c r="A407" s="13" t="inlineStr">
        <is>
          <t>Massachusetts</t>
        </is>
      </c>
      <c r="B407" s="4" t="inlineStr">
        <is>
          <t>Constitution &amp; statutes</t>
        </is>
      </c>
      <c r="C407" s="4" t="inlineStr">
        <is>
          <t>malegislature.gov</t>
        </is>
      </c>
      <c r="D407" s="15" t="inlineStr">
        <is>
          <t>General Law - Part I, Title VII, Chapter 40, Section 56</t>
        </is>
      </c>
      <c r="E407" s="4" t="n"/>
      <c r="F407" s="4" t="n"/>
      <c r="G407" s="4" t="inlineStr">
        <is>
          <t>https://malegislature.gov/Laws/GeneralLaws/PartI/TitleVII/Chapter40/Section56</t>
        </is>
      </c>
    </row>
    <row r="408" ht="30" customHeight="1">
      <c r="A408" s="13" t="inlineStr">
        <is>
          <t>Massachusetts</t>
        </is>
      </c>
      <c r="B408" s="4" t="inlineStr">
        <is>
          <t>Constitution &amp; statutes</t>
        </is>
      </c>
      <c r="C408" s="4" t="inlineStr">
        <is>
          <t>malegislature.gov</t>
        </is>
      </c>
      <c r="D408" s="15" t="inlineStr">
        <is>
          <t>General Law - Part I, Title IX, Chapter 58, Section 1A</t>
        </is>
      </c>
      <c r="E408" s="4" t="n"/>
      <c r="F408" s="4" t="n"/>
      <c r="G408" s="4" t="inlineStr">
        <is>
          <t>https://malegislature.gov/Laws/GeneralLaws/PartI/TitleIX/Chapter58/Section1A</t>
        </is>
      </c>
    </row>
    <row r="409" ht="30" customHeight="1">
      <c r="A409" s="13" t="inlineStr">
        <is>
          <t>Massachusetts</t>
        </is>
      </c>
      <c r="B409" s="4" t="inlineStr">
        <is>
          <t>Constitution &amp; statutes</t>
        </is>
      </c>
      <c r="C409" s="4" t="inlineStr">
        <is>
          <t>malegislature.gov</t>
        </is>
      </c>
      <c r="D409" s="15" t="inlineStr">
        <is>
          <t>General Law - Part I, Title VII, Chapter 44B, Section 3</t>
        </is>
      </c>
      <c r="E409" s="4" t="n"/>
      <c r="F409" s="4" t="n"/>
      <c r="G409" s="4" t="inlineStr">
        <is>
          <t>https://malegislature.gov/Laws/GeneralLaws/PartI/TitleVII/Chapter44B/Section3</t>
        </is>
      </c>
    </row>
    <row r="410" ht="30" customHeight="1">
      <c r="A410" s="13" t="inlineStr">
        <is>
          <t>Massachusetts</t>
        </is>
      </c>
      <c r="B410" s="4" t="inlineStr">
        <is>
          <t>Bills &amp; legislative documents</t>
        </is>
      </c>
      <c r="C410" s="4" t="inlineStr">
        <is>
          <t>malegislature.gov</t>
        </is>
      </c>
      <c r="D410" s="15" t="inlineStr">
        <is>
          <t>Press Room</t>
        </is>
      </c>
      <c r="E410" s="4" t="n"/>
      <c r="F410" s="4" t="n"/>
      <c r="G410" s="4" t="inlineStr">
        <is>
          <t>https://malegislature.gov/PressRoom/Detail?pressReleaseId=309</t>
        </is>
      </c>
    </row>
    <row r="411" ht="30" customHeight="1">
      <c r="A411" s="13" t="inlineStr">
        <is>
          <t>Massachusetts</t>
        </is>
      </c>
      <c r="B411" s="4" t="inlineStr">
        <is>
          <t>Bills &amp; legislative documents</t>
        </is>
      </c>
      <c r="C411" s="4" t="inlineStr">
        <is>
          <t>malegislature.gov</t>
        </is>
      </c>
      <c r="D411" s="15" t="inlineStr">
        <is>
          <t>Bill S.2902</t>
        </is>
      </c>
      <c r="E411" s="4" t="n"/>
      <c r="F411" s="4" t="n"/>
      <c r="G411" s="4" t="inlineStr">
        <is>
          <t>https://malegislature.gov/Bills/194/S2902</t>
        </is>
      </c>
    </row>
    <row r="412" ht="30" customHeight="1">
      <c r="A412" s="13" t="inlineStr">
        <is>
          <t>Massachusetts</t>
        </is>
      </c>
      <c r="B412" s="4" t="inlineStr">
        <is>
          <t>Bills &amp; legislative documents</t>
        </is>
      </c>
      <c r="C412" s="4" t="inlineStr">
        <is>
          <t>malegislature.gov</t>
        </is>
      </c>
      <c r="D412" s="15" t="inlineStr">
        <is>
          <t>Bill S.2917</t>
        </is>
      </c>
      <c r="E412" s="4" t="n"/>
      <c r="F412" s="4" t="n"/>
      <c r="G412" s="4" t="inlineStr">
        <is>
          <t>https://malegislature.gov/Bills/194/S2917</t>
        </is>
      </c>
    </row>
    <row r="413" ht="34" customHeight="1">
      <c r="A413" s="13" t="inlineStr">
        <is>
          <t>Massachusetts</t>
        </is>
      </c>
      <c r="B413" s="4" t="inlineStr">
        <is>
          <t>News</t>
        </is>
      </c>
      <c r="C413" s="4" t="inlineStr">
        <is>
          <t>wbur.org</t>
        </is>
      </c>
      <c r="D413" s="15" t="inlineStr">
        <is>
          <t>Boston City Council sets property tax rates, effectively approving 13% residential hike</t>
        </is>
      </c>
      <c r="E413" s="4" t="inlineStr">
        <is>
          <t>2025-12-10</t>
        </is>
      </c>
      <c r="F413" s="4" t="n"/>
      <c r="G413" s="4" t="inlineStr">
        <is>
          <t>https://www.wbur.org/news/2025/12/10/boston-city-council-property-tax-increase</t>
        </is>
      </c>
    </row>
    <row r="414" ht="34" customHeight="1">
      <c r="A414" s="13" t="inlineStr">
        <is>
          <t>Massachusetts</t>
        </is>
      </c>
      <c r="B414" s="4" t="inlineStr">
        <is>
          <t>News</t>
        </is>
      </c>
      <c r="C414" s="4" t="inlineStr">
        <is>
          <t>wbur.org</t>
        </is>
      </c>
      <c r="D414" s="15" t="inlineStr">
        <is>
          <t>Mass. senators are still blocking Wu's property tax shift plan. Here's what they want to do instead</t>
        </is>
      </c>
      <c r="E414" s="4" t="inlineStr">
        <is>
          <t>2025-12-10</t>
        </is>
      </c>
      <c r="F414" s="4" t="n"/>
      <c r="G414" s="4" t="inlineStr">
        <is>
          <t>https://www.wbur.org/news/2025/12/10/boston-tax-shift-home-rule-senate-plan-brownsberger-collins</t>
        </is>
      </c>
    </row>
    <row r="415" ht="30" customHeight="1">
      <c r="A415" s="13" t="inlineStr">
        <is>
          <t>Massachusetts</t>
        </is>
      </c>
      <c r="B415" s="4" t="inlineStr">
        <is>
          <t>News</t>
        </is>
      </c>
      <c r="C415" s="4" t="inlineStr">
        <is>
          <t>wbur.org</t>
        </is>
      </c>
      <c r="D415" s="15" t="inlineStr">
        <is>
          <t>Mayor Wu: Boston residents' property taxes to increase 13% in January</t>
        </is>
      </c>
      <c r="E415" s="4" t="inlineStr">
        <is>
          <t>2025-12-03</t>
        </is>
      </c>
      <c r="F415" s="4" t="n"/>
      <c r="G415" s="4" t="inlineStr">
        <is>
          <t>https://www.wbur.org/news/2025/12/03/mayor-wu-boston-property-taxes-residential-increase-home-rule</t>
        </is>
      </c>
    </row>
    <row r="416" ht="30" customHeight="1">
      <c r="A416" s="13" t="inlineStr">
        <is>
          <t>Massachusetts</t>
        </is>
      </c>
      <c r="B416" s="4" t="inlineStr">
        <is>
          <t>News</t>
        </is>
      </c>
      <c r="C416" s="4" t="inlineStr">
        <is>
          <t>wbur.org</t>
        </is>
      </c>
      <c r="D416" s="15" t="inlineStr">
        <is>
          <t>Massachusetts Senate rejects Boston Mayor Michelle Wu’s tax-shift proposal</t>
        </is>
      </c>
      <c r="E416" s="4" t="inlineStr">
        <is>
          <t>2026-01-15</t>
        </is>
      </c>
      <c r="F416" s="4" t="n"/>
      <c r="G416" s="4" t="inlineStr">
        <is>
          <t>https://www.wbur.org/news/2026/01/15/massachusetts-senate-boston-wu-tax-shift</t>
        </is>
      </c>
    </row>
    <row r="417" ht="30" customHeight="1">
      <c r="A417" s="13" t="inlineStr">
        <is>
          <t>Massachusetts</t>
        </is>
      </c>
      <c r="B417" s="4" t="inlineStr">
        <is>
          <t>Local government</t>
        </is>
      </c>
      <c r="C417" s="4" t="inlineStr">
        <is>
          <t>boston.gov</t>
        </is>
      </c>
      <c r="D417" s="15" t="inlineStr">
        <is>
          <t>FY27 Property Taxes</t>
        </is>
      </c>
      <c r="E417" s="4" t="inlineStr">
        <is>
          <t>2019-11-22</t>
        </is>
      </c>
      <c r="F417" s="4" t="n"/>
      <c r="G417" s="4" t="inlineStr">
        <is>
          <t>https://boston.gov/departments/budget/fy27-property-taxes</t>
        </is>
      </c>
    </row>
    <row r="418" ht="30" customHeight="1">
      <c r="A418" s="13" t="inlineStr">
        <is>
          <t>Massachusetts</t>
        </is>
      </c>
      <c r="B418" s="4" t="inlineStr">
        <is>
          <t>News</t>
        </is>
      </c>
      <c r="C418" s="4" t="inlineStr">
        <is>
          <t>cambridgeday.com</t>
        </is>
      </c>
      <c r="D418" s="15" t="inlineStr">
        <is>
          <t>Council approves tax increase, warns of difficult budget season ahead</t>
        </is>
      </c>
      <c r="E418" s="4" t="inlineStr">
        <is>
          <t>2026-09-29</t>
        </is>
      </c>
      <c r="F418" s="4" t="n"/>
      <c r="G418" s="4" t="inlineStr">
        <is>
          <t>https://www.cambridgeday.com/2026/09/29/council-apptax-increase-difficult-budget/</t>
        </is>
      </c>
    </row>
    <row r="419" ht="30" customHeight="1">
      <c r="A419" s="13" t="inlineStr">
        <is>
          <t>Massachusetts</t>
        </is>
      </c>
      <c r="B419" s="4" t="inlineStr">
        <is>
          <t>News</t>
        </is>
      </c>
      <c r="C419" s="4" t="inlineStr">
        <is>
          <t>marbleheadindependent.com</t>
        </is>
      </c>
      <c r="D419" s="15" t="inlineStr">
        <is>
          <t>NEWS ANALYSIS: Marblehead’s $17.3 million night ranks second in state history</t>
        </is>
      </c>
      <c r="E419" s="4" t="inlineStr">
        <is>
          <t>2026-06-10</t>
        </is>
      </c>
      <c r="F419" s="4" t="n"/>
      <c r="G419" s="4" t="inlineStr">
        <is>
          <t>https://www.marbleheadindependent.com/news-analysis-marbleheads-17-3-million-override-night-ranks-second-in-state-history/</t>
        </is>
      </c>
    </row>
    <row r="420" ht="30" customHeight="1">
      <c r="A420" s="13" t="inlineStr">
        <is>
          <t>Massachusetts</t>
        </is>
      </c>
      <c r="B420" s="4" t="inlineStr">
        <is>
          <t>News</t>
        </is>
      </c>
      <c r="C420" s="4" t="inlineStr">
        <is>
          <t>yourarlington.com</t>
        </is>
      </c>
      <c r="D420" s="15" t="inlineStr">
        <is>
          <t>Arlington voters overwhelmingly approve $14.8 million override</t>
        </is>
      </c>
      <c r="E420" s="4" t="n"/>
      <c r="F420" s="4" t="n"/>
      <c r="G420" s="4" t="inlineStr">
        <is>
          <t>https://yourarlington.com/2026/04/town-election-override03282026/</t>
        </is>
      </c>
    </row>
    <row r="421" ht="34" customHeight="1">
      <c r="A421" s="13" t="inlineStr">
        <is>
          <t>Massachusetts</t>
        </is>
      </c>
      <c r="B421" s="4" t="inlineStr">
        <is>
          <t>News</t>
        </is>
      </c>
      <c r="C421" s="4" t="inlineStr">
        <is>
          <t>boston.com</t>
        </is>
      </c>
      <c r="D421" s="15" t="inlineStr">
        <is>
          <t>Brookline voters overwhelmingly approve tax override to avoid school, public safety cuts</t>
        </is>
      </c>
      <c r="E421" s="4" t="inlineStr">
        <is>
          <t>2026-05-12</t>
        </is>
      </c>
      <c r="F421" s="4" t="n"/>
      <c r="G421" s="4" t="inlineStr">
        <is>
          <t>https://www.boston.com/news/local-news/2026/05/11/brookline-voters-overwhelmingly-approve-tax-override-to-avoid-school-public-safety-cuts/</t>
        </is>
      </c>
    </row>
    <row r="422" ht="34" customHeight="1">
      <c r="A422" s="13" t="inlineStr">
        <is>
          <t>Massachusetts</t>
        </is>
      </c>
      <c r="B422" s="4" t="inlineStr">
        <is>
          <t>News</t>
        </is>
      </c>
      <c r="C422" s="4" t="inlineStr">
        <is>
          <t>bostonglobe.com</t>
        </is>
      </c>
      <c r="D422" s="15" t="inlineStr">
        <is>
          <t>Across Massachusetts, towns are asking for record property tax hikes to meet rising costs</t>
        </is>
      </c>
      <c r="E422" s="4" t="inlineStr">
        <is>
          <t>2026-03-25</t>
        </is>
      </c>
      <c r="F422" s="4" t="n"/>
      <c r="G422" s="4" t="inlineStr">
        <is>
          <t>https://www.bostonglobe.com/2026/03/24/metro/massachusetts-overrides-roundup/</t>
        </is>
      </c>
    </row>
    <row r="423" ht="30" customHeight="1">
      <c r="A423" s="13" t="inlineStr">
        <is>
          <t>Massachusetts</t>
        </is>
      </c>
      <c r="B423" s="4" t="inlineStr">
        <is>
          <t>News</t>
        </is>
      </c>
      <c r="C423" s="4" t="inlineStr">
        <is>
          <t>westernmassnews.com</t>
        </is>
      </c>
      <c r="D423" s="15" t="inlineStr">
        <is>
          <t>Prop. 2-1/2 override explained: Why 54 Massachusetts towns want higher taxes</t>
        </is>
      </c>
      <c r="E423" s="4" t="inlineStr">
        <is>
          <t>2026-06-08</t>
        </is>
      </c>
      <c r="F423" s="4" t="n"/>
      <c r="G423" s="4" t="inlineStr">
        <is>
          <t>https://www.westernmassnews.com/2026/06/08/prop-2-12-override-explained-why-54-massachusetts-towns-want-higher-taxes/</t>
        </is>
      </c>
    </row>
    <row r="424" ht="30" customHeight="1">
      <c r="A424" s="13" t="inlineStr">
        <is>
          <t>Massachusetts</t>
        </is>
      </c>
      <c r="B424" s="4" t="inlineStr">
        <is>
          <t>Research &amp; associations</t>
        </is>
      </c>
      <c r="C424" s="4" t="inlineStr">
        <is>
          <t>mma.org</t>
        </is>
      </c>
      <c r="D424" s="15" t="inlineStr">
        <is>
          <t>Key sections of Municipal Empowerment Act move in House</t>
        </is>
      </c>
      <c r="E424" s="4" t="inlineStr">
        <is>
          <t>2026-02-27</t>
        </is>
      </c>
      <c r="F424" s="4" t="n"/>
      <c r="G424" s="4" t="inlineStr">
        <is>
          <t>https://www.mma.org/key-sections-of-municipal-empowerment-act-move-in-house/</t>
        </is>
      </c>
    </row>
    <row r="425" ht="30" customHeight="1">
      <c r="A425" s="13" t="inlineStr">
        <is>
          <t>Massachusetts</t>
        </is>
      </c>
      <c r="B425" s="4" t="inlineStr">
        <is>
          <t>Research &amp; associations</t>
        </is>
      </c>
      <c r="C425" s="4" t="inlineStr">
        <is>
          <t>mma.org</t>
        </is>
      </c>
      <c r="D425" s="15" t="inlineStr">
        <is>
          <t>Municipal Empowerment Act awaits action in House</t>
        </is>
      </c>
      <c r="E425" s="4" t="inlineStr">
        <is>
          <t>2026-05-22</t>
        </is>
      </c>
      <c r="F425" s="4" t="n"/>
      <c r="G425" s="4" t="inlineStr">
        <is>
          <t>https://www.mma.org/municipal-empowerment-act-awaits-action-in-house/</t>
        </is>
      </c>
    </row>
    <row r="426" ht="30" customHeight="1">
      <c r="A426" s="13" t="inlineStr">
        <is>
          <t>Massachusetts</t>
        </is>
      </c>
      <c r="B426" s="4" t="inlineStr">
        <is>
          <t>Research &amp; associations</t>
        </is>
      </c>
      <c r="C426" s="4" t="inlineStr">
        <is>
          <t>mma.org</t>
        </is>
      </c>
      <c r="D426" s="15" t="inlineStr">
        <is>
          <t>Gov. Healey signs FY27 state budget with $40M UGGA increase</t>
        </is>
      </c>
      <c r="E426" s="4" t="inlineStr">
        <is>
          <t>2026-07-09</t>
        </is>
      </c>
      <c r="F426" s="4" t="n"/>
      <c r="G426" s="4" t="inlineStr">
        <is>
          <t>https://www.mma.org/gov-healey-signs-fy27-state-budget-with-40m-ugga-increase/</t>
        </is>
      </c>
    </row>
    <row r="427" ht="30" customHeight="1">
      <c r="A427" s="13" t="inlineStr">
        <is>
          <t>Massachusetts</t>
        </is>
      </c>
      <c r="B427" s="4" t="inlineStr">
        <is>
          <t>Research &amp; associations</t>
        </is>
      </c>
      <c r="C427" s="4" t="inlineStr">
        <is>
          <t>mma.org</t>
        </is>
      </c>
      <c r="D427" s="15" t="inlineStr">
        <is>
          <t>3 ballot questions raise concerns for local leaders</t>
        </is>
      </c>
      <c r="E427" s="4" t="inlineStr">
        <is>
          <t>2026-10-02</t>
        </is>
      </c>
      <c r="F427" s="4" t="n"/>
      <c r="G427" s="4" t="inlineStr">
        <is>
          <t>https://www.mma.org/3-ballot-questions-raise-concerns-for-local-leaders/</t>
        </is>
      </c>
    </row>
    <row r="428" ht="30" customHeight="1">
      <c r="A428" s="13" t="inlineStr">
        <is>
          <t>Massachusetts</t>
        </is>
      </c>
      <c r="B428" s="4" t="inlineStr">
        <is>
          <t>State government</t>
        </is>
      </c>
      <c r="C428" s="4" t="inlineStr">
        <is>
          <t>sec.state.ma.us</t>
        </is>
      </c>
      <c r="D428" s="15" t="inlineStr">
        <is>
          <t>Massachusetts INFORMATION</t>
        </is>
      </c>
      <c r="E428" s="4" t="inlineStr">
        <is>
          <t>2026</t>
        </is>
      </c>
      <c r="F428" s="4" t="n"/>
      <c r="G428" s="4" t="inlineStr">
        <is>
          <t>https://www.sec.state.ma.us/divisions/elections/download/information-for-voters/archive/IFV_2026%20English.pdf</t>
        </is>
      </c>
    </row>
    <row r="429" ht="30" customHeight="1">
      <c r="A429" s="13" t="inlineStr">
        <is>
          <t>Massachusetts</t>
        </is>
      </c>
      <c r="B429" s="4" t="inlineStr">
        <is>
          <t>News</t>
        </is>
      </c>
      <c r="C429" s="4" t="inlineStr">
        <is>
          <t>wgbh.org</t>
        </is>
      </c>
      <c r="D429" s="15" t="inlineStr">
        <is>
          <t>Income tax cut ballot question tossed by state’s highest court</t>
        </is>
      </c>
      <c r="E429" s="4" t="inlineStr">
        <is>
          <t>2026-06-18</t>
        </is>
      </c>
      <c r="F429" s="4" t="n"/>
      <c r="G429" s="4" t="inlineStr">
        <is>
          <t>https://www.wgbh.org/news/local/2026-06-18/income-tax-cut-ballot-question-tossed-by-states-highest-court</t>
        </is>
      </c>
    </row>
    <row r="430" ht="30" customHeight="1">
      <c r="A430" s="13" t="inlineStr">
        <is>
          <t>Massachusetts</t>
        </is>
      </c>
      <c r="B430" s="4" t="inlineStr">
        <is>
          <t>Free-market groups &amp; GOP caucuses</t>
        </is>
      </c>
      <c r="C430" s="4" t="inlineStr">
        <is>
          <t>taxfoundation.org</t>
        </is>
      </c>
      <c r="D430" s="15" t="inlineStr">
        <is>
          <t>Massachusetts Proposition 2 ½ Is Working</t>
        </is>
      </c>
      <c r="E430" s="4" t="inlineStr">
        <is>
          <t>2025-11-14</t>
        </is>
      </c>
      <c r="F430" s="4" t="n"/>
      <c r="G430" s="4" t="inlineStr">
        <is>
          <t>https://taxfoundation.org/research/all/state/massachusetts-property-tax-proposition-2-12/</t>
        </is>
      </c>
    </row>
    <row r="431" ht="30" customHeight="1">
      <c r="A431" s="13" t="inlineStr">
        <is>
          <t>Massachusetts</t>
        </is>
      </c>
      <c r="B431" s="4" t="inlineStr">
        <is>
          <t>Free-market groups &amp; GOP caucuses</t>
        </is>
      </c>
      <c r="C431" s="4" t="inlineStr">
        <is>
          <t>pioneerinstitute.org</t>
        </is>
      </c>
      <c r="D431" s="15" t="inlineStr">
        <is>
          <t>Pioneer Calls on MA Leaders to Probe Department Of Revenue's Inaction</t>
        </is>
      </c>
      <c r="E431" s="4" t="inlineStr">
        <is>
          <t>2026-09-21</t>
        </is>
      </c>
      <c r="F431" s="4" t="n"/>
      <c r="G431" s="4" t="inlineStr">
        <is>
          <t>https://pioneerinstitute.org/pioneer-calls-on-ma-leaders-to-probe-department-of-revenues-inaction/</t>
        </is>
      </c>
    </row>
    <row r="432" ht="49" customHeight="1">
      <c r="A432" s="13" t="inlineStr">
        <is>
          <t>Massachusetts</t>
        </is>
      </c>
      <c r="B432" s="4" t="inlineStr">
        <is>
          <t>Free-market groups &amp; GOP caucuses</t>
        </is>
      </c>
      <c r="C432" s="4" t="inlineStr">
        <is>
          <t>pioneerinstitute.org</t>
        </is>
      </c>
      <c r="D432" s="15" t="inlineStr">
        <is>
          <t>Pioneer New England Legal Foundation Urges DOR to Reopen Tax Assessments Probe After Boston Makes Initial Disclosure of 150 Properties Affected by Retaliatory Assessment Increases</t>
        </is>
      </c>
      <c r="E432" s="4" t="inlineStr">
        <is>
          <t>2026-08-18</t>
        </is>
      </c>
      <c r="F432" s="4" t="n"/>
      <c r="G432" s="4" t="inlineStr">
        <is>
          <t>https://pioneerinstitute.org/pioneer-new-england-legal-foundation-urges-dor-to-reopen-tax-assessments-probe-after-boston-makes-initial-disclosure-of-150-properties-affected-by-retaliatory-assessment-increases/</t>
        </is>
      </c>
    </row>
    <row r="433" ht="30" customHeight="1">
      <c r="A433" s="13" t="inlineStr">
        <is>
          <t>Massachusetts</t>
        </is>
      </c>
      <c r="B433" s="4" t="inlineStr">
        <is>
          <t>News</t>
        </is>
      </c>
      <c r="C433" s="4" t="inlineStr">
        <is>
          <t>newburyportnews.com</t>
        </is>
      </c>
      <c r="D433" s="15" t="inlineStr">
        <is>
          <t>Report: Prop 2½ keeping local taxes down</t>
        </is>
      </c>
      <c r="E433" s="4" t="inlineStr">
        <is>
          <t>2026-05-06</t>
        </is>
      </c>
      <c r="F433" s="4" t="n"/>
      <c r="G433" s="4" t="inlineStr">
        <is>
          <t>https://www.newburyportnews.com/news/report-prop-2-keeping-local-taxes-down/article_f96e818f-7dc4-5342-b9f9-94c644cebeb4.html</t>
        </is>
      </c>
    </row>
    <row r="434" ht="30" customHeight="1">
      <c r="A434" s="13" t="inlineStr">
        <is>
          <t>Massachusetts</t>
        </is>
      </c>
      <c r="B434" s="4" t="inlineStr">
        <is>
          <t>Research &amp; associations</t>
        </is>
      </c>
      <c r="C434" s="4" t="inlineStr">
        <is>
          <t>communitypreservation.org</t>
        </is>
      </c>
      <c r="D434" s="15" t="inlineStr">
        <is>
          <t>www.communitypreservation.org</t>
        </is>
      </c>
      <c r="E434" s="4" t="n"/>
      <c r="F434" s="4" t="n"/>
      <c r="G434" s="4" t="inlineStr">
        <is>
          <t>https://www.communitypreservation.org/</t>
        </is>
      </c>
    </row>
    <row r="435" ht="30" customHeight="1">
      <c r="A435" s="13" t="inlineStr">
        <is>
          <t>Massachusetts</t>
        </is>
      </c>
      <c r="B435" s="4" t="inlineStr">
        <is>
          <t>Free-market groups &amp; GOP caucuses</t>
        </is>
      </c>
      <c r="C435" s="4" t="inlineStr">
        <is>
          <t>cltg.org</t>
        </is>
      </c>
      <c r="D435" s="15" t="inlineStr">
        <is>
          <t>Citizens for Limited Taxation</t>
        </is>
      </c>
      <c r="E435" s="4" t="n"/>
      <c r="F435" s="4" t="n"/>
      <c r="G435" s="4" t="inlineStr">
        <is>
          <t>https://cltg.org/</t>
        </is>
      </c>
    </row>
    <row r="436" ht="30" customHeight="1">
      <c r="A436" s="13" t="inlineStr">
        <is>
          <t>Michigan</t>
        </is>
      </c>
      <c r="B436" s="4" t="inlineStr">
        <is>
          <t>Constitution &amp; statutes</t>
        </is>
      </c>
      <c r="C436" s="4" t="inlineStr">
        <is>
          <t>legislature.mi.gov</t>
        </is>
      </c>
      <c r="D436" s="15" t="inlineStr">
        <is>
          <t>MCL - Section 211.34d</t>
        </is>
      </c>
      <c r="E436" s="4" t="n"/>
      <c r="F436" s="4" t="n"/>
      <c r="G436" s="4" t="inlineStr">
        <is>
          <t>https://www.legislature.mi.gov/Laws/MCL?objectName=mcl-211-34d</t>
        </is>
      </c>
    </row>
    <row r="437" ht="30" customHeight="1">
      <c r="A437" s="13" t="inlineStr">
        <is>
          <t>Michigan</t>
        </is>
      </c>
      <c r="B437" s="4" t="inlineStr">
        <is>
          <t>Constitution &amp; statutes</t>
        </is>
      </c>
      <c r="C437" s="4" t="inlineStr">
        <is>
          <t>legislature.mi.gov</t>
        </is>
      </c>
      <c r="D437" s="15" t="inlineStr">
        <is>
          <t>MCL - Section 211.24e</t>
        </is>
      </c>
      <c r="E437" s="4" t="n"/>
      <c r="F437" s="4" t="n"/>
      <c r="G437" s="4" t="inlineStr">
        <is>
          <t>https://www.legislature.mi.gov/Laws/MCL?objectName=mcl-211-24e</t>
        </is>
      </c>
    </row>
    <row r="438" ht="30" customHeight="1">
      <c r="A438" s="13" t="inlineStr">
        <is>
          <t>Michigan</t>
        </is>
      </c>
      <c r="B438" s="4" t="inlineStr">
        <is>
          <t>State government</t>
        </is>
      </c>
      <c r="C438" s="4" t="inlineStr">
        <is>
          <t>michigan.gov</t>
        </is>
      </c>
      <c r="D438" s="15" t="inlineStr">
        <is>
          <t>Tax Year 2025 Information</t>
        </is>
      </c>
      <c r="E438" s="4" t="n"/>
      <c r="F438" s="4" t="n"/>
      <c r="G438" s="4" t="inlineStr">
        <is>
          <t>https://www.michigan.gov/taxes/iit/tax-guidance/tax-year-info/tax-year-2025-guidance</t>
        </is>
      </c>
    </row>
    <row r="439" ht="30" customHeight="1">
      <c r="A439" s="13" t="inlineStr">
        <is>
          <t>Michigan</t>
        </is>
      </c>
      <c r="B439" s="4" t="inlineStr">
        <is>
          <t>News</t>
        </is>
      </c>
      <c r="C439" s="4" t="inlineStr">
        <is>
          <t>bridgemi.com</t>
        </is>
      </c>
      <c r="D439" s="15" t="inlineStr">
        <is>
          <t>Property tax elimination proposal fails to make Michigan ballot — again</t>
        </is>
      </c>
      <c r="E439" s="4" t="inlineStr">
        <is>
          <t>2026-05-22</t>
        </is>
      </c>
      <c r="F439" s="4" t="n"/>
      <c r="G439" s="4" t="inlineStr">
        <is>
          <t>https://bridgemi.com/michigan-government/property-tax-elimination-proposal-fails-to-make-michigan-ballot-again/</t>
        </is>
      </c>
    </row>
    <row r="440" ht="30" customHeight="1">
      <c r="A440" s="13" t="inlineStr">
        <is>
          <t>Michigan</t>
        </is>
      </c>
      <c r="B440" s="4" t="inlineStr">
        <is>
          <t>Research &amp; associations</t>
        </is>
      </c>
      <c r="C440" s="4" t="inlineStr">
        <is>
          <t>lincolninst.edu</t>
        </is>
      </c>
      <c r="D440" s="15" t="inlineStr">
        <is>
          <t>levy limits 2022.xlsx</t>
        </is>
      </c>
      <c r="E440" s="4" t="n"/>
      <c r="F440" s="4" t="inlineStr">
        <is>
          <t>MA, ME, MN, MO, MS, MT, NM, NV, NY, RI, SD, WA, WI, WV</t>
        </is>
      </c>
      <c r="G440" s="4" t="inlineStr">
        <is>
          <t>https://www.lincolninst.edu/app/uploads/2024/12/levy_limits_2022.xlsx</t>
        </is>
      </c>
    </row>
    <row r="441" ht="30" customHeight="1">
      <c r="A441" s="13" t="inlineStr">
        <is>
          <t>Michigan</t>
        </is>
      </c>
      <c r="B441" s="4" t="inlineStr">
        <is>
          <t>Research &amp; associations</t>
        </is>
      </c>
      <c r="C441" s="4" t="inlineStr">
        <is>
          <t>lincolninst.edu</t>
        </is>
      </c>
      <c r="D441" s="15" t="inlineStr">
        <is>
          <t>assessment limits 2022-3.xlsx</t>
        </is>
      </c>
      <c r="E441" s="4" t="n"/>
      <c r="F441" s="4" t="inlineStr">
        <is>
          <t>CA, CT, FL, LA, MD, NY, SC</t>
        </is>
      </c>
      <c r="G441" s="4" t="inlineStr">
        <is>
          <t>https://www.lincolninst.edu/app/uploads/2024/12/assessment_limits_2022-3.xlsx</t>
        </is>
      </c>
    </row>
    <row r="442" ht="30" customHeight="1">
      <c r="A442" s="13" t="inlineStr">
        <is>
          <t>Michigan</t>
        </is>
      </c>
      <c r="B442" s="4" t="inlineStr">
        <is>
          <t>Research &amp; associations</t>
        </is>
      </c>
      <c r="C442" s="4" t="inlineStr">
        <is>
          <t>apps.lincolninst.edu</t>
        </is>
      </c>
      <c r="D442" s="15" t="inlineStr">
        <is>
          <t>rate-limits-2022-4.xlsx</t>
        </is>
      </c>
      <c r="E442" s="4" t="n"/>
      <c r="F442" s="4" t="inlineStr">
        <is>
          <t>AL, FL, IA, ID, KS, KY, LA, MA, MO, NM, NV, SC, SD, UT, WA, WV, WY</t>
        </is>
      </c>
      <c r="G442" s="4" t="inlineStr">
        <is>
          <t>https://apps.lincolninst.edu/uploads/summary-tables/rate-limits-summary-tables/rate-limits-2022-4.xlsx</t>
        </is>
      </c>
    </row>
    <row r="443" ht="30" customHeight="1">
      <c r="A443" s="13" t="inlineStr">
        <is>
          <t>Michigan</t>
        </is>
      </c>
      <c r="B443" s="4" t="inlineStr">
        <is>
          <t>Research &amp; associations</t>
        </is>
      </c>
      <c r="C443" s="4" t="inlineStr">
        <is>
          <t>lincolninst.edu</t>
        </is>
      </c>
      <c r="D443" s="15" t="inlineStr">
        <is>
          <t>truth in taxation 2024.xlsx</t>
        </is>
      </c>
      <c r="E443" s="4" t="n"/>
      <c r="F443" s="4" t="inlineStr">
        <is>
          <t>DE, GA, IA, IL, KY, MD, MN, MO, NC, ND, NE, NM, NV, NY, OH, OK, OR, PA, RI, TN, TX, UT, VA, VT, WV, WY</t>
        </is>
      </c>
      <c r="G443" s="4" t="inlineStr">
        <is>
          <t>https://www.lincolninst.edu/app/uploads/2024/10/truth_in_taxation_2024.xlsx</t>
        </is>
      </c>
    </row>
    <row r="444" ht="30" customHeight="1">
      <c r="A444" s="13" t="inlineStr">
        <is>
          <t>Michigan</t>
        </is>
      </c>
      <c r="B444" s="4" t="inlineStr">
        <is>
          <t>Federal government &amp; data</t>
        </is>
      </c>
      <c r="C444" s="4" t="inlineStr">
        <is>
          <t>www2.census.gov</t>
        </is>
      </c>
      <c r="D444" s="15" t="inlineStr">
        <is>
          <t>22slsstab1.xlsx</t>
        </is>
      </c>
      <c r="E444" s="4" t="n"/>
      <c r="F444" s="4" t="inlineStr">
        <is>
          <t>AL, AR, IA, KS, KY, LA, MA, MD, ME, MN, MO, MS, MT, NC, ND, NE, NH, NJ, NM, NV, NY, OH, OK, OR, PA, RI, SC, SD, TN, TX, UT, VA, VT, WA, WI, WV, WY</t>
        </is>
      </c>
      <c r="G444" s="4" t="inlineStr">
        <is>
          <t>https://www2.census.gov/programs-surveys/gov-finances/tables/2022/22slsstab1.xlsx</t>
        </is>
      </c>
    </row>
    <row r="445" ht="30" customHeight="1">
      <c r="A445" s="13" t="inlineStr">
        <is>
          <t>Michigan</t>
        </is>
      </c>
      <c r="B445" s="4" t="inlineStr">
        <is>
          <t>Constitution &amp; statutes</t>
        </is>
      </c>
      <c r="C445" s="4" t="inlineStr">
        <is>
          <t>legislature.mi.gov</t>
        </is>
      </c>
      <c r="D445" s="15" t="inlineStr">
        <is>
          <t>MCL - Article IX § 31</t>
        </is>
      </c>
      <c r="E445" s="4" t="n"/>
      <c r="F445" s="4" t="n"/>
      <c r="G445" s="4" t="inlineStr">
        <is>
          <t>https://www.legislature.mi.gov/Laws/MCL?objectName=mcl-Article-IX-31</t>
        </is>
      </c>
    </row>
    <row r="446" ht="30" customHeight="1">
      <c r="A446" s="13" t="inlineStr">
        <is>
          <t>Michigan</t>
        </is>
      </c>
      <c r="B446" s="4" t="inlineStr">
        <is>
          <t>Constitution &amp; statutes</t>
        </is>
      </c>
      <c r="C446" s="4" t="inlineStr">
        <is>
          <t>legislature.mi.gov</t>
        </is>
      </c>
      <c r="D446" s="15" t="inlineStr">
        <is>
          <t>MCL - Section 211.27a</t>
        </is>
      </c>
      <c r="E446" s="4" t="n"/>
      <c r="F446" s="4" t="n"/>
      <c r="G446" s="4" t="inlineStr">
        <is>
          <t>https://www.legislature.mi.gov/Laws/MCL?objectName=mcl-211-27a</t>
        </is>
      </c>
    </row>
    <row r="447" ht="30" customHeight="1">
      <c r="A447" s="13" t="inlineStr">
        <is>
          <t>Michigan</t>
        </is>
      </c>
      <c r="B447" s="4" t="inlineStr">
        <is>
          <t>Constitution &amp; statutes</t>
        </is>
      </c>
      <c r="C447" s="4" t="inlineStr">
        <is>
          <t>legislature.mi.gov</t>
        </is>
      </c>
      <c r="D447" s="15" t="inlineStr">
        <is>
          <t>MCL - Section 141.412</t>
        </is>
      </c>
      <c r="E447" s="4" t="n"/>
      <c r="F447" s="4" t="n"/>
      <c r="G447" s="4" t="inlineStr">
        <is>
          <t>https://www.legislature.mi.gov/Laws/MCL?objectName=mcl-141-412</t>
        </is>
      </c>
    </row>
    <row r="448" ht="30" customHeight="1">
      <c r="A448" s="13" t="inlineStr">
        <is>
          <t>Michigan</t>
        </is>
      </c>
      <c r="B448" s="4" t="inlineStr">
        <is>
          <t>Constitution &amp; statutes</t>
        </is>
      </c>
      <c r="C448" s="4" t="inlineStr">
        <is>
          <t>legislature.mi.gov</t>
        </is>
      </c>
      <c r="D448" s="15" t="inlineStr">
        <is>
          <t>MCL - Section 141.436</t>
        </is>
      </c>
      <c r="E448" s="4" t="n"/>
      <c r="F448" s="4" t="n"/>
      <c r="G448" s="4" t="inlineStr">
        <is>
          <t>https://www.legislature.mi.gov/Laws/MCL?objectName=mcl-141-436</t>
        </is>
      </c>
    </row>
    <row r="449" ht="30" customHeight="1">
      <c r="A449" s="13" t="inlineStr">
        <is>
          <t>Michigan</t>
        </is>
      </c>
      <c r="B449" s="4" t="inlineStr">
        <is>
          <t>Constitution &amp; statutes</t>
        </is>
      </c>
      <c r="C449" s="4" t="inlineStr">
        <is>
          <t>legislature.mi.gov</t>
        </is>
      </c>
      <c r="D449" s="15" t="inlineStr">
        <is>
          <t>MCL - Section 206.520</t>
        </is>
      </c>
      <c r="E449" s="4" t="n"/>
      <c r="F449" s="4" t="n"/>
      <c r="G449" s="4" t="inlineStr">
        <is>
          <t>https://www.legislature.mi.gov/Laws/MCL?objectName=mcl-206-520</t>
        </is>
      </c>
    </row>
    <row r="450" ht="30" customHeight="1">
      <c r="A450" s="13" t="inlineStr">
        <is>
          <t>Michigan</t>
        </is>
      </c>
      <c r="B450" s="4" t="inlineStr">
        <is>
          <t>Constitution &amp; statutes</t>
        </is>
      </c>
      <c r="C450" s="4" t="inlineStr">
        <is>
          <t>legislature.mi.gov</t>
        </is>
      </c>
      <c r="D450" s="15" t="inlineStr">
        <is>
          <t>MCL - Section 206.522</t>
        </is>
      </c>
      <c r="E450" s="4" t="n"/>
      <c r="F450" s="4" t="n"/>
      <c r="G450" s="4" t="inlineStr">
        <is>
          <t>https://www.legislature.mi.gov/Laws/MCL?objectName=mcl-206-522</t>
        </is>
      </c>
    </row>
    <row r="451" ht="30" customHeight="1">
      <c r="A451" s="13" t="inlineStr">
        <is>
          <t>Michigan</t>
        </is>
      </c>
      <c r="B451" s="4" t="inlineStr">
        <is>
          <t>Constitution &amp; statutes</t>
        </is>
      </c>
      <c r="C451" s="4" t="inlineStr">
        <is>
          <t>legislature.mi.gov</t>
        </is>
      </c>
      <c r="D451" s="15" t="inlineStr">
        <is>
          <t>MCL - Section 211.7b</t>
        </is>
      </c>
      <c r="E451" s="4" t="n"/>
      <c r="F451" s="4" t="n"/>
      <c r="G451" s="4" t="inlineStr">
        <is>
          <t>https://www.legislature.mi.gov/Laws/MCL?objectName=mcl-211-7b</t>
        </is>
      </c>
    </row>
    <row r="452" ht="30" customHeight="1">
      <c r="A452" s="13" t="inlineStr">
        <is>
          <t>Michigan</t>
        </is>
      </c>
      <c r="B452" s="4" t="inlineStr">
        <is>
          <t>Bills &amp; legislative documents</t>
        </is>
      </c>
      <c r="C452" s="4" t="inlineStr">
        <is>
          <t>legislature.mi.gov</t>
        </is>
      </c>
      <c r="D452" s="15" t="inlineStr">
        <is>
          <t>Act No. 179 Public Acts of 2015</t>
        </is>
      </c>
      <c r="E452" s="4" t="inlineStr">
        <is>
          <t>2015</t>
        </is>
      </c>
      <c r="F452" s="4" t="n"/>
      <c r="G452" s="4" t="inlineStr">
        <is>
          <t>https://www.legislature.mi.gov/documents/2015-2016/publicact/pdf/2015-PA-0179.pdf</t>
        </is>
      </c>
    </row>
    <row r="453" ht="30" customHeight="1">
      <c r="A453" s="13" t="inlineStr">
        <is>
          <t>Michigan</t>
        </is>
      </c>
      <c r="B453" s="4" t="inlineStr">
        <is>
          <t>Bills &amp; legislative documents</t>
        </is>
      </c>
      <c r="C453" s="4" t="inlineStr">
        <is>
          <t>legislature.mi.gov</t>
        </is>
      </c>
      <c r="D453" s="15" t="inlineStr">
        <is>
          <t>1RUIH IN BUDGETING Legislative</t>
        </is>
      </c>
      <c r="E453" s="4" t="inlineStr">
        <is>
          <t>2016</t>
        </is>
      </c>
      <c r="F453" s="4" t="n"/>
      <c r="G453" s="4" t="inlineStr">
        <is>
          <t>https://www.legislature.mi.gov/documents/1995-1996/billanalysis/House/pdf/1995-HLA-4518-B.pdf</t>
        </is>
      </c>
    </row>
    <row r="454" ht="30" customHeight="1">
      <c r="A454" s="13" t="inlineStr">
        <is>
          <t>Michigan</t>
        </is>
      </c>
      <c r="B454" s="4" t="inlineStr">
        <is>
          <t>State government</t>
        </is>
      </c>
      <c r="C454" s="4" t="inlineStr">
        <is>
          <t>michigan.gov</t>
        </is>
      </c>
      <c r="D454" s="15" t="inlineStr">
        <is>
          <t>Revenue Administrative Bulletin 2021-25</t>
        </is>
      </c>
      <c r="E454" s="4" t="n"/>
      <c r="F454" s="4" t="n"/>
      <c r="G454" s="4" t="inlineStr">
        <is>
          <t>https://www.michigan.gov/taxes/rep-legal/rab/rabhtml/2021/revenue-administrative-bulletin-2021-25</t>
        </is>
      </c>
    </row>
    <row r="455" ht="34" customHeight="1">
      <c r="A455" s="13" t="inlineStr">
        <is>
          <t>Michigan</t>
        </is>
      </c>
      <c r="B455" s="4" t="inlineStr">
        <is>
          <t>State government</t>
        </is>
      </c>
      <c r="C455" s="4" t="inlineStr">
        <is>
          <t>michigan.gov</t>
        </is>
      </c>
      <c r="D455" s="15" t="inlineStr">
        <is>
          <t>Michigan Taxpayers Encouraged to Check Eligibility for Homestead Property Tax Credit</t>
        </is>
      </c>
      <c r="E455" s="4" t="inlineStr">
        <is>
          <t>2026-03-06</t>
        </is>
      </c>
      <c r="F455" s="4" t="n"/>
      <c r="G455" s="4" t="inlineStr">
        <is>
          <t>https://www.michigan.gov/treasury/news/2026/03/06/michigan-taxpayers-encouraged-to-check-eligibility-for-homestead-property-tax-credit</t>
        </is>
      </c>
    </row>
    <row r="456" ht="30" customHeight="1">
      <c r="A456" s="13" t="inlineStr">
        <is>
          <t>Michigan</t>
        </is>
      </c>
      <c r="B456" s="4" t="inlineStr">
        <is>
          <t>State government</t>
        </is>
      </c>
      <c r="C456" s="4" t="inlineStr">
        <is>
          <t>michigan.gov</t>
        </is>
      </c>
      <c r="D456" s="15" t="inlineStr">
        <is>
          <t>Local Community Stabilization Share (LCSS) Revenue Available</t>
        </is>
      </c>
      <c r="E456" s="4" t="n"/>
      <c r="F456" s="4" t="n"/>
      <c r="G456" s="4" t="inlineStr">
        <is>
          <t>https://www.michigan.gov/taxes/property/ppt/reimburse/lcss-revenue-available</t>
        </is>
      </c>
    </row>
    <row r="457" ht="30" customHeight="1">
      <c r="A457" s="13" t="inlineStr">
        <is>
          <t>Michigan</t>
        </is>
      </c>
      <c r="B457" s="4" t="inlineStr">
        <is>
          <t>Research &amp; associations</t>
        </is>
      </c>
      <c r="C457" s="4" t="inlineStr">
        <is>
          <t>mml.org</t>
        </is>
      </c>
      <c r="D457" s="15" t="inlineStr">
        <is>
          <t>Headlee Rollback and Headlee Override Introduction</t>
        </is>
      </c>
      <c r="E457" s="4" t="inlineStr">
        <is>
          <t>2025</t>
        </is>
      </c>
      <c r="F457" s="4" t="n"/>
      <c r="G457" s="4" t="inlineStr">
        <is>
          <t>https://mml.org/wp-content/uploads/2025/12/x-FS-Headlee-Plus-2026.pdf</t>
        </is>
      </c>
    </row>
    <row r="458" ht="30" customHeight="1">
      <c r="A458" s="13" t="inlineStr">
        <is>
          <t>Michigan</t>
        </is>
      </c>
      <c r="B458" s="4" t="inlineStr">
        <is>
          <t>Local government</t>
        </is>
      </c>
      <c r="C458" s="4" t="inlineStr">
        <is>
          <t>presqueisletwp.org</t>
        </is>
      </c>
      <c r="D458" s="15" t="inlineStr">
        <is>
          <t>Proposal-A-26.pdf</t>
        </is>
      </c>
      <c r="E458" s="4" t="inlineStr">
        <is>
          <t>2026</t>
        </is>
      </c>
      <c r="F458" s="4" t="n"/>
      <c r="G458" s="4" t="inlineStr">
        <is>
          <t>https://presqueisletwp.org/wp-content/uploads/2026/01/Proposal-A-26.pdf</t>
        </is>
      </c>
    </row>
    <row r="459" ht="30" customHeight="1">
      <c r="A459" s="13" t="inlineStr">
        <is>
          <t>Michigan</t>
        </is>
      </c>
      <c r="B459" s="4" t="inlineStr">
        <is>
          <t>Research &amp; associations</t>
        </is>
      </c>
      <c r="C459" s="4" t="inlineStr">
        <is>
          <t>lincolninst.edu</t>
        </is>
      </c>
      <c r="D459" s="15" t="inlineStr">
        <is>
          <t>levy limits 2022.xlsx</t>
        </is>
      </c>
      <c r="E459" s="4" t="n"/>
      <c r="F459" s="4" t="inlineStr">
        <is>
          <t>AK, AR, DE, IL</t>
        </is>
      </c>
      <c r="G459" s="4" t="inlineStr">
        <is>
          <t>https://www.lincolninst.edu/app/uploads/2025/01/levy_limits_2022.xlsx</t>
        </is>
      </c>
    </row>
    <row r="460" ht="30" customHeight="1">
      <c r="A460" s="13" t="inlineStr">
        <is>
          <t>Michigan</t>
        </is>
      </c>
      <c r="B460" s="4" t="inlineStr">
        <is>
          <t>State government</t>
        </is>
      </c>
      <c r="C460" s="4" t="inlineStr">
        <is>
          <t>michigan.gov</t>
        </is>
      </c>
      <c r="D460" s="15" t="inlineStr">
        <is>
          <t>Statewide Petition Status 2025-6</t>
        </is>
      </c>
      <c r="E460" s="4" t="inlineStr">
        <is>
          <t>2026</t>
        </is>
      </c>
      <c r="F460" s="4" t="n"/>
      <c r="G460" s="4" t="inlineStr">
        <is>
          <t>https://www.michigan.gov/sos/-/media/Project/Websites/sos/BSC-Announcements/Statewide-Petition-Status.pdf</t>
        </is>
      </c>
    </row>
    <row r="461" ht="34" customHeight="1">
      <c r="A461" s="13" t="inlineStr">
        <is>
          <t>Michigan</t>
        </is>
      </c>
      <c r="B461" s="4" t="inlineStr">
        <is>
          <t>News</t>
        </is>
      </c>
      <c r="C461" s="4" t="inlineStr">
        <is>
          <t>michiganpublic.org</t>
        </is>
      </c>
      <c r="D461" s="15" t="inlineStr">
        <is>
          <t>Michigan's November 2026 ballot is official, and includes two questions for all voters</t>
        </is>
      </c>
      <c r="E461" s="4" t="inlineStr">
        <is>
          <t>2026-09-04</t>
        </is>
      </c>
      <c r="F461" s="4" t="n"/>
      <c r="G461" s="4" t="inlineStr">
        <is>
          <t>https://www.michiganpublic.org/politics-government/2026-09-04/michigans-november-2026-ballot-is-official-includes-two-questions-for-all-voters</t>
        </is>
      </c>
    </row>
    <row r="462" ht="34" customHeight="1">
      <c r="A462" s="13" t="inlineStr">
        <is>
          <t>Michigan</t>
        </is>
      </c>
      <c r="B462" s="4" t="inlineStr">
        <is>
          <t>News</t>
        </is>
      </c>
      <c r="C462" s="4" t="inlineStr">
        <is>
          <t>michiganpublic.org</t>
        </is>
      </c>
      <c r="D462" s="15" t="inlineStr">
        <is>
          <t>House passes property tax cut bills, holds off on tax increases to fill budget hole</t>
        </is>
      </c>
      <c r="E462" s="4" t="inlineStr">
        <is>
          <t>2026-05-21</t>
        </is>
      </c>
      <c r="F462" s="4" t="n"/>
      <c r="G462" s="4" t="inlineStr">
        <is>
          <t>https://www.michiganpublic.org/politics-government/2026-05-21/house-passes-property-tax-cut-bills-holds-off-on-tax-increases-to-fill-budget-hole</t>
        </is>
      </c>
    </row>
    <row r="463" ht="30" customHeight="1">
      <c r="A463" s="13" t="inlineStr">
        <is>
          <t>Michigan</t>
        </is>
      </c>
      <c r="B463" s="4" t="inlineStr">
        <is>
          <t>Research &amp; associations</t>
        </is>
      </c>
      <c r="C463" s="4" t="inlineStr">
        <is>
          <t>mml.org</t>
        </is>
      </c>
      <c r="D463" s="15" t="inlineStr">
        <is>
          <t>House Rushes Through Property Tax Cut Bills Without Replacement Revenue</t>
        </is>
      </c>
      <c r="E463" s="4" t="inlineStr">
        <is>
          <t>2026-05-21</t>
        </is>
      </c>
      <c r="F463" s="4" t="n"/>
      <c r="G463" s="4" t="inlineStr">
        <is>
          <t>https://mml.org/inside208/2026/05/21/house-rushes-through-property-tax-cut-bills-without-replacement-revenue/</t>
        </is>
      </c>
    </row>
    <row r="464" ht="30" customHeight="1">
      <c r="A464" s="13" t="inlineStr">
        <is>
          <t>Michigan</t>
        </is>
      </c>
      <c r="B464" s="4" t="inlineStr">
        <is>
          <t>Bills &amp; legislative documents</t>
        </is>
      </c>
      <c r="C464" s="4" t="inlineStr">
        <is>
          <t>legislature.mi.gov</t>
        </is>
      </c>
      <c r="D464" s="15" t="inlineStr">
        <is>
          <t>House Bill 5872 of 2026</t>
        </is>
      </c>
      <c r="E464" s="4" t="n"/>
      <c r="F464" s="4" t="n"/>
      <c r="G464" s="4" t="inlineStr">
        <is>
          <t>https://www.legislature.mi.gov/Bills/Bill?ObjectName=2026-HB-5872</t>
        </is>
      </c>
    </row>
    <row r="465" ht="30" customHeight="1">
      <c r="A465" s="13" t="inlineStr">
        <is>
          <t>Michigan</t>
        </is>
      </c>
      <c r="B465" s="4" t="inlineStr">
        <is>
          <t>Bills &amp; legislative documents</t>
        </is>
      </c>
      <c r="C465" s="4" t="inlineStr">
        <is>
          <t>legislature.mi.gov</t>
        </is>
      </c>
      <c r="D465" s="15" t="inlineStr">
        <is>
          <t>House Bill 5873 of 2026</t>
        </is>
      </c>
      <c r="E465" s="4" t="n"/>
      <c r="F465" s="4" t="n"/>
      <c r="G465" s="4" t="inlineStr">
        <is>
          <t>https://www.legislature.mi.gov/Bills/Bill?ObjectName=2026-HB-5873</t>
        </is>
      </c>
    </row>
    <row r="466" ht="30" customHeight="1">
      <c r="A466" s="13" t="inlineStr">
        <is>
          <t>Michigan</t>
        </is>
      </c>
      <c r="B466" s="4" t="inlineStr">
        <is>
          <t>Bills &amp; legislative documents</t>
        </is>
      </c>
      <c r="C466" s="4" t="inlineStr">
        <is>
          <t>legislature.mi.gov</t>
        </is>
      </c>
      <c r="D466" s="15" t="inlineStr">
        <is>
          <t>House Bill 5878 of 2026</t>
        </is>
      </c>
      <c r="E466" s="4" t="n"/>
      <c r="F466" s="4" t="n"/>
      <c r="G466" s="4" t="inlineStr">
        <is>
          <t>https://www.legislature.mi.gov/Bills/Bill?ObjectName=2026-HB-5878</t>
        </is>
      </c>
    </row>
    <row r="467" ht="30" customHeight="1">
      <c r="A467" s="13" t="inlineStr">
        <is>
          <t>Michigan</t>
        </is>
      </c>
      <c r="B467" s="4" t="inlineStr">
        <is>
          <t>Bills &amp; legislative documents</t>
        </is>
      </c>
      <c r="C467" s="4" t="inlineStr">
        <is>
          <t>legislature.mi.gov</t>
        </is>
      </c>
      <c r="D467" s="15" t="inlineStr">
        <is>
          <t>House Bill 5880 of 2026</t>
        </is>
      </c>
      <c r="E467" s="4" t="n"/>
      <c r="F467" s="4" t="n"/>
      <c r="G467" s="4" t="inlineStr">
        <is>
          <t>https://www.legislature.mi.gov/Bills/Bill?ObjectName=2026-HB-5880</t>
        </is>
      </c>
    </row>
    <row r="468" ht="30" customHeight="1">
      <c r="A468" s="13" t="inlineStr">
        <is>
          <t>Michigan</t>
        </is>
      </c>
      <c r="B468" s="4" t="inlineStr">
        <is>
          <t>Bills &amp; legislative documents</t>
        </is>
      </c>
      <c r="C468" s="4" t="inlineStr">
        <is>
          <t>legislature.mi.gov</t>
        </is>
      </c>
      <c r="D468" s="15" t="inlineStr">
        <is>
          <t>Senate Bill 1039 of 2026</t>
        </is>
      </c>
      <c r="E468" s="4" t="n"/>
      <c r="F468" s="4" t="n"/>
      <c r="G468" s="4" t="inlineStr">
        <is>
          <t>https://www.legislature.mi.gov/Bills/Bill?ObjectName=2026-SB-1039</t>
        </is>
      </c>
    </row>
    <row r="469" ht="34" customHeight="1">
      <c r="A469" s="13" t="inlineStr">
        <is>
          <t>Michigan</t>
        </is>
      </c>
      <c r="B469" s="4" t="inlineStr">
        <is>
          <t>State government</t>
        </is>
      </c>
      <c r="C469" s="4" t="inlineStr">
        <is>
          <t>michigan.gov</t>
        </is>
      </c>
      <c r="D469" s="15" t="inlineStr">
        <is>
          <t>Gov. Whitmer Signs Bills to Extend Property Tax Relief, Support the Detroit/Wayne County Port Authority, and More</t>
        </is>
      </c>
      <c r="E469" s="4" t="inlineStr">
        <is>
          <t>2026-07-27</t>
        </is>
      </c>
      <c r="F469" s="4" t="n"/>
      <c r="G469" s="4" t="inlineStr">
        <is>
          <t>https://michigan.gov/whitmer/news/press-releases/2026/07/27/whitmer-signs-bills-to-extend-property-tax-relief-support-the-detroit-wayne-county-port-authority</t>
        </is>
      </c>
    </row>
    <row r="470" ht="30" customHeight="1">
      <c r="A470" s="13" t="inlineStr">
        <is>
          <t>Michigan</t>
        </is>
      </c>
      <c r="B470" s="4" t="inlineStr">
        <is>
          <t>Free-market groups &amp; GOP caucuses</t>
        </is>
      </c>
      <c r="C470" s="4" t="inlineStr">
        <is>
          <t>mackinac.org</t>
        </is>
      </c>
      <c r="D470" s="15" t="inlineStr">
        <is>
          <t>A look at Michigan’s property tax</t>
        </is>
      </c>
      <c r="E470" s="4" t="n"/>
      <c r="F470" s="4" t="n"/>
      <c r="G470" s="4" t="inlineStr">
        <is>
          <t>https://www.mackinac.org/blog/2026/a-look-at-michigans-property-tax</t>
        </is>
      </c>
    </row>
    <row r="471" ht="30" customHeight="1">
      <c r="A471" s="13" t="inlineStr">
        <is>
          <t>Michigan</t>
        </is>
      </c>
      <c r="B471" s="4" t="inlineStr">
        <is>
          <t>Free-market groups &amp; GOP caucuses</t>
        </is>
      </c>
      <c r="C471" s="4" t="inlineStr">
        <is>
          <t>mackinac.org</t>
        </is>
      </c>
      <c r="D471" s="15" t="inlineStr">
        <is>
          <t>Some Detroiters pay high property taxes, others don’t</t>
        </is>
      </c>
      <c r="E471" s="4" t="n"/>
      <c r="F471" s="4" t="n"/>
      <c r="G471" s="4" t="inlineStr">
        <is>
          <t>https://www.mackinac.org/blog/2026/some-detroiters-pay-high-property-taxes-others-dont</t>
        </is>
      </c>
    </row>
    <row r="472" ht="30" customHeight="1">
      <c r="A472" s="13" t="inlineStr">
        <is>
          <t>Michigan</t>
        </is>
      </c>
      <c r="B472" s="4" t="inlineStr">
        <is>
          <t>Free-market groups &amp; GOP caucuses</t>
        </is>
      </c>
      <c r="C472" s="4" t="inlineStr">
        <is>
          <t>mackinac.org</t>
        </is>
      </c>
      <c r="D472" s="15" t="inlineStr">
        <is>
          <t>Senior discount won’t solve Michigan’s property tax problem</t>
        </is>
      </c>
      <c r="E472" s="4" t="n"/>
      <c r="F472" s="4" t="n"/>
      <c r="G472" s="4" t="inlineStr">
        <is>
          <t>https://www.mackinac.org/blog/2026/senior-discount-wont-solve-michigans-property-tax-problem</t>
        </is>
      </c>
    </row>
    <row r="473" ht="30" customHeight="1">
      <c r="A473" s="13" t="inlineStr">
        <is>
          <t>Michigan</t>
        </is>
      </c>
      <c r="B473" s="4" t="inlineStr">
        <is>
          <t>Free-market groups &amp; GOP caucuses</t>
        </is>
      </c>
      <c r="C473" s="4" t="inlineStr">
        <is>
          <t>mackinac.org</t>
        </is>
      </c>
      <c r="D473" s="15" t="inlineStr">
        <is>
          <t>Voters can lower their own property taxes under Michigan rules</t>
        </is>
      </c>
      <c r="E473" s="4" t="n"/>
      <c r="F473" s="4" t="n"/>
      <c r="G473" s="4" t="inlineStr">
        <is>
          <t>https://www.mackinac.org/blog/2026/voters-can-lower-their-own-property-taxes-under-michigan-rules</t>
        </is>
      </c>
    </row>
    <row r="474" ht="30" customHeight="1">
      <c r="A474" s="13" t="inlineStr">
        <is>
          <t>Minnesota</t>
        </is>
      </c>
      <c r="B474" s="4" t="inlineStr">
        <is>
          <t>Constitution &amp; statutes</t>
        </is>
      </c>
      <c r="C474" s="4" t="inlineStr">
        <is>
          <t>revisor.mn.gov</t>
        </is>
      </c>
      <c r="D474" s="15" t="inlineStr">
        <is>
          <t>Sec. 275.70 MN Statutes</t>
        </is>
      </c>
      <c r="E474" s="4" t="n"/>
      <c r="F474" s="4" t="n"/>
      <c r="G474" s="4" t="inlineStr">
        <is>
          <t>https://www.revisor.mn.gov/statutes/cite/275.70</t>
        </is>
      </c>
    </row>
    <row r="475" ht="30" customHeight="1">
      <c r="A475" s="13" t="inlineStr">
        <is>
          <t>Minnesota</t>
        </is>
      </c>
      <c r="B475" s="4" t="inlineStr">
        <is>
          <t>Constitution &amp; statutes</t>
        </is>
      </c>
      <c r="C475" s="4" t="inlineStr">
        <is>
          <t>revisor.mn.gov</t>
        </is>
      </c>
      <c r="D475" s="15" t="inlineStr">
        <is>
          <t>Sec. 275.065 MN Statutes</t>
        </is>
      </c>
      <c r="E475" s="4" t="n"/>
      <c r="F475" s="4" t="n"/>
      <c r="G475" s="4" t="inlineStr">
        <is>
          <t>https://www.revisor.mn.gov/statutes/cite/275.065</t>
        </is>
      </c>
    </row>
    <row r="476" ht="30" customHeight="1">
      <c r="A476" s="13" t="inlineStr">
        <is>
          <t>Minnesota</t>
        </is>
      </c>
      <c r="B476" s="4" t="inlineStr">
        <is>
          <t>Constitution &amp; statutes</t>
        </is>
      </c>
      <c r="C476" s="4" t="inlineStr">
        <is>
          <t>revisor.mn.gov</t>
        </is>
      </c>
      <c r="D476" s="15" t="inlineStr">
        <is>
          <t>Sec. 275.025 MN Statutes</t>
        </is>
      </c>
      <c r="E476" s="4" t="n"/>
      <c r="F476" s="4" t="n"/>
      <c r="G476" s="4" t="inlineStr">
        <is>
          <t>https://www.revisor.mn.gov/statutes/cite/275.025</t>
        </is>
      </c>
    </row>
    <row r="477" ht="30" customHeight="1">
      <c r="A477" s="13" t="inlineStr">
        <is>
          <t>Minnesota</t>
        </is>
      </c>
      <c r="B477" s="4" t="inlineStr">
        <is>
          <t>Constitution &amp; statutes</t>
        </is>
      </c>
      <c r="C477" s="4" t="inlineStr">
        <is>
          <t>revisor.mn.gov</t>
        </is>
      </c>
      <c r="D477" s="15" t="inlineStr">
        <is>
          <t>Sec. 126C.17 MN Statutes</t>
        </is>
      </c>
      <c r="E477" s="4" t="n"/>
      <c r="F477" s="4" t="n"/>
      <c r="G477" s="4" t="inlineStr">
        <is>
          <t>https://www.revisor.mn.gov/statutes/cite/126C.17</t>
        </is>
      </c>
    </row>
    <row r="478" ht="30" customHeight="1">
      <c r="A478" s="13" t="inlineStr">
        <is>
          <t>Minnesota</t>
        </is>
      </c>
      <c r="B478" s="4" t="inlineStr">
        <is>
          <t>Constitution &amp; statutes</t>
        </is>
      </c>
      <c r="C478" s="4" t="inlineStr">
        <is>
          <t>revisor.mn.gov</t>
        </is>
      </c>
      <c r="D478" s="15" t="inlineStr">
        <is>
          <t>Sec. 290A.04 MN Statutes</t>
        </is>
      </c>
      <c r="E478" s="4" t="n"/>
      <c r="F478" s="4" t="n"/>
      <c r="G478" s="4" t="inlineStr">
        <is>
          <t>https://www.revisor.mn.gov/statutes/cite/290A.04</t>
        </is>
      </c>
    </row>
    <row r="479" ht="30" customHeight="1">
      <c r="A479" s="13" t="inlineStr">
        <is>
          <t>Minnesota</t>
        </is>
      </c>
      <c r="B479" s="4" t="inlineStr">
        <is>
          <t>Research &amp; associations</t>
        </is>
      </c>
      <c r="C479" s="4" t="inlineStr">
        <is>
          <t>lincolninst.edu</t>
        </is>
      </c>
      <c r="D479" s="15" t="inlineStr">
        <is>
          <t>levy limits 2022.xlsx</t>
        </is>
      </c>
      <c r="E479" s="4" t="n"/>
      <c r="F479" s="4" t="inlineStr">
        <is>
          <t>MA, ME, MI, MO, MS, MT, NM, NV, NY, RI, SD, WA, WI, WV</t>
        </is>
      </c>
      <c r="G479" s="4" t="inlineStr">
        <is>
          <t>https://www.lincolninst.edu/app/uploads/2024/12/levy_limits_2022.xlsx</t>
        </is>
      </c>
    </row>
    <row r="480" ht="30" customHeight="1">
      <c r="A480" s="13" t="inlineStr">
        <is>
          <t>Minnesota</t>
        </is>
      </c>
      <c r="B480" s="4" t="inlineStr">
        <is>
          <t>Research &amp; associations</t>
        </is>
      </c>
      <c r="C480" s="4" t="inlineStr">
        <is>
          <t>lincolninst.edu</t>
        </is>
      </c>
      <c r="D480" s="15" t="inlineStr">
        <is>
          <t>truth in taxation 2024.xlsx</t>
        </is>
      </c>
      <c r="E480" s="4" t="n"/>
      <c r="F480" s="4" t="inlineStr">
        <is>
          <t>DE, GA, IA, IL, KY, MD, MI, MO, NC, ND, NE, NM, NV, NY, OH, OK, OR, PA, RI, TN, TX, UT, VA, VT, WV, WY</t>
        </is>
      </c>
      <c r="G480" s="4" t="inlineStr">
        <is>
          <t>https://www.lincolninst.edu/app/uploads/2024/10/truth_in_taxation_2024.xlsx</t>
        </is>
      </c>
    </row>
    <row r="481" ht="30" customHeight="1">
      <c r="A481" s="13" t="inlineStr">
        <is>
          <t>Minnesota</t>
        </is>
      </c>
      <c r="B481" s="4" t="inlineStr">
        <is>
          <t>Federal government &amp; data</t>
        </is>
      </c>
      <c r="C481" s="4" t="inlineStr">
        <is>
          <t>www2.census.gov</t>
        </is>
      </c>
      <c r="D481" s="15" t="inlineStr">
        <is>
          <t>22slsstab1.xlsx</t>
        </is>
      </c>
      <c r="E481" s="4" t="n"/>
      <c r="F481" s="4" t="inlineStr">
        <is>
          <t>AL, AR, IA, KS, KY, LA, MA, MD, ME, MI, MO, MS, MT, NC, ND, NE, NH, NJ, NM, NV, NY, OH, OK, OR, PA, RI, SC, SD, TN, TX, UT, VA, VT, WA, WI, WV, WY</t>
        </is>
      </c>
      <c r="G481" s="4" t="inlineStr">
        <is>
          <t>https://www2.census.gov/programs-surveys/gov-finances/tables/2022/22slsstab1.xlsx</t>
        </is>
      </c>
    </row>
    <row r="482" ht="30" customHeight="1">
      <c r="A482" s="13" t="inlineStr">
        <is>
          <t>Minnesota</t>
        </is>
      </c>
      <c r="B482" s="4" t="inlineStr">
        <is>
          <t>Bills &amp; legislative documents</t>
        </is>
      </c>
      <c r="C482" s="4" t="inlineStr">
        <is>
          <t>house.mn.gov</t>
        </is>
      </c>
      <c r="D482" s="15" t="inlineStr">
        <is>
          <t>Levy Limits</t>
        </is>
      </c>
      <c r="E482" s="4" t="inlineStr">
        <is>
          <t>2025</t>
        </is>
      </c>
      <c r="F482" s="4" t="n"/>
      <c r="G482" s="4" t="inlineStr">
        <is>
          <t>https://www.house.mn.gov/hrd/pubs/ss/sslvylmt.pdf</t>
        </is>
      </c>
    </row>
    <row r="483" ht="30" customHeight="1">
      <c r="A483" s="13" t="inlineStr">
        <is>
          <t>Minnesota</t>
        </is>
      </c>
      <c r="B483" s="4" t="inlineStr">
        <is>
          <t>Constitution &amp; statutes</t>
        </is>
      </c>
      <c r="C483" s="4" t="inlineStr">
        <is>
          <t>revisor.mn.gov</t>
        </is>
      </c>
      <c r="D483" s="15" t="inlineStr">
        <is>
          <t>Sec. 275.71 MN Statutes</t>
        </is>
      </c>
      <c r="E483" s="4" t="n"/>
      <c r="F483" s="4" t="n"/>
      <c r="G483" s="4" t="inlineStr">
        <is>
          <t>https://www.revisor.mn.gov/statutes/cite/275.71</t>
        </is>
      </c>
    </row>
    <row r="484" ht="30" customHeight="1">
      <c r="A484" s="13" t="inlineStr">
        <is>
          <t>Minnesota</t>
        </is>
      </c>
      <c r="B484" s="4" t="inlineStr">
        <is>
          <t>Constitution &amp; statutes</t>
        </is>
      </c>
      <c r="C484" s="4" t="inlineStr">
        <is>
          <t>revisor.mn.gov</t>
        </is>
      </c>
      <c r="D484" s="15" t="inlineStr">
        <is>
          <t>SF 4608 Status in the Senate - 94th Legislature (2025</t>
        </is>
      </c>
      <c r="E484" s="4" t="n"/>
      <c r="F484" s="4" t="n"/>
      <c r="G484" s="4" t="inlineStr">
        <is>
          <t>https://www.revisor.mn.gov/bills/94/2026/0/SF/4608</t>
        </is>
      </c>
    </row>
    <row r="485" ht="30" customHeight="1">
      <c r="A485" s="13" t="inlineStr">
        <is>
          <t>Minnesota</t>
        </is>
      </c>
      <c r="B485" s="4" t="inlineStr">
        <is>
          <t>Constitution &amp; statutes</t>
        </is>
      </c>
      <c r="C485" s="4" t="inlineStr">
        <is>
          <t>revisor.mn.gov</t>
        </is>
      </c>
      <c r="D485" s="15" t="inlineStr">
        <is>
          <t>Sec. 273.13 MN Statutes</t>
        </is>
      </c>
      <c r="E485" s="4" t="n"/>
      <c r="F485" s="4" t="n"/>
      <c r="G485" s="4" t="inlineStr">
        <is>
          <t>https://www.revisor.mn.gov/statutes/cite/273.13</t>
        </is>
      </c>
    </row>
    <row r="486" ht="30" customHeight="1">
      <c r="A486" s="13" t="inlineStr">
        <is>
          <t>Minnesota</t>
        </is>
      </c>
      <c r="B486" s="4" t="inlineStr">
        <is>
          <t>Constitution &amp; statutes</t>
        </is>
      </c>
      <c r="C486" s="4" t="inlineStr">
        <is>
          <t>revisor.mn.gov</t>
        </is>
      </c>
      <c r="D486" s="15" t="inlineStr">
        <is>
          <t>Sec. 290.0693 MN Statutes</t>
        </is>
      </c>
      <c r="E486" s="4" t="n"/>
      <c r="F486" s="4" t="n"/>
      <c r="G486" s="4" t="inlineStr">
        <is>
          <t>https://www.revisor.mn.gov/statutes/cite/290.0693</t>
        </is>
      </c>
    </row>
    <row r="487" ht="30" customHeight="1">
      <c r="A487" s="13" t="inlineStr">
        <is>
          <t>Minnesota</t>
        </is>
      </c>
      <c r="B487" s="4" t="inlineStr">
        <is>
          <t>Constitution &amp; statutes</t>
        </is>
      </c>
      <c r="C487" s="4" t="inlineStr">
        <is>
          <t>revisor.mn.gov</t>
        </is>
      </c>
      <c r="D487" s="15" t="inlineStr">
        <is>
          <t>Sec. 290B.03 MN Statutes</t>
        </is>
      </c>
      <c r="E487" s="4" t="n"/>
      <c r="F487" s="4" t="n"/>
      <c r="G487" s="4" t="inlineStr">
        <is>
          <t>https://www.revisor.mn.gov/statutes/cite/290B.03</t>
        </is>
      </c>
    </row>
    <row r="488" ht="30" customHeight="1">
      <c r="A488" s="13" t="inlineStr">
        <is>
          <t>Minnesota</t>
        </is>
      </c>
      <c r="B488" s="4" t="inlineStr">
        <is>
          <t>Constitution &amp; statutes</t>
        </is>
      </c>
      <c r="C488" s="4" t="inlineStr">
        <is>
          <t>revisor.mn.gov</t>
        </is>
      </c>
      <c r="D488" s="15" t="inlineStr">
        <is>
          <t>Sec. 477A.03 MN Statutes</t>
        </is>
      </c>
      <c r="E488" s="4" t="n"/>
      <c r="F488" s="4" t="n"/>
      <c r="G488" s="4" t="inlineStr">
        <is>
          <t>https://www.revisor.mn.gov/statutes/cite/477A.03</t>
        </is>
      </c>
    </row>
    <row r="489" ht="30" customHeight="1">
      <c r="A489" s="13" t="inlineStr">
        <is>
          <t>Minnesota</t>
        </is>
      </c>
      <c r="B489" s="4" t="inlineStr">
        <is>
          <t>State government</t>
        </is>
      </c>
      <c r="C489" s="4" t="inlineStr">
        <is>
          <t>revenue.state.mn.us</t>
        </is>
      </c>
      <c r="D489" s="15" t="inlineStr">
        <is>
          <t>Certified 2026 Property Tax Levies</t>
        </is>
      </c>
      <c r="E489" s="4" t="n"/>
      <c r="F489" s="4" t="n"/>
      <c r="G489" s="4" t="inlineStr">
        <is>
          <t>https://www.revenue.state.mn.us/certified-property-tax-levies</t>
        </is>
      </c>
    </row>
    <row r="490" ht="30" customHeight="1">
      <c r="A490" s="13" t="inlineStr">
        <is>
          <t>Minnesota</t>
        </is>
      </c>
      <c r="B490" s="4" t="inlineStr">
        <is>
          <t>State government</t>
        </is>
      </c>
      <c r="C490" s="4" t="inlineStr">
        <is>
          <t>revenue.state.mn.us</t>
        </is>
      </c>
      <c r="D490" s="15" t="inlineStr">
        <is>
          <t>2026-certified-levies-website.xlsx</t>
        </is>
      </c>
      <c r="E490" s="4" t="n"/>
      <c r="F490" s="4" t="n"/>
      <c r="G490" s="4" t="inlineStr">
        <is>
          <t>https://www.revenue.state.mn.us/sites/default/files/2026-02/2026-certified-levies-website.xlsx</t>
        </is>
      </c>
    </row>
    <row r="491" ht="30" customHeight="1">
      <c r="A491" s="13" t="inlineStr">
        <is>
          <t>Minnesota</t>
        </is>
      </c>
      <c r="B491" s="4" t="inlineStr">
        <is>
          <t>State government</t>
        </is>
      </c>
      <c r="C491" s="4" t="inlineStr">
        <is>
          <t>revenue.state.mn.us</t>
        </is>
      </c>
      <c r="D491" s="15" t="inlineStr">
        <is>
          <t>2024-certified-levies-website.xlsx</t>
        </is>
      </c>
      <c r="E491" s="4" t="n"/>
      <c r="F491" s="4" t="n"/>
      <c r="G491" s="4" t="inlineStr">
        <is>
          <t>https://www.revenue.state.mn.us/sites/default/files/2024-03/2024-certified-levies-website.xlsx</t>
        </is>
      </c>
    </row>
    <row r="492" ht="30" customHeight="1">
      <c r="A492" s="13" t="inlineStr">
        <is>
          <t>Minnesota</t>
        </is>
      </c>
      <c r="B492" s="4" t="inlineStr">
        <is>
          <t>State government</t>
        </is>
      </c>
      <c r="C492" s="4" t="inlineStr">
        <is>
          <t>revenue.state.mn.us</t>
        </is>
      </c>
      <c r="D492" s="15" t="inlineStr">
        <is>
          <t>Preliminary Property Tax Levies for 2026</t>
        </is>
      </c>
      <c r="E492" s="4" t="n"/>
      <c r="F492" s="4" t="n"/>
      <c r="G492" s="4" t="inlineStr">
        <is>
          <t>https://revenue.state.mn.us/press-release/2025-11-13/preliminary-property-tax-levies-2026</t>
        </is>
      </c>
    </row>
    <row r="493" ht="30" customHeight="1">
      <c r="A493" s="13" t="inlineStr">
        <is>
          <t>Minnesota</t>
        </is>
      </c>
      <c r="B493" s="4" t="inlineStr">
        <is>
          <t>State government</t>
        </is>
      </c>
      <c r="C493" s="4" t="inlineStr">
        <is>
          <t>revenue.state.mn.us</t>
        </is>
      </c>
      <c r="D493" s="15" t="inlineStr">
        <is>
          <t>2025 Property Tax Refund Return (M1PR) Instructions</t>
        </is>
      </c>
      <c r="E493" s="4" t="inlineStr">
        <is>
          <t>2026</t>
        </is>
      </c>
      <c r="F493" s="4" t="n"/>
      <c r="G493" s="4" t="inlineStr">
        <is>
          <t>https://www.revenue.state.mn.us/sites/default/files/2026-06/m1pr-inst-25.pdf</t>
        </is>
      </c>
    </row>
    <row r="494" ht="30" customHeight="1">
      <c r="A494" s="13" t="inlineStr">
        <is>
          <t>Minnesota</t>
        </is>
      </c>
      <c r="B494" s="4" t="inlineStr">
        <is>
          <t>State government</t>
        </is>
      </c>
      <c r="C494" s="4" t="inlineStr">
        <is>
          <t>revenue.state.mn.us</t>
        </is>
      </c>
      <c r="D494" s="15" t="inlineStr">
        <is>
          <t>Homeowner's Homestead Credit Refund</t>
        </is>
      </c>
      <c r="E494" s="4" t="n"/>
      <c r="F494" s="4" t="n"/>
      <c r="G494" s="4" t="inlineStr">
        <is>
          <t>https://www.revenue.state.mn.us/homeowners-homestead-credit-refund</t>
        </is>
      </c>
    </row>
    <row r="495" ht="30" customHeight="1">
      <c r="A495" s="13" t="inlineStr">
        <is>
          <t>Minnesota</t>
        </is>
      </c>
      <c r="B495" s="4" t="inlineStr">
        <is>
          <t>State government</t>
        </is>
      </c>
      <c r="C495" s="4" t="inlineStr">
        <is>
          <t>revenue.state.mn.us</t>
        </is>
      </c>
      <c r="D495" s="15" t="inlineStr">
        <is>
          <t>Renter's Credit | Minnesota Department of Revenue</t>
        </is>
      </c>
      <c r="E495" s="4" t="n"/>
      <c r="F495" s="4" t="n"/>
      <c r="G495" s="4" t="inlineStr">
        <is>
          <t>https://www.revenue.state.mn.us/renters-credit</t>
        </is>
      </c>
    </row>
    <row r="496" ht="30" customHeight="1">
      <c r="A496" s="13" t="inlineStr">
        <is>
          <t>Minnesota</t>
        </is>
      </c>
      <c r="B496" s="4" t="inlineStr">
        <is>
          <t>State government</t>
        </is>
      </c>
      <c r="C496" s="4" t="inlineStr">
        <is>
          <t>revenue.state.mn.us</t>
        </is>
      </c>
      <c r="D496" s="15" t="inlineStr">
        <is>
          <t>Minnesota Revenue announces guidance for one-time increase to homeowner refunds</t>
        </is>
      </c>
      <c r="E496" s="4" t="n"/>
      <c r="F496" s="4" t="n"/>
      <c r="G496" s="4" t="inlineStr">
        <is>
          <t>https://www.revenue.state.mn.us/press-release/2026-06-05/minnesota-revenue-announces-guidance-one-time-increase-homeowner-refunds</t>
        </is>
      </c>
    </row>
    <row r="497" ht="30" customHeight="1">
      <c r="A497" s="13" t="inlineStr">
        <is>
          <t>Minnesota</t>
        </is>
      </c>
      <c r="B497" s="4" t="inlineStr">
        <is>
          <t>State government</t>
        </is>
      </c>
      <c r="C497" s="4" t="inlineStr">
        <is>
          <t>revenue.state.mn.us</t>
        </is>
      </c>
      <c r="D497" s="15" t="inlineStr">
        <is>
          <t>Report template (2025-property-tax-law-summary.pdf)</t>
        </is>
      </c>
      <c r="E497" s="4" t="inlineStr">
        <is>
          <t>2025</t>
        </is>
      </c>
      <c r="F497" s="4" t="n"/>
      <c r="G497" s="4" t="inlineStr">
        <is>
          <t>https://www.revenue.state.mn.us/sites/default/files/2025-07/2025-property-tax-law-summary.pdf</t>
        </is>
      </c>
    </row>
    <row r="498" ht="30" customHeight="1">
      <c r="A498" s="13" t="inlineStr">
        <is>
          <t>Minnesota</t>
        </is>
      </c>
      <c r="B498" s="4" t="inlineStr">
        <is>
          <t>State government</t>
        </is>
      </c>
      <c r="C498" s="4" t="inlineStr">
        <is>
          <t>revenue.state.mn.us</t>
        </is>
      </c>
      <c r="D498" s="15" t="inlineStr">
        <is>
          <t>Report template (2026-property-tax-law-summary 0.pdf)</t>
        </is>
      </c>
      <c r="E498" s="4" t="inlineStr">
        <is>
          <t>2026</t>
        </is>
      </c>
      <c r="F498" s="4" t="n"/>
      <c r="G498" s="4" t="inlineStr">
        <is>
          <t>https://www.revenue.state.mn.us/sites/default/files/2026-07/2026-property-tax-law-summary_0.pdf</t>
        </is>
      </c>
    </row>
    <row r="499" ht="30" customHeight="1">
      <c r="A499" s="13" t="inlineStr">
        <is>
          <t>Minnesota</t>
        </is>
      </c>
      <c r="B499" s="4" t="inlineStr">
        <is>
          <t>Bills &amp; legislative documents</t>
        </is>
      </c>
      <c r="C499" s="4" t="inlineStr">
        <is>
          <t>house.mn.gov</t>
        </is>
      </c>
      <c r="D499" s="15" t="inlineStr">
        <is>
          <t>New Laws - Minnesota House Public Information Services (5642)</t>
        </is>
      </c>
      <c r="E499" s="4" t="n"/>
      <c r="F499" s="4" t="n"/>
      <c r="G499" s="4" t="inlineStr">
        <is>
          <t>https://www.house.mn.gov/NewLaws/story/2025/5642</t>
        </is>
      </c>
    </row>
    <row r="500" ht="30" customHeight="1">
      <c r="A500" s="13" t="inlineStr">
        <is>
          <t>Minnesota</t>
        </is>
      </c>
      <c r="B500" s="4" t="inlineStr">
        <is>
          <t>Bills &amp; legislative documents</t>
        </is>
      </c>
      <c r="C500" s="4" t="inlineStr">
        <is>
          <t>house.mn.gov</t>
        </is>
      </c>
      <c r="D500" s="15" t="inlineStr">
        <is>
          <t>New Laws - Minnesota House Public Information Services (5779)</t>
        </is>
      </c>
      <c r="E500" s="4" t="n"/>
      <c r="F500" s="4" t="n"/>
      <c r="G500" s="4" t="inlineStr">
        <is>
          <t>https://www.house.mn.gov/NewLaws/story/2026/5779</t>
        </is>
      </c>
    </row>
    <row r="501" ht="34" customHeight="1">
      <c r="A501" s="13" t="inlineStr">
        <is>
          <t>Minnesota</t>
        </is>
      </c>
      <c r="B501" s="4" t="inlineStr">
        <is>
          <t>Bills &amp; legislative documents</t>
        </is>
      </c>
      <c r="C501" s="4" t="inlineStr">
        <is>
          <t>house.mn.gov</t>
        </is>
      </c>
      <c r="D501" s="15" t="inlineStr">
        <is>
          <t>Omnibus tax bill headed to governor's desk after lawmakers strike Sunday night deal - Session Daily</t>
        </is>
      </c>
      <c r="E501" s="4" t="n"/>
      <c r="F501" s="4" t="n"/>
      <c r="G501" s="4" t="inlineStr">
        <is>
          <t>https://www.house.mn.gov/SessionDaily/Story/19199</t>
        </is>
      </c>
    </row>
    <row r="502" ht="34" customHeight="1">
      <c r="A502" s="13" t="inlineStr">
        <is>
          <t>Minnesota</t>
        </is>
      </c>
      <c r="B502" s="4" t="inlineStr">
        <is>
          <t>Bills &amp; legislative documents</t>
        </is>
      </c>
      <c r="C502" s="4" t="inlineStr">
        <is>
          <t>house.mn.gov</t>
        </is>
      </c>
      <c r="D502" s="15" t="inlineStr">
        <is>
          <t>House GOP pushes for $4 billion property tax refund as DFL warns of risks to MN's hospitals, schools - Session Daily</t>
        </is>
      </c>
      <c r="E502" s="4" t="n"/>
      <c r="F502" s="4" t="n"/>
      <c r="G502" s="4" t="inlineStr">
        <is>
          <t>https://www.house.mn.gov/SessionDaily/Story/19081</t>
        </is>
      </c>
    </row>
    <row r="503" ht="30" customHeight="1">
      <c r="A503" s="13" t="inlineStr">
        <is>
          <t>Minnesota</t>
        </is>
      </c>
      <c r="B503" s="4" t="inlineStr">
        <is>
          <t>Free-market groups &amp; GOP caucuses</t>
        </is>
      </c>
      <c r="C503" s="4" t="inlineStr">
        <is>
          <t>americanexperiment.org</t>
        </is>
      </c>
      <c r="D503" s="15" t="inlineStr">
        <is>
          <t>How the DFL trifecta hiked property taxes and hit affordability</t>
        </is>
      </c>
      <c r="E503" s="4" t="inlineStr">
        <is>
          <t>2026-09-28</t>
        </is>
      </c>
      <c r="F503" s="4" t="n"/>
      <c r="G503" s="4" t="inlineStr">
        <is>
          <t>https://www.americanexperiment.org/how-the-dfl-trifecta-hiked-property-taxes-and-hit-affordability/</t>
        </is>
      </c>
    </row>
    <row r="504" ht="34" customHeight="1">
      <c r="A504" s="13" t="inlineStr">
        <is>
          <t>Minnesota</t>
        </is>
      </c>
      <c r="B504" s="4" t="inlineStr">
        <is>
          <t>Free-market groups &amp; GOP caucuses</t>
        </is>
      </c>
      <c r="C504" s="4" t="inlineStr">
        <is>
          <t>americanexperiment.org</t>
        </is>
      </c>
      <c r="D504" s="15" t="inlineStr">
        <is>
          <t>As property taxes surge again, hammering affordability, it's time for Minnesotans to say 'Taxed Enough Already'</t>
        </is>
      </c>
      <c r="E504" s="4" t="inlineStr">
        <is>
          <t>2026-08-17</t>
        </is>
      </c>
      <c r="F504" s="4" t="n"/>
      <c r="G504" s="4" t="inlineStr">
        <is>
          <t>https://www.americanexperiment.org/as-property-taxes-surge-again-hammering-affordability-its-time-for-minnesotans-to-say-taxed-enough-already/</t>
        </is>
      </c>
    </row>
    <row r="505" ht="30" customHeight="1">
      <c r="A505" s="13" t="inlineStr">
        <is>
          <t>Minnesota</t>
        </is>
      </c>
      <c r="B505" s="4" t="inlineStr">
        <is>
          <t>Free-market groups &amp; GOP caucuses</t>
        </is>
      </c>
      <c r="C505" s="4" t="inlineStr">
        <is>
          <t>freedomfoundationofminnesota.com</t>
        </is>
      </c>
      <c r="D505" s="15" t="inlineStr">
        <is>
          <t>Minnesota Legislature Takes Away Taxpayer's Right to Vote</t>
        </is>
      </c>
      <c r="E505" s="4" t="inlineStr">
        <is>
          <t>2024-04-14</t>
        </is>
      </c>
      <c r="F505" s="4" t="n"/>
      <c r="G505" s="4" t="inlineStr">
        <is>
          <t>https://freedomfoundationofminnesota.com/minnesota-legislature-takes-away-taxpayers-right-to-vote/</t>
        </is>
      </c>
    </row>
    <row r="506" ht="30" customHeight="1">
      <c r="A506" s="13" t="inlineStr">
        <is>
          <t>Mississippi</t>
        </is>
      </c>
      <c r="B506" s="4" t="inlineStr">
        <is>
          <t>Research &amp; associations</t>
        </is>
      </c>
      <c r="C506" s="4" t="inlineStr">
        <is>
          <t>lincolninst.edu</t>
        </is>
      </c>
      <c r="D506" s="15" t="inlineStr">
        <is>
          <t>Mississippi Highlights</t>
        </is>
      </c>
      <c r="E506" s="4" t="inlineStr">
        <is>
          <t>2021</t>
        </is>
      </c>
      <c r="F506" s="4" t="n"/>
      <c r="G506" s="4" t="inlineStr">
        <is>
          <t>https://www.lincolninst.edu/app/uploads/legacy-files/ms_june_2021.pdf</t>
        </is>
      </c>
    </row>
    <row r="507" ht="30" customHeight="1">
      <c r="A507" s="13" t="inlineStr">
        <is>
          <t>Mississippi</t>
        </is>
      </c>
      <c r="B507" s="4" t="inlineStr">
        <is>
          <t>Bills &amp; legislative documents</t>
        </is>
      </c>
      <c r="C507" s="4" t="inlineStr">
        <is>
          <t>billstatus.ls.state.ms.us</t>
        </is>
      </c>
      <c r="D507" s="15" t="inlineStr">
        <is>
          <t>HB1370IN</t>
        </is>
      </c>
      <c r="E507" s="4" t="n"/>
      <c r="F507" s="4" t="n"/>
      <c r="G507" s="4" t="inlineStr">
        <is>
          <t>https://billstatus.ls.state.ms.us/documents/2010/html/HB/1300-1399/HB1370IN.htm</t>
        </is>
      </c>
    </row>
    <row r="508" ht="30" customHeight="1">
      <c r="A508" s="13" t="inlineStr">
        <is>
          <t>Mississippi</t>
        </is>
      </c>
      <c r="B508" s="4" t="inlineStr">
        <is>
          <t>Research &amp; associations</t>
        </is>
      </c>
      <c r="C508" s="4" t="inlineStr">
        <is>
          <t>lincolninst.edu</t>
        </is>
      </c>
      <c r="D508" s="15" t="inlineStr">
        <is>
          <t>levy limits 2022.xlsx</t>
        </is>
      </c>
      <c r="E508" s="4" t="n"/>
      <c r="F508" s="4" t="inlineStr">
        <is>
          <t>MA, ME, MI, MN, MO, MT, NM, NV, NY, RI, SD, WA, WI, WV</t>
        </is>
      </c>
      <c r="G508" s="4" t="inlineStr">
        <is>
          <t>https://www.lincolninst.edu/app/uploads/2024/12/levy_limits_2022.xlsx</t>
        </is>
      </c>
    </row>
    <row r="509" ht="30" customHeight="1">
      <c r="A509" s="13" t="inlineStr">
        <is>
          <t>Mississippi</t>
        </is>
      </c>
      <c r="B509" s="4" t="inlineStr">
        <is>
          <t>Federal government &amp; data</t>
        </is>
      </c>
      <c r="C509" s="4" t="inlineStr">
        <is>
          <t>www2.census.gov</t>
        </is>
      </c>
      <c r="D509" s="15" t="inlineStr">
        <is>
          <t>22slsstab1.xlsx</t>
        </is>
      </c>
      <c r="E509" s="4" t="n"/>
      <c r="F509" s="4" t="inlineStr">
        <is>
          <t>AL, AR, IA, KS, KY, LA, MA, MD, ME, MI, MN, MO, MT, NC, ND, NE, NH, NJ, NM, NV, NY, OH, OK, OR, PA, RI, SC, SD, TN, TX, UT, VA, VT, WA, WI, WV, WY</t>
        </is>
      </c>
      <c r="G509" s="4" t="inlineStr">
        <is>
          <t>https://www2.census.gov/programs-surveys/gov-finances/tables/2022/22slsstab1.xlsx</t>
        </is>
      </c>
    </row>
    <row r="510" ht="30" customHeight="1">
      <c r="A510" s="13" t="inlineStr">
        <is>
          <t>Mississippi</t>
        </is>
      </c>
      <c r="B510" s="4" t="inlineStr">
        <is>
          <t>Courts &amp; legal codes</t>
        </is>
      </c>
      <c r="C510" s="4" t="inlineStr">
        <is>
          <t>codes.findlaw.com</t>
        </is>
      </c>
      <c r="D510" s="15" t="inlineStr">
        <is>
          <t>ms-code-sect-27-39-321</t>
        </is>
      </c>
      <c r="E510" s="4" t="n"/>
      <c r="F510" s="4" t="n"/>
      <c r="G510" s="4" t="inlineStr">
        <is>
          <t>https://codes.findlaw.com/ms/title-27-taxation-and-finance/ms-code-sect-27-39-321/</t>
        </is>
      </c>
    </row>
    <row r="511" ht="30" customHeight="1">
      <c r="A511" s="13" t="inlineStr">
        <is>
          <t>Mississippi</t>
        </is>
      </c>
      <c r="B511" s="4" t="inlineStr">
        <is>
          <t>Bills &amp; legislative documents</t>
        </is>
      </c>
      <c r="C511" s="4" t="inlineStr">
        <is>
          <t>billstatus.ls.state.ms.us</t>
        </is>
      </c>
      <c r="D511" s="15" t="inlineStr">
        <is>
          <t>HB4044SG</t>
        </is>
      </c>
      <c r="E511" s="4" t="n"/>
      <c r="F511" s="4" t="n"/>
      <c r="G511" s="4" t="inlineStr">
        <is>
          <t>https://billstatus.ls.state.ms.us/documents/2026/html/HB/4000-4099/HB4044SG.htm</t>
        </is>
      </c>
    </row>
    <row r="512" ht="30" customHeight="1">
      <c r="A512" s="13" t="inlineStr">
        <is>
          <t>Mississippi</t>
        </is>
      </c>
      <c r="B512" s="4" t="inlineStr">
        <is>
          <t>Bills &amp; legislative documents</t>
        </is>
      </c>
      <c r="C512" s="4" t="inlineStr">
        <is>
          <t>billstatus.ls.state.ms.us</t>
        </is>
      </c>
      <c r="D512" s="15" t="inlineStr">
        <is>
          <t>allmsrs.xml</t>
        </is>
      </c>
      <c r="E512" s="4" t="n"/>
      <c r="F512" s="4" t="n"/>
      <c r="G512" s="4" t="inlineStr">
        <is>
          <t>https://billstatus.ls.state.ms.us/2026/pdf/all_measures/allmsrs.xml</t>
        </is>
      </c>
    </row>
    <row r="513" ht="30" customHeight="1">
      <c r="A513" s="13" t="inlineStr">
        <is>
          <t>Mississippi</t>
        </is>
      </c>
      <c r="B513" s="4" t="inlineStr">
        <is>
          <t>Bills &amp; legislative documents</t>
        </is>
      </c>
      <c r="C513" s="4" t="inlineStr">
        <is>
          <t>billstatus.ls.state.ms.us</t>
        </is>
      </c>
      <c r="D513" s="15" t="inlineStr">
        <is>
          <t>HB0001.xml</t>
        </is>
      </c>
      <c r="E513" s="4" t="n"/>
      <c r="F513" s="4" t="n"/>
      <c r="G513" s="4" t="inlineStr">
        <is>
          <t>https://billstatus.ls.state.ms.us/2025/pdf/history/HB/HB0001.xml</t>
        </is>
      </c>
    </row>
    <row r="514" ht="30" customHeight="1">
      <c r="A514" s="13" t="inlineStr">
        <is>
          <t>Mississippi</t>
        </is>
      </c>
      <c r="B514" s="4" t="inlineStr">
        <is>
          <t>News</t>
        </is>
      </c>
      <c r="C514" s="4" t="inlineStr">
        <is>
          <t>wjtv.com</t>
        </is>
      </c>
      <c r="D514" s="15" t="inlineStr">
        <is>
          <t>Mississippi lawmakers consider cutting property taxes</t>
        </is>
      </c>
      <c r="E514" s="4" t="inlineStr">
        <is>
          <t>2026-05-22</t>
        </is>
      </c>
      <c r="F514" s="4" t="n"/>
      <c r="G514" s="4" t="inlineStr">
        <is>
          <t>https://www.wjtv.com/news/politics/mississippi-politics/mississippi-lawmakers-consider-cutting-property-taxes/amp/</t>
        </is>
      </c>
    </row>
    <row r="515" ht="30" customHeight="1">
      <c r="A515" s="13" t="inlineStr">
        <is>
          <t>Missouri</t>
        </is>
      </c>
      <c r="B515" s="4" t="inlineStr">
        <is>
          <t>State government</t>
        </is>
      </c>
      <c r="C515" s="4" t="inlineStr">
        <is>
          <t>governor.mo.gov</t>
        </is>
      </c>
      <c r="D515" s="15" t="inlineStr">
        <is>
          <t>Governor Kehoe Signs Special Session Legislation into Law</t>
        </is>
      </c>
      <c r="E515" s="4" t="n"/>
      <c r="F515" s="4" t="n"/>
      <c r="G515" s="4" t="inlineStr">
        <is>
          <t>https://governor.mo.gov/press-releases/archive/governor-kehoe-signs-special-session-legislation-law</t>
        </is>
      </c>
    </row>
    <row r="516" ht="34" customHeight="1">
      <c r="A516" s="13" t="inlineStr">
        <is>
          <t>Missouri</t>
        </is>
      </c>
      <c r="B516" s="4" t="inlineStr">
        <is>
          <t>News</t>
        </is>
      </c>
      <c r="C516" s="4" t="inlineStr">
        <is>
          <t>newstribune.com</t>
        </is>
      </c>
      <c r="D516" s="15" t="inlineStr">
        <is>
          <t>Bernskoetter recognized for keeping Cole County off tax cap | Jefferson City News-Tribune</t>
        </is>
      </c>
      <c r="E516" s="4" t="inlineStr">
        <is>
          <t>2025-06-08</t>
        </is>
      </c>
      <c r="F516" s="4" t="n"/>
      <c r="G516" s="4" t="inlineStr">
        <is>
          <t>https://www.newstribune.com/news/2025/jun/08/bernskoetter-recognized-for-keeping-cole-county/</t>
        </is>
      </c>
    </row>
    <row r="517" ht="34" customHeight="1">
      <c r="A517" s="13" t="inlineStr">
        <is>
          <t>Missouri</t>
        </is>
      </c>
      <c r="B517" s="4" t="inlineStr">
        <is>
          <t>News</t>
        </is>
      </c>
      <c r="C517" s="4" t="inlineStr">
        <is>
          <t>missouriindependent.com</t>
        </is>
      </c>
      <c r="D517" s="15" t="inlineStr">
        <is>
          <t>Missouri governor allows more spending, property tax cap as he pursues stadium deal • Missouri Independent</t>
        </is>
      </c>
      <c r="E517" s="4" t="inlineStr">
        <is>
          <t>2025-06-05</t>
        </is>
      </c>
      <c r="F517" s="4" t="n"/>
      <c r="G517" s="4" t="inlineStr">
        <is>
          <t>https://missouriindependent.com/2025/06/05/missouri-governor-allows-more-spending-property-tax-cap-as-he-pursues-stadium-deal/</t>
        </is>
      </c>
    </row>
    <row r="518" ht="34" customHeight="1">
      <c r="A518" s="13" t="inlineStr">
        <is>
          <t>Missouri</t>
        </is>
      </c>
      <c r="B518" s="4" t="inlineStr">
        <is>
          <t>News</t>
        </is>
      </c>
      <c r="C518" s="4" t="inlineStr">
        <is>
          <t>kctv5.com</t>
        </is>
      </c>
      <c r="D518" s="15" t="inlineStr">
        <is>
          <t>Jackson County to limit 2025 residential property tax assessment increases to 15%</t>
        </is>
      </c>
      <c r="E518" s="4" t="inlineStr">
        <is>
          <t>2025-04-17</t>
        </is>
      </c>
      <c r="F518" s="4" t="n"/>
      <c r="G518" s="4" t="inlineStr">
        <is>
          <t>https://www.kctv5.com/2025/04/17/jackson-county-limit-2025-residential-property-tax-assessment-increases-15</t>
        </is>
      </c>
    </row>
    <row r="519" ht="30" customHeight="1">
      <c r="A519" s="13" t="inlineStr">
        <is>
          <t>Missouri</t>
        </is>
      </c>
      <c r="B519" s="4" t="inlineStr">
        <is>
          <t>Bills &amp; legislative documents</t>
        </is>
      </c>
      <c r="C519" s="4" t="inlineStr">
        <is>
          <t>house.mo.gov</t>
        </is>
      </c>
      <c r="D519" s="15" t="inlineStr">
        <is>
          <t>Missouri House of Representatives FOR IMMEDIATE RELEASE:</t>
        </is>
      </c>
      <c r="E519" s="4" t="inlineStr">
        <is>
          <t>2024</t>
        </is>
      </c>
      <c r="F519" s="4" t="n"/>
      <c r="G519" s="4" t="inlineStr">
        <is>
          <t>https://house.mo.gov/PressRelease.aspx?prid=89</t>
        </is>
      </c>
    </row>
    <row r="520" ht="30" customHeight="1">
      <c r="A520" s="13" t="inlineStr">
        <is>
          <t>Missouri</t>
        </is>
      </c>
      <c r="B520" s="4" t="inlineStr">
        <is>
          <t>Constitution &amp; statutes</t>
        </is>
      </c>
      <c r="C520" s="4" t="inlineStr">
        <is>
          <t>revisor.mo.gov</t>
        </is>
      </c>
      <c r="D520" s="15" t="inlineStr">
        <is>
          <t>OneSection</t>
        </is>
      </c>
      <c r="E520" s="4" t="n"/>
      <c r="F520" s="4" t="n"/>
      <c r="G520" s="4" t="inlineStr">
        <is>
          <t>https://revisor.mo.gov/main/OneSection.aspx?section=137.073</t>
        </is>
      </c>
    </row>
    <row r="521" ht="30" customHeight="1">
      <c r="A521" s="13" t="inlineStr">
        <is>
          <t>Missouri</t>
        </is>
      </c>
      <c r="B521" s="4" t="inlineStr">
        <is>
          <t>Research &amp; associations</t>
        </is>
      </c>
      <c r="C521" s="4" t="inlineStr">
        <is>
          <t>lincolninst.edu</t>
        </is>
      </c>
      <c r="D521" s="15" t="inlineStr">
        <is>
          <t>levy limits 2022.xlsx</t>
        </is>
      </c>
      <c r="E521" s="4" t="n"/>
      <c r="F521" s="4" t="inlineStr">
        <is>
          <t>MA, ME, MI, MN, MS, MT, NM, NV, NY, RI, SD, WA, WI, WV</t>
        </is>
      </c>
      <c r="G521" s="4" t="inlineStr">
        <is>
          <t>https://www.lincolninst.edu/app/uploads/2024/12/levy_limits_2022.xlsx</t>
        </is>
      </c>
    </row>
    <row r="522" ht="30" customHeight="1">
      <c r="A522" s="13" t="inlineStr">
        <is>
          <t>Missouri</t>
        </is>
      </c>
      <c r="B522" s="4" t="inlineStr">
        <is>
          <t>Research &amp; associations</t>
        </is>
      </c>
      <c r="C522" s="4" t="inlineStr">
        <is>
          <t>apps.lincolninst.edu</t>
        </is>
      </c>
      <c r="D522" s="15" t="inlineStr">
        <is>
          <t>rate-limits-2022-4.xlsx</t>
        </is>
      </c>
      <c r="E522" s="4" t="n"/>
      <c r="F522" s="4" t="inlineStr">
        <is>
          <t>AL, FL, IA, ID, KS, KY, LA, MA, MI, NM, NV, SC, SD, UT, WA, WV, WY</t>
        </is>
      </c>
      <c r="G522" s="4" t="inlineStr">
        <is>
          <t>https://apps.lincolninst.edu/uploads/summary-tables/rate-limits-summary-tables/rate-limits-2022-4.xlsx</t>
        </is>
      </c>
    </row>
    <row r="523" ht="30" customHeight="1">
      <c r="A523" s="13" t="inlineStr">
        <is>
          <t>Missouri</t>
        </is>
      </c>
      <c r="B523" s="4" t="inlineStr">
        <is>
          <t>Research &amp; associations</t>
        </is>
      </c>
      <c r="C523" s="4" t="inlineStr">
        <is>
          <t>lincolninst.edu</t>
        </is>
      </c>
      <c r="D523" s="15" t="inlineStr">
        <is>
          <t>truth in taxation 2024.xlsx</t>
        </is>
      </c>
      <c r="E523" s="4" t="n"/>
      <c r="F523" s="4" t="inlineStr">
        <is>
          <t>DE, GA, IA, IL, KY, MD, MI, MN, NC, ND, NE, NM, NV, NY, OH, OK, OR, PA, RI, TN, TX, UT, VA, VT, WV, WY</t>
        </is>
      </c>
      <c r="G523" s="4" t="inlineStr">
        <is>
          <t>https://www.lincolninst.edu/app/uploads/2024/10/truth_in_taxation_2024.xlsx</t>
        </is>
      </c>
    </row>
    <row r="524" ht="30" customHeight="1">
      <c r="A524" s="13" t="inlineStr">
        <is>
          <t>Missouri</t>
        </is>
      </c>
      <c r="B524" s="4" t="inlineStr">
        <is>
          <t>Federal government &amp; data</t>
        </is>
      </c>
      <c r="C524" s="4" t="inlineStr">
        <is>
          <t>www2.census.gov</t>
        </is>
      </c>
      <c r="D524" s="15" t="inlineStr">
        <is>
          <t>22slsstab1.xlsx</t>
        </is>
      </c>
      <c r="E524" s="4" t="n"/>
      <c r="F524" s="4" t="inlineStr">
        <is>
          <t>AL, AR, IA, KS, KY, LA, MA, MD, ME, MI, MN, MS, MT, NC, ND, NE, NH, NJ, NM, NV, NY, OH, OK, OR, PA, RI, SC, SD, TN, TX, UT, VA, VT, WA, WI, WV, WY</t>
        </is>
      </c>
      <c r="G524" s="4" t="inlineStr">
        <is>
          <t>https://www2.census.gov/programs-surveys/gov-finances/tables/2022/22slsstab1.xlsx</t>
        </is>
      </c>
    </row>
    <row r="525" ht="34" customHeight="1">
      <c r="A525" s="13" t="inlineStr">
        <is>
          <t>Missouri</t>
        </is>
      </c>
      <c r="B525" s="4" t="inlineStr">
        <is>
          <t>News</t>
        </is>
      </c>
      <c r="C525" s="4" t="inlineStr">
        <is>
          <t>missouriindependent.com</t>
        </is>
      </c>
      <c r="D525" s="15" t="inlineStr">
        <is>
          <t>Judge promises quick decision on challenge to Missouri property tax caps • Missouri Independent</t>
        </is>
      </c>
      <c r="E525" s="4" t="inlineStr">
        <is>
          <t>2026-07-30</t>
        </is>
      </c>
      <c r="F525" s="4" t="n"/>
      <c r="G525" s="4" t="inlineStr">
        <is>
          <t>https://missouriindependent.com/2026/07/30/judge-promises-quick-decision-on-challenge-to-missouri-property-tax-caps/</t>
        </is>
      </c>
    </row>
    <row r="526" ht="30" customHeight="1">
      <c r="A526" s="13" t="inlineStr">
        <is>
          <t>Missouri</t>
        </is>
      </c>
      <c r="B526" s="4" t="inlineStr">
        <is>
          <t>Constitution &amp; statutes</t>
        </is>
      </c>
      <c r="C526" s="4" t="inlineStr">
        <is>
          <t>revisor.mo.gov</t>
        </is>
      </c>
      <c r="D526" s="15" t="inlineStr">
        <is>
          <t>OneSection</t>
        </is>
      </c>
      <c r="E526" s="4" t="n"/>
      <c r="F526" s="4" t="n"/>
      <c r="G526" s="4" t="inlineStr">
        <is>
          <t>https://revisor.mo.gov/main/OneSection.aspx?section=137.1055</t>
        </is>
      </c>
    </row>
    <row r="527" ht="30" customHeight="1">
      <c r="A527" s="13" t="inlineStr">
        <is>
          <t>Missouri</t>
        </is>
      </c>
      <c r="B527" s="4" t="inlineStr">
        <is>
          <t>News</t>
        </is>
      </c>
      <c r="C527" s="4" t="inlineStr">
        <is>
          <t>governing.com</t>
        </is>
      </c>
      <c r="D527" s="15" t="inlineStr">
        <is>
          <t>Missouri Voters Approved Property Tax Caps. Now Comes the Hard Part.</t>
        </is>
      </c>
      <c r="E527" s="4" t="inlineStr">
        <is>
          <t>2026-04-13</t>
        </is>
      </c>
      <c r="F527" s="4" t="n"/>
      <c r="G527" s="4" t="inlineStr">
        <is>
          <t>https://www.governing.com/finance/missouri-voters-approved-property-tax-caps-now-comes-the-hard-part</t>
        </is>
      </c>
    </row>
    <row r="528" ht="30" customHeight="1">
      <c r="A528" s="13" t="inlineStr">
        <is>
          <t>Missouri</t>
        </is>
      </c>
      <c r="B528" s="4" t="inlineStr">
        <is>
          <t>News</t>
        </is>
      </c>
      <c r="C528" s="4" t="inlineStr">
        <is>
          <t>ksmu.org</t>
        </is>
      </c>
      <c r="D528" s="15" t="inlineStr">
        <is>
          <t>Property tax relief is a priority in last week of Missouri legislative session</t>
        </is>
      </c>
      <c r="E528" s="4" t="inlineStr">
        <is>
          <t>2026-05-11</t>
        </is>
      </c>
      <c r="F528" s="4" t="n"/>
      <c r="G528" s="4" t="inlineStr">
        <is>
          <t>https://www.ksmu.org/news/2026-05-11/property-tax-relief-is-a-priority-in-last-week-of-missouri-legislative-session</t>
        </is>
      </c>
    </row>
    <row r="529" ht="34" customHeight="1">
      <c r="A529" s="13" t="inlineStr">
        <is>
          <t>Missouri</t>
        </is>
      </c>
      <c r="B529" s="4" t="inlineStr">
        <is>
          <t>News</t>
        </is>
      </c>
      <c r="C529" s="4" t="inlineStr">
        <is>
          <t>stlpr.org</t>
        </is>
      </c>
      <c r="D529" s="15" t="inlineStr">
        <is>
          <t>Missouri legislature ends drama-reduced week with key agenda items now up to voters</t>
        </is>
      </c>
      <c r="E529" s="4" t="inlineStr">
        <is>
          <t>2026-05-16</t>
        </is>
      </c>
      <c r="F529" s="4" t="n"/>
      <c r="G529" s="4" t="inlineStr">
        <is>
          <t>https://www.stlpr.org/government-politics-issues/2026-05-15/missouri-legislature-ends-drama-reduced-week-with-key-agenda-items-now-up-to-voters</t>
        </is>
      </c>
    </row>
    <row r="530" ht="30" customHeight="1">
      <c r="A530" s="13" t="inlineStr">
        <is>
          <t>Missouri</t>
        </is>
      </c>
      <c r="B530" s="4" t="inlineStr">
        <is>
          <t>State government</t>
        </is>
      </c>
      <c r="C530" s="4" t="inlineStr">
        <is>
          <t>sos.mo.gov</t>
        </is>
      </c>
      <c r="D530" s="15" t="inlineStr">
        <is>
          <t>2026 Ballot Measures</t>
        </is>
      </c>
      <c r="E530" s="4" t="n"/>
      <c r="F530" s="4" t="n"/>
      <c r="G530" s="4" t="inlineStr">
        <is>
          <t>https://www.sos.mo.gov/elections/petitions/2026BallotMeasures</t>
        </is>
      </c>
    </row>
    <row r="531" ht="34" customHeight="1">
      <c r="A531" s="13" t="inlineStr">
        <is>
          <t>Missouri</t>
        </is>
      </c>
      <c r="B531" s="4" t="inlineStr">
        <is>
          <t>News</t>
        </is>
      </c>
      <c r="C531" s="4" t="inlineStr">
        <is>
          <t>newstribune.com</t>
        </is>
      </c>
      <c r="D531" s="15" t="inlineStr">
        <is>
          <t>Aug. 4 Primary Results: Missouri Constitution Amendments | Jefferson City News-Tribune</t>
        </is>
      </c>
      <c r="E531" s="4" t="inlineStr">
        <is>
          <t>2026-08-04</t>
        </is>
      </c>
      <c r="F531" s="4" t="n"/>
      <c r="G531" s="4" t="inlineStr">
        <is>
          <t>https://www.newstribune.com/news/2026/aug/04/aug-4-primary-results-missouri-constitution-amendments/</t>
        </is>
      </c>
    </row>
    <row r="532" ht="30" customHeight="1">
      <c r="A532" s="13" t="inlineStr">
        <is>
          <t>Missouri</t>
        </is>
      </c>
      <c r="B532" s="4" t="inlineStr">
        <is>
          <t>Research &amp; associations</t>
        </is>
      </c>
      <c r="C532" s="4" t="inlineStr">
        <is>
          <t>taxnews.ey.com</t>
        </is>
      </c>
      <c r="D532" s="15" t="inlineStr">
        <is>
          <t>Voters renew the St. Louis, Missouri earnings tax for another five years</t>
        </is>
      </c>
      <c r="E532" s="4" t="n"/>
      <c r="F532" s="4" t="n"/>
      <c r="G532" s="4" t="inlineStr">
        <is>
          <t>https://taxnews.ey.com/news/2026-0995-voters-renew-the-st-louis-missouri-earnings-tax-for-another-five-years</t>
        </is>
      </c>
    </row>
    <row r="533" ht="30" customHeight="1">
      <c r="A533" s="13" t="inlineStr">
        <is>
          <t>Missouri</t>
        </is>
      </c>
      <c r="B533" s="4" t="inlineStr">
        <is>
          <t>News</t>
        </is>
      </c>
      <c r="C533" s="4" t="inlineStr">
        <is>
          <t>thebeaconnews.org</t>
        </is>
      </c>
      <c r="D533" s="15" t="inlineStr">
        <is>
          <t>429 Too Many Requests (kansas-city-earnings-tax-renewed-results)</t>
        </is>
      </c>
      <c r="E533" s="4" t="n"/>
      <c r="F533" s="4" t="n"/>
      <c r="G533" s="4" t="inlineStr">
        <is>
          <t>https://thebeaconnews.org/stories/2026/04/08/kansas-city-earnings-tax-renewed-results</t>
        </is>
      </c>
    </row>
    <row r="534" ht="30" customHeight="1">
      <c r="A534" s="13" t="inlineStr">
        <is>
          <t>Missouri</t>
        </is>
      </c>
      <c r="B534" s="4" t="inlineStr">
        <is>
          <t>Free-market groups &amp; GOP caucuses</t>
        </is>
      </c>
      <c r="C534" s="4" t="inlineStr">
        <is>
          <t>showmeinstitute.org</t>
        </is>
      </c>
      <c r="D534" s="15" t="inlineStr">
        <is>
          <t>TESTIMONY June 10, 2025</t>
        </is>
      </c>
      <c r="E534" s="4" t="inlineStr">
        <is>
          <t>2025</t>
        </is>
      </c>
      <c r="F534" s="4" t="n"/>
      <c r="G534" s="4" t="inlineStr">
        <is>
          <t>https://showmeinstitute.org/wp-content/uploads/2025/06/20250610-Property-Tax-SS.pdf</t>
        </is>
      </c>
    </row>
    <row r="535" ht="30" customHeight="1">
      <c r="A535" s="13" t="inlineStr">
        <is>
          <t>Montana</t>
        </is>
      </c>
      <c r="B535" s="4" t="inlineStr">
        <is>
          <t>Constitution &amp; statutes</t>
        </is>
      </c>
      <c r="C535" s="4" t="inlineStr">
        <is>
          <t>archive.legmt.gov</t>
        </is>
      </c>
      <c r="D535" s="15" t="inlineStr">
        <is>
          <t>15-10-420. Procedure for calculating levy, MCA</t>
        </is>
      </c>
      <c r="E535" s="4" t="n"/>
      <c r="F535" s="4" t="n"/>
      <c r="G535" s="4" t="inlineStr">
        <is>
          <t>https://archive.legmt.gov/bills/mca/title_0150/chapter_0100/part_0040/section_0200/0150-0100-0040-0200.html</t>
        </is>
      </c>
    </row>
    <row r="536" ht="30" customHeight="1">
      <c r="A536" s="13" t="inlineStr">
        <is>
          <t>Montana</t>
        </is>
      </c>
      <c r="B536" s="4" t="inlineStr">
        <is>
          <t>Constitution &amp; statutes</t>
        </is>
      </c>
      <c r="C536" s="4" t="inlineStr">
        <is>
          <t>archive.legmt.gov</t>
        </is>
      </c>
      <c r="D536" s="15" t="inlineStr">
        <is>
          <t>15-10-425. Mill levy election, MCA</t>
        </is>
      </c>
      <c r="E536" s="4" t="n"/>
      <c r="F536" s="4" t="n"/>
      <c r="G536" s="4" t="inlineStr">
        <is>
          <t>https://archive.legmt.gov/bills/mca/title_0150/chapter_0100/part_0040/section_0250/0150-0100-0040-0250.html</t>
        </is>
      </c>
    </row>
    <row r="537" ht="34" customHeight="1">
      <c r="A537" s="13" t="inlineStr">
        <is>
          <t>Montana</t>
        </is>
      </c>
      <c r="B537" s="4" t="inlineStr">
        <is>
          <t>Constitution &amp; statutes</t>
        </is>
      </c>
      <c r="C537" s="4" t="inlineStr">
        <is>
          <t>archive.legmt.gov</t>
        </is>
      </c>
      <c r="D537" s="15" t="inlineStr">
        <is>
          <t>15-6-134. Class four property -- description -- taxable percentage -- definitions, MCA</t>
        </is>
      </c>
      <c r="E537" s="4" t="n"/>
      <c r="F537" s="4" t="n"/>
      <c r="G537" s="4" t="inlineStr">
        <is>
          <t>https://archive.legmt.gov/bills/mca/title_0150/chapter_0060/part_0010/section_0340/0150-0060-0010-0340.html</t>
        </is>
      </c>
    </row>
    <row r="538" ht="34" customHeight="1">
      <c r="A538" s="13" t="inlineStr">
        <is>
          <t>Montana</t>
        </is>
      </c>
      <c r="B538" s="4" t="inlineStr">
        <is>
          <t>Constitution &amp; statutes</t>
        </is>
      </c>
      <c r="C538" s="4" t="inlineStr">
        <is>
          <t>archive.legmt.gov</t>
        </is>
      </c>
      <c r="D538" s="15" t="inlineStr">
        <is>
          <t>15-6-305. Property tax assistance program -- fixed or limited income -- inflation adjustments, MCA</t>
        </is>
      </c>
      <c r="E538" s="4" t="n"/>
      <c r="F538" s="4" t="n"/>
      <c r="G538" s="4" t="inlineStr">
        <is>
          <t>https://archive.legmt.gov/bills/mca/title_0150/chapter_0060/part_0030/section_0050/0150-0060-0030-0050.html</t>
        </is>
      </c>
    </row>
    <row r="539" ht="34" customHeight="1">
      <c r="A539" s="13" t="inlineStr">
        <is>
          <t>Montana</t>
        </is>
      </c>
      <c r="B539" s="4" t="inlineStr">
        <is>
          <t>Constitution &amp; statutes</t>
        </is>
      </c>
      <c r="C539" s="4" t="inlineStr">
        <is>
          <t>archive.legmt.gov</t>
        </is>
      </c>
      <c r="D539" s="15" t="inlineStr">
        <is>
          <t>15-30-2338. Residential property tax credit for elderly -- eligibility -- disallowance or adjustment, MCA</t>
        </is>
      </c>
      <c r="E539" s="4" t="n"/>
      <c r="F539" s="4" t="n"/>
      <c r="G539" s="4" t="inlineStr">
        <is>
          <t>https://archive.legmt.gov/bills/mca/title_0150/chapter_0300/part_0230/section_0380/0150-0300-0230-0380.html</t>
        </is>
      </c>
    </row>
    <row r="540" ht="30" customHeight="1">
      <c r="A540" s="13" t="inlineStr">
        <is>
          <t>Montana</t>
        </is>
      </c>
      <c r="B540" s="4" t="inlineStr">
        <is>
          <t>Constitution &amp; statutes</t>
        </is>
      </c>
      <c r="C540" s="4" t="inlineStr">
        <is>
          <t>archive.legmt.gov</t>
        </is>
      </c>
      <c r="D540" s="15" t="inlineStr">
        <is>
          <t>20-9-360. State equalization aid levy, MCA</t>
        </is>
      </c>
      <c r="E540" s="4" t="n"/>
      <c r="F540" s="4" t="n"/>
      <c r="G540" s="4" t="inlineStr">
        <is>
          <t>https://archive.legmt.gov/bills/mca/title_0200/chapter_0090/part_0030/section_0600/0200-0090-0030-0600.html</t>
        </is>
      </c>
    </row>
    <row r="541" ht="34" customHeight="1">
      <c r="A541" s="13" t="inlineStr">
        <is>
          <t>Montana</t>
        </is>
      </c>
      <c r="B541" s="4" t="inlineStr">
        <is>
          <t>Constitution &amp; statutes</t>
        </is>
      </c>
      <c r="C541" s="4" t="inlineStr">
        <is>
          <t>archive.legmt.gov</t>
        </is>
      </c>
      <c r="D541" s="15" t="inlineStr">
        <is>
          <t>20-9-428. Determination of approval or rejection of proposition at bond election, MCA</t>
        </is>
      </c>
      <c r="E541" s="4" t="n"/>
      <c r="F541" s="4" t="n"/>
      <c r="G541" s="4" t="inlineStr">
        <is>
          <t>https://archive.legmt.gov/bills/mca/title_0200/chapter_0090/part_0040/section_0280/0200-0090-0040-0280.html</t>
        </is>
      </c>
    </row>
    <row r="542" ht="30" customHeight="1">
      <c r="A542" s="13" t="inlineStr">
        <is>
          <t>Montana</t>
        </is>
      </c>
      <c r="B542" s="4" t="inlineStr">
        <is>
          <t>Research &amp; associations</t>
        </is>
      </c>
      <c r="C542" s="4" t="inlineStr">
        <is>
          <t>parsonsbehle.com</t>
        </is>
      </c>
      <c r="D542" s="15" t="inlineStr">
        <is>
          <t>New Montana State Income and Property Taxes for 2025 &amp; 2026</t>
        </is>
      </c>
      <c r="E542" s="4" t="n"/>
      <c r="F542" s="4" t="n"/>
      <c r="G542" s="4" t="inlineStr">
        <is>
          <t>https://parsonsbehle.com/insights/new-montana-state-income-and-property-taxes-for-2025-and-2026</t>
        </is>
      </c>
    </row>
    <row r="543" ht="34" customHeight="1">
      <c r="A543" s="13" t="inlineStr">
        <is>
          <t>Montana</t>
        </is>
      </c>
      <c r="B543" s="4" t="inlineStr">
        <is>
          <t>News</t>
        </is>
      </c>
      <c r="C543" s="4" t="inlineStr">
        <is>
          <t>dailymontanan.com</t>
        </is>
      </c>
      <c r="D543" s="15" t="inlineStr">
        <is>
          <t>montana-supreme-court-sides-with-state-orders-counties-levy-full-statewide-school-mills</t>
        </is>
      </c>
      <c r="E543" s="4" t="n"/>
      <c r="F543" s="4" t="n"/>
      <c r="G543" s="4" t="inlineStr">
        <is>
          <t>https://dailymontanan.com/2023/11/28/montana-supreme-court-sides-with-state-orders-counties-levy-full-statewide-school-mills/</t>
        </is>
      </c>
    </row>
    <row r="544" ht="30" customHeight="1">
      <c r="A544" s="13" t="inlineStr">
        <is>
          <t>Montana</t>
        </is>
      </c>
      <c r="B544" s="4" t="inlineStr">
        <is>
          <t>State government</t>
        </is>
      </c>
      <c r="C544" s="4" t="inlineStr">
        <is>
          <t>sosmt.gov</t>
        </is>
      </c>
      <c r="D544" s="15" t="inlineStr">
        <is>
          <t>Proposed 2026 Ballot Issues - Official Montana Secretary of State Website</t>
        </is>
      </c>
      <c r="E544" s="4" t="inlineStr">
        <is>
          <t>2025-01-28</t>
        </is>
      </c>
      <c r="F544" s="4" t="n"/>
      <c r="G544" s="4" t="inlineStr">
        <is>
          <t>https://sosmt.gov/elections/ballot_issues/proposed-2026-ballot-issues/</t>
        </is>
      </c>
    </row>
    <row r="545" ht="30" customHeight="1">
      <c r="A545" s="13" t="inlineStr">
        <is>
          <t>Montana</t>
        </is>
      </c>
      <c r="B545" s="4" t="inlineStr">
        <is>
          <t>News</t>
        </is>
      </c>
      <c r="C545" s="4" t="inlineStr">
        <is>
          <t>montanafreepress.org</t>
        </is>
      </c>
      <c r="D545" s="15" t="inlineStr">
        <is>
          <t>Republican legislator rolls out new property tax cap initiative</t>
        </is>
      </c>
      <c r="E545" s="4" t="inlineStr">
        <is>
          <t>2026-03-23</t>
        </is>
      </c>
      <c r="F545" s="4" t="n"/>
      <c r="G545" s="4" t="inlineStr">
        <is>
          <t>https://montanafreepress.org/2026/03/23/republican-legislator-rolls-out-new-property-tax-cap-initiative/</t>
        </is>
      </c>
    </row>
    <row r="546" ht="30" customHeight="1">
      <c r="A546" s="13" t="inlineStr">
        <is>
          <t>Montana</t>
        </is>
      </c>
      <c r="B546" s="4" t="inlineStr">
        <is>
          <t>Research &amp; associations</t>
        </is>
      </c>
      <c r="C546" s="4" t="inlineStr">
        <is>
          <t>lincolninst.edu</t>
        </is>
      </c>
      <c r="D546" s="15" t="inlineStr">
        <is>
          <t>levy limits 2022.xlsx</t>
        </is>
      </c>
      <c r="E546" s="4" t="n"/>
      <c r="F546" s="4" t="inlineStr">
        <is>
          <t>MA, ME, MI, MN, MO, MS, NM, NV, NY, RI, SD, WA, WI, WV</t>
        </is>
      </c>
      <c r="G546" s="4" t="inlineStr">
        <is>
          <t>https://www.lincolninst.edu/app/uploads/2024/12/levy_limits_2022.xlsx</t>
        </is>
      </c>
    </row>
    <row r="547" ht="30" customHeight="1">
      <c r="A547" s="13" t="inlineStr">
        <is>
          <t>Montana</t>
        </is>
      </c>
      <c r="B547" s="4" t="inlineStr">
        <is>
          <t>Federal government &amp; data</t>
        </is>
      </c>
      <c r="C547" s="4" t="inlineStr">
        <is>
          <t>www2.census.gov</t>
        </is>
      </c>
      <c r="D547" s="15" t="inlineStr">
        <is>
          <t>22slsstab1.xlsx</t>
        </is>
      </c>
      <c r="E547" s="4" t="n"/>
      <c r="F547" s="4" t="inlineStr">
        <is>
          <t>AL, AR, IA, KS, KY, LA, MA, MD, ME, MI, MN, MO, MS, NC, ND, NE, NH, NJ, NM, NV, NY, OH, OK, OR, PA, RI, SC, SD, TN, TX, UT, VA, VT, WA, WI, WV, WY</t>
        </is>
      </c>
      <c r="G547" s="4" t="inlineStr">
        <is>
          <t>https://www2.census.gov/programs-surveys/gov-finances/tables/2022/22slsstab1.xlsx</t>
        </is>
      </c>
    </row>
    <row r="548" ht="30" customHeight="1">
      <c r="A548" s="13" t="inlineStr">
        <is>
          <t>Montana</t>
        </is>
      </c>
      <c r="B548" s="4" t="inlineStr">
        <is>
          <t>State government</t>
        </is>
      </c>
      <c r="C548" s="4" t="inlineStr">
        <is>
          <t>revenue.mt.gov</t>
        </is>
      </c>
      <c r="D548" s="15" t="inlineStr">
        <is>
          <t>2026 Tax Information for Montana Property Owners</t>
        </is>
      </c>
      <c r="E548" s="4" t="n"/>
      <c r="F548" s="4" t="n"/>
      <c r="G548" s="4" t="inlineStr">
        <is>
          <t>https://revenue.mt.gov/property/property-tax-changes/2026-property-tax-information</t>
        </is>
      </c>
    </row>
    <row r="549" ht="30" customHeight="1">
      <c r="A549" s="13" t="inlineStr">
        <is>
          <t>Montana</t>
        </is>
      </c>
      <c r="B549" s="4" t="inlineStr">
        <is>
          <t>News</t>
        </is>
      </c>
      <c r="C549" s="4" t="inlineStr">
        <is>
          <t>montanafreepress.org</t>
        </is>
      </c>
      <c r="D549" s="15" t="inlineStr">
        <is>
          <t>Montana GOP asks court to nix Gianforte-backed property tax law</t>
        </is>
      </c>
      <c r="E549" s="4" t="inlineStr">
        <is>
          <t>2026-04-17</t>
        </is>
      </c>
      <c r="F549" s="4" t="n"/>
      <c r="G549" s="4" t="inlineStr">
        <is>
          <t>https://montanafreepress.org/2026/04/17/montana-gop-asks-court-to-nix-gianforte-backed-property-tax-law/</t>
        </is>
      </c>
    </row>
    <row r="550" ht="34" customHeight="1">
      <c r="A550" s="13" t="inlineStr">
        <is>
          <t>Montana</t>
        </is>
      </c>
      <c r="B550" s="4" t="inlineStr">
        <is>
          <t>News</t>
        </is>
      </c>
      <c r="C550" s="4" t="inlineStr">
        <is>
          <t>dailymontanan.com</t>
        </is>
      </c>
      <c r="D550" s="15" t="inlineStr">
        <is>
          <t>Montana Supreme Court denies governor's request to take up property tax case • Daily Montanan</t>
        </is>
      </c>
      <c r="E550" s="4" t="inlineStr">
        <is>
          <t>2026-04-01</t>
        </is>
      </c>
      <c r="F550" s="4" t="n"/>
      <c r="G550" s="4" t="inlineStr">
        <is>
          <t>https://dailymontanan.com/2026/03/31/montana-supreme-court-denies-governors-request-to-take-up-property-tax-case/</t>
        </is>
      </c>
    </row>
    <row r="551" ht="30" customHeight="1">
      <c r="A551" s="13" t="inlineStr">
        <is>
          <t>Montana</t>
        </is>
      </c>
      <c r="B551" s="4" t="inlineStr">
        <is>
          <t>News</t>
        </is>
      </c>
      <c r="C551" s="4" t="inlineStr">
        <is>
          <t>montanafreepress.org</t>
        </is>
      </c>
      <c r="D551" s="15" t="inlineStr">
        <is>
          <t>City to put $5.3 levy before voters this spring</t>
        </is>
      </c>
      <c r="E551" s="4" t="inlineStr">
        <is>
          <t>2026-09-21</t>
        </is>
      </c>
      <c r="F551" s="4" t="n"/>
      <c r="G551" s="4" t="inlineStr">
        <is>
          <t>https://montanafreepress.org/2026/09/21/city-to-put-5-3-levy-before-voters-this-spring/</t>
        </is>
      </c>
    </row>
    <row r="552" ht="30" customHeight="1">
      <c r="A552" s="13" t="inlineStr">
        <is>
          <t>Montana</t>
        </is>
      </c>
      <c r="B552" s="4" t="inlineStr">
        <is>
          <t>News</t>
        </is>
      </c>
      <c r="C552" s="4" t="inlineStr">
        <is>
          <t>montanafreepress.org</t>
        </is>
      </c>
      <c r="D552" s="15" t="inlineStr">
        <is>
          <t>Criminal system advocates watch, wait as voters mull $175M jail expansion</t>
        </is>
      </c>
      <c r="E552" s="4" t="inlineStr">
        <is>
          <t>2026-10-05</t>
        </is>
      </c>
      <c r="F552" s="4" t="n"/>
      <c r="G552" s="4" t="inlineStr">
        <is>
          <t>https://montanafreepress.org/2026/10/05/yellowstone-county-jail-expansion/</t>
        </is>
      </c>
    </row>
    <row r="553" ht="30" customHeight="1">
      <c r="A553" s="13" t="inlineStr">
        <is>
          <t>Montana</t>
        </is>
      </c>
      <c r="B553" s="4" t="inlineStr">
        <is>
          <t>Free-market groups &amp; GOP caucuses</t>
        </is>
      </c>
      <c r="C553" s="4" t="inlineStr">
        <is>
          <t>frontierinstitute.org</t>
        </is>
      </c>
      <c r="D553" s="15" t="inlineStr">
        <is>
          <t>The Latest Levy Report Card</t>
        </is>
      </c>
      <c r="E553" s="4" t="inlineStr">
        <is>
          <t>2026-05-08</t>
        </is>
      </c>
      <c r="F553" s="4" t="n"/>
      <c r="G553" s="4" t="inlineStr">
        <is>
          <t>https://frontierinstitute.org/the-latest-levy-report-card/</t>
        </is>
      </c>
    </row>
    <row r="554" ht="30" customHeight="1">
      <c r="A554" s="13" t="inlineStr">
        <is>
          <t>Montana</t>
        </is>
      </c>
      <c r="B554" s="4" t="inlineStr">
        <is>
          <t>Free-market groups &amp; GOP caucuses</t>
        </is>
      </c>
      <c r="C554" s="4" t="inlineStr">
        <is>
          <t>frontierinstitute.org</t>
        </is>
      </c>
      <c r="D554" s="15" t="inlineStr">
        <is>
          <t>Permanent Tax Relief Requires Limiting Government Budget Growth</t>
        </is>
      </c>
      <c r="E554" s="4" t="inlineStr">
        <is>
          <t>2026-08-28</t>
        </is>
      </c>
      <c r="F554" s="4" t="n"/>
      <c r="G554" s="4" t="inlineStr">
        <is>
          <t>https://frontierinstitute.org/permanent-tax-relief-requires-limiting-government-budget-growth/</t>
        </is>
      </c>
    </row>
    <row r="555" ht="30" customHeight="1">
      <c r="A555" s="13" t="inlineStr">
        <is>
          <t>Montana</t>
        </is>
      </c>
      <c r="B555" s="4" t="inlineStr">
        <is>
          <t>Free-market groups &amp; GOP caucuses</t>
        </is>
      </c>
      <c r="C555" s="4" t="inlineStr">
        <is>
          <t>frontierinstitute.org</t>
        </is>
      </c>
      <c r="D555" s="15" t="inlineStr">
        <is>
          <t>Eliminate Montana’s $35 Million University Property Tax</t>
        </is>
      </c>
      <c r="E555" s="4" t="inlineStr">
        <is>
          <t>2026-08-07</t>
        </is>
      </c>
      <c r="F555" s="4" t="n"/>
      <c r="G555" s="4" t="inlineStr">
        <is>
          <t>https://frontierinstitute.org/eliminate-montanas-35-million-university-property-tax/</t>
        </is>
      </c>
    </row>
    <row r="556" ht="30" customHeight="1">
      <c r="A556" s="13" t="inlineStr">
        <is>
          <t>Nebraska</t>
        </is>
      </c>
      <c r="B556" s="4" t="inlineStr">
        <is>
          <t>Constitution &amp; statutes</t>
        </is>
      </c>
      <c r="C556" s="4" t="inlineStr">
        <is>
          <t>nebraskalegislature.gov</t>
        </is>
      </c>
      <c r="D556" s="15" t="inlineStr">
        <is>
          <t>Nebraska Legislature (statutes (statute 13-3403))</t>
        </is>
      </c>
      <c r="E556" s="4" t="n"/>
      <c r="F556" s="4" t="n"/>
      <c r="G556" s="4" t="inlineStr">
        <is>
          <t>https://nebraskalegislature.gov/laws/statutes.php?statute=13-3403</t>
        </is>
      </c>
    </row>
    <row r="557" ht="30" customHeight="1">
      <c r="A557" s="13" t="inlineStr">
        <is>
          <t>Nebraska</t>
        </is>
      </c>
      <c r="B557" s="4" t="inlineStr">
        <is>
          <t>Constitution &amp; statutes</t>
        </is>
      </c>
      <c r="C557" s="4" t="inlineStr">
        <is>
          <t>nebraskalegislature.gov</t>
        </is>
      </c>
      <c r="D557" s="15" t="inlineStr">
        <is>
          <t>Nebraska Legislature (statutes (statute 13-3404))</t>
        </is>
      </c>
      <c r="E557" s="4" t="n"/>
      <c r="F557" s="4" t="n"/>
      <c r="G557" s="4" t="inlineStr">
        <is>
          <t>https://nebraskalegislature.gov/laws/statutes.php?statute=13-3404</t>
        </is>
      </c>
    </row>
    <row r="558" ht="30" customHeight="1">
      <c r="A558" s="13" t="inlineStr">
        <is>
          <t>Nebraska</t>
        </is>
      </c>
      <c r="B558" s="4" t="inlineStr">
        <is>
          <t>Constitution &amp; statutes</t>
        </is>
      </c>
      <c r="C558" s="4" t="inlineStr">
        <is>
          <t>nebraskalegislature.gov</t>
        </is>
      </c>
      <c r="D558" s="15" t="inlineStr">
        <is>
          <t>Nebraska Legislature (statutes (statute 13-3405))</t>
        </is>
      </c>
      <c r="E558" s="4" t="n"/>
      <c r="F558" s="4" t="n"/>
      <c r="G558" s="4" t="inlineStr">
        <is>
          <t>https://nebraskalegislature.gov/laws/statutes.php?statute=13-3405</t>
        </is>
      </c>
    </row>
    <row r="559" ht="30" customHeight="1">
      <c r="A559" s="13" t="inlineStr">
        <is>
          <t>Nebraska</t>
        </is>
      </c>
      <c r="B559" s="4" t="inlineStr">
        <is>
          <t>Constitution &amp; statutes</t>
        </is>
      </c>
      <c r="C559" s="4" t="inlineStr">
        <is>
          <t>nebraskalegislature.gov</t>
        </is>
      </c>
      <c r="D559" s="15" t="inlineStr">
        <is>
          <t>Nebraska Legislature (statutes (statute 13-3406))</t>
        </is>
      </c>
      <c r="E559" s="4" t="n"/>
      <c r="F559" s="4" t="n"/>
      <c r="G559" s="4" t="inlineStr">
        <is>
          <t>https://nebraskalegislature.gov/laws/statutes.php?statute=13-3406</t>
        </is>
      </c>
    </row>
    <row r="560" ht="30" customHeight="1">
      <c r="A560" s="13" t="inlineStr">
        <is>
          <t>Nebraska</t>
        </is>
      </c>
      <c r="B560" s="4" t="inlineStr">
        <is>
          <t>Constitution &amp; statutes</t>
        </is>
      </c>
      <c r="C560" s="4" t="inlineStr">
        <is>
          <t>nebraskalegislature.gov</t>
        </is>
      </c>
      <c r="D560" s="15" t="inlineStr">
        <is>
          <t>Nebraska Legislature (statutes (statute 79-3402))</t>
        </is>
      </c>
      <c r="E560" s="4" t="n"/>
      <c r="F560" s="4" t="n"/>
      <c r="G560" s="4" t="inlineStr">
        <is>
          <t>https://nebraskalegislature.gov/laws/statutes.php?statute=79-3402</t>
        </is>
      </c>
    </row>
    <row r="561" ht="30" customHeight="1">
      <c r="A561" s="13" t="inlineStr">
        <is>
          <t>Nebraska</t>
        </is>
      </c>
      <c r="B561" s="4" t="inlineStr">
        <is>
          <t>Constitution &amp; statutes</t>
        </is>
      </c>
      <c r="C561" s="4" t="inlineStr">
        <is>
          <t>nebraskalegislature.gov</t>
        </is>
      </c>
      <c r="D561" s="15" t="inlineStr">
        <is>
          <t>Nebraska Legislature (statutes (statute 79-3405))</t>
        </is>
      </c>
      <c r="E561" s="4" t="n"/>
      <c r="F561" s="4" t="n"/>
      <c r="G561" s="4" t="inlineStr">
        <is>
          <t>https://nebraskalegislature.gov/laws/statutes.php?statute=79-3405</t>
        </is>
      </c>
    </row>
    <row r="562" ht="30" customHeight="1">
      <c r="A562" s="13" t="inlineStr">
        <is>
          <t>Nebraska</t>
        </is>
      </c>
      <c r="B562" s="4" t="inlineStr">
        <is>
          <t>Constitution &amp; statutes</t>
        </is>
      </c>
      <c r="C562" s="4" t="inlineStr">
        <is>
          <t>nebraskalegislature.gov</t>
        </is>
      </c>
      <c r="D562" s="15" t="inlineStr">
        <is>
          <t>Nebraska Legislature (statutes (statute 77-3442))</t>
        </is>
      </c>
      <c r="E562" s="4" t="n"/>
      <c r="F562" s="4" t="n"/>
      <c r="G562" s="4" t="inlineStr">
        <is>
          <t>https://nebraskalegislature.gov/laws/statutes.php?statute=77-3442</t>
        </is>
      </c>
    </row>
    <row r="563" ht="30" customHeight="1">
      <c r="A563" s="13" t="inlineStr">
        <is>
          <t>Nebraska</t>
        </is>
      </c>
      <c r="B563" s="4" t="inlineStr">
        <is>
          <t>Constitution &amp; statutes</t>
        </is>
      </c>
      <c r="C563" s="4" t="inlineStr">
        <is>
          <t>nebraskalegislature.gov</t>
        </is>
      </c>
      <c r="D563" s="15" t="inlineStr">
        <is>
          <t>Nebraska Legislature (statutes (statute 77-3444))</t>
        </is>
      </c>
      <c r="E563" s="4" t="n"/>
      <c r="F563" s="4" t="n"/>
      <c r="G563" s="4" t="inlineStr">
        <is>
          <t>https://nebraskalegislature.gov/laws/statutes.php?statute=77-3444</t>
        </is>
      </c>
    </row>
    <row r="564" ht="30" customHeight="1">
      <c r="A564" s="13" t="inlineStr">
        <is>
          <t>Nebraska</t>
        </is>
      </c>
      <c r="B564" s="4" t="inlineStr">
        <is>
          <t>Constitution &amp; statutes</t>
        </is>
      </c>
      <c r="C564" s="4" t="inlineStr">
        <is>
          <t>nebraskalegislature.gov</t>
        </is>
      </c>
      <c r="D564" s="15" t="inlineStr">
        <is>
          <t>Nebraska Legislature (statutes (statute 13-519))</t>
        </is>
      </c>
      <c r="E564" s="4" t="n"/>
      <c r="F564" s="4" t="n"/>
      <c r="G564" s="4" t="inlineStr">
        <is>
          <t>https://nebraskalegislature.gov/laws/statutes.php?statute=13-519</t>
        </is>
      </c>
    </row>
    <row r="565" ht="30" customHeight="1">
      <c r="A565" s="13" t="inlineStr">
        <is>
          <t>Nebraska</t>
        </is>
      </c>
      <c r="B565" s="4" t="inlineStr">
        <is>
          <t>Constitution &amp; statutes</t>
        </is>
      </c>
      <c r="C565" s="4" t="inlineStr">
        <is>
          <t>nebraskalegislature.gov</t>
        </is>
      </c>
      <c r="D565" s="15" t="inlineStr">
        <is>
          <t>Nebraska Legislature (statutes (statute 79-1023))</t>
        </is>
      </c>
      <c r="E565" s="4" t="n"/>
      <c r="F565" s="4" t="n"/>
      <c r="G565" s="4" t="inlineStr">
        <is>
          <t>https://nebraskalegislature.gov/laws/statutes.php?statute=79-1023</t>
        </is>
      </c>
    </row>
    <row r="566" ht="30" customHeight="1">
      <c r="A566" s="13" t="inlineStr">
        <is>
          <t>Nebraska</t>
        </is>
      </c>
      <c r="B566" s="4" t="inlineStr">
        <is>
          <t>Constitution &amp; statutes</t>
        </is>
      </c>
      <c r="C566" s="4" t="inlineStr">
        <is>
          <t>nebraskalegislature.gov</t>
        </is>
      </c>
      <c r="D566" s="15" t="inlineStr">
        <is>
          <t>Nebraska Legislature (statutes (statute 77-1631))</t>
        </is>
      </c>
      <c r="E566" s="4" t="n"/>
      <c r="F566" s="4" t="n"/>
      <c r="G566" s="4" t="inlineStr">
        <is>
          <t>https://nebraskalegislature.gov/laws/statutes.php?statute=77-1631</t>
        </is>
      </c>
    </row>
    <row r="567" ht="30" customHeight="1">
      <c r="A567" s="13" t="inlineStr">
        <is>
          <t>Nebraska</t>
        </is>
      </c>
      <c r="B567" s="4" t="inlineStr">
        <is>
          <t>Constitution &amp; statutes</t>
        </is>
      </c>
      <c r="C567" s="4" t="inlineStr">
        <is>
          <t>nebraskalegislature.gov</t>
        </is>
      </c>
      <c r="D567" s="15" t="inlineStr">
        <is>
          <t>Nebraska Legislature (statutes (statute 77-1633))</t>
        </is>
      </c>
      <c r="E567" s="4" t="n"/>
      <c r="F567" s="4" t="n"/>
      <c r="G567" s="4" t="inlineStr">
        <is>
          <t>https://nebraskalegislature.gov/laws/statutes.php?statute=77-1633</t>
        </is>
      </c>
    </row>
    <row r="568" ht="30" customHeight="1">
      <c r="A568" s="13" t="inlineStr">
        <is>
          <t>Nebraska</t>
        </is>
      </c>
      <c r="B568" s="4" t="inlineStr">
        <is>
          <t>Constitution &amp; statutes</t>
        </is>
      </c>
      <c r="C568" s="4" t="inlineStr">
        <is>
          <t>nebraskalegislature.gov</t>
        </is>
      </c>
      <c r="D568" s="15" t="inlineStr">
        <is>
          <t>Nebraska Legislature (statutes (statute 77-7305))</t>
        </is>
      </c>
      <c r="E568" s="4" t="n"/>
      <c r="F568" s="4" t="n"/>
      <c r="G568" s="4" t="inlineStr">
        <is>
          <t>https://nebraskalegislature.gov/laws/statutes.php?statute=77-7305</t>
        </is>
      </c>
    </row>
    <row r="569" ht="30" customHeight="1">
      <c r="A569" s="13" t="inlineStr">
        <is>
          <t>Nebraska</t>
        </is>
      </c>
      <c r="B569" s="4" t="inlineStr">
        <is>
          <t>Constitution &amp; statutes</t>
        </is>
      </c>
      <c r="C569" s="4" t="inlineStr">
        <is>
          <t>nebraskalegislature.gov</t>
        </is>
      </c>
      <c r="D569" s="15" t="inlineStr">
        <is>
          <t>Nebraska Legislature (statutes (statute 77-4212))</t>
        </is>
      </c>
      <c r="E569" s="4" t="n"/>
      <c r="F569" s="4" t="n"/>
      <c r="G569" s="4" t="inlineStr">
        <is>
          <t>https://nebraskalegislature.gov/laws/statutes.php?statute=77-4212</t>
        </is>
      </c>
    </row>
    <row r="570" ht="30" customHeight="1">
      <c r="A570" s="13" t="inlineStr">
        <is>
          <t>Nebraska</t>
        </is>
      </c>
      <c r="B570" s="4" t="inlineStr">
        <is>
          <t>Constitution &amp; statutes</t>
        </is>
      </c>
      <c r="C570" s="4" t="inlineStr">
        <is>
          <t>nebraskalegislature.gov</t>
        </is>
      </c>
      <c r="D570" s="15" t="inlineStr">
        <is>
          <t>Nebraska Legislature (statutes (statute 77-201))</t>
        </is>
      </c>
      <c r="E570" s="4" t="n"/>
      <c r="F570" s="4" t="n"/>
      <c r="G570" s="4" t="inlineStr">
        <is>
          <t>https://nebraskalegislature.gov/laws/statutes.php?statute=77-201</t>
        </is>
      </c>
    </row>
    <row r="571" ht="30" customHeight="1">
      <c r="A571" s="13" t="inlineStr">
        <is>
          <t>Nebraska</t>
        </is>
      </c>
      <c r="B571" s="4" t="inlineStr">
        <is>
          <t>Constitution &amp; statutes</t>
        </is>
      </c>
      <c r="C571" s="4" t="inlineStr">
        <is>
          <t>nebraskalegislature.gov</t>
        </is>
      </c>
      <c r="D571" s="15" t="inlineStr">
        <is>
          <t>Nebraska Legislature (statutes (statute 77-3501.01))</t>
        </is>
      </c>
      <c r="E571" s="4" t="n"/>
      <c r="F571" s="4" t="n"/>
      <c r="G571" s="4" t="inlineStr">
        <is>
          <t>https://nebraskalegislature.gov/laws/statutes.php?statute=77-3501.01</t>
        </is>
      </c>
    </row>
    <row r="572" ht="30" customHeight="1">
      <c r="A572" s="13" t="inlineStr">
        <is>
          <t>Nebraska</t>
        </is>
      </c>
      <c r="B572" s="4" t="inlineStr">
        <is>
          <t>Constitution &amp; statutes</t>
        </is>
      </c>
      <c r="C572" s="4" t="inlineStr">
        <is>
          <t>nebraskalegislature.gov</t>
        </is>
      </c>
      <c r="D572" s="15" t="inlineStr">
        <is>
          <t>Nebraska Legislature (articles)</t>
        </is>
      </c>
      <c r="E572" s="4" t="n"/>
      <c r="F572" s="4" t="n"/>
      <c r="G572" s="4" t="inlineStr">
        <is>
          <t>https://nebraskalegislature.gov/laws/articles.php?article=VIII-1A</t>
        </is>
      </c>
    </row>
    <row r="573" ht="30" customHeight="1">
      <c r="A573" s="13" t="inlineStr">
        <is>
          <t>Nebraska</t>
        </is>
      </c>
      <c r="B573" s="4" t="inlineStr">
        <is>
          <t>Bills &amp; legislative documents</t>
        </is>
      </c>
      <c r="C573" s="4" t="inlineStr">
        <is>
          <t>nebraskalegislature.gov</t>
        </is>
      </c>
      <c r="D573" s="15" t="inlineStr">
        <is>
          <t>LEGISLATIVE BILL 803 Approved by the Governor April 16, 2026</t>
        </is>
      </c>
      <c r="E573" s="4" t="inlineStr">
        <is>
          <t>2026</t>
        </is>
      </c>
      <c r="F573" s="4" t="n"/>
      <c r="G573" s="4" t="inlineStr">
        <is>
          <t>https://nebraskalegislature.gov/FloorDocs/109/PDF/Slip/LB803.pdf</t>
        </is>
      </c>
    </row>
    <row r="574" ht="30" customHeight="1">
      <c r="A574" s="13" t="inlineStr">
        <is>
          <t>Nebraska</t>
        </is>
      </c>
      <c r="B574" s="4" t="inlineStr">
        <is>
          <t>Bills &amp; legislative documents</t>
        </is>
      </c>
      <c r="C574" s="4" t="inlineStr">
        <is>
          <t>nebraskalegislature.gov</t>
        </is>
      </c>
      <c r="D574" s="15" t="inlineStr">
        <is>
          <t>LEGISLATURE OF NEBRASKA ONE HUNDRED EIGHTH LEGISLATURE</t>
        </is>
      </c>
      <c r="E574" s="4" t="inlineStr">
        <is>
          <t>2023</t>
        </is>
      </c>
      <c r="F574" s="4" t="n"/>
      <c r="G574" s="4" t="inlineStr">
        <is>
          <t>https://www.NebraskaLegislature.gov/FloorDocs/108/PDF/Final/LB243.pdf</t>
        </is>
      </c>
    </row>
    <row r="575" ht="30" customHeight="1">
      <c r="A575" s="13" t="inlineStr">
        <is>
          <t>Nebraska</t>
        </is>
      </c>
      <c r="B575" s="4" t="inlineStr">
        <is>
          <t>Bills &amp; legislative documents</t>
        </is>
      </c>
      <c r="C575" s="4" t="inlineStr">
        <is>
          <t>update.legislature.ne.gov</t>
        </is>
      </c>
      <c r="D575" s="15" t="inlineStr">
        <is>
          <t>Property tax relief increased, school revenue growth capped</t>
        </is>
      </c>
      <c r="E575" s="4" t="inlineStr">
        <is>
          <t>2023-05-25</t>
        </is>
      </c>
      <c r="F575" s="4" t="n"/>
      <c r="G575" s="4" t="inlineStr">
        <is>
          <t>https://update.legislature.ne.gov/?p=34462</t>
        </is>
      </c>
    </row>
    <row r="576" ht="30" customHeight="1">
      <c r="A576" s="13" t="inlineStr">
        <is>
          <t>Nebraska</t>
        </is>
      </c>
      <c r="B576" s="4" t="inlineStr">
        <is>
          <t>Bills &amp; legislative documents</t>
        </is>
      </c>
      <c r="C576" s="4" t="inlineStr">
        <is>
          <t>update.legislature.ne.gov</t>
        </is>
      </c>
      <c r="D576" s="15" t="inlineStr">
        <is>
          <t>Session Review: Education</t>
        </is>
      </c>
      <c r="E576" s="4" t="inlineStr">
        <is>
          <t>2023-07-21</t>
        </is>
      </c>
      <c r="F576" s="4" t="n"/>
      <c r="G576" s="4" t="inlineStr">
        <is>
          <t>https://update.legislature.ne.gov/?p=34653</t>
        </is>
      </c>
    </row>
    <row r="577" ht="30" customHeight="1">
      <c r="A577" s="13" t="inlineStr">
        <is>
          <t>Nebraska</t>
        </is>
      </c>
      <c r="B577" s="4" t="inlineStr">
        <is>
          <t>State government</t>
        </is>
      </c>
      <c r="C577" s="4" t="inlineStr">
        <is>
          <t>revenue.nebraska.gov</t>
        </is>
      </c>
      <c r="D577" s="15" t="inlineStr">
        <is>
          <t>2026 Nebraska Legislative Changes</t>
        </is>
      </c>
      <c r="E577" s="4" t="n"/>
      <c r="F577" s="4" t="n"/>
      <c r="G577" s="4" t="inlineStr">
        <is>
          <t>https://revenue.nebraska.gov/about/2026-nebraska-legislative-changes</t>
        </is>
      </c>
    </row>
    <row r="578" ht="34" customHeight="1">
      <c r="A578" s="13" t="inlineStr">
        <is>
          <t>Nebraska</t>
        </is>
      </c>
      <c r="B578" s="4" t="inlineStr">
        <is>
          <t>State government</t>
        </is>
      </c>
      <c r="C578" s="4" t="inlineStr">
        <is>
          <t>revenue.nebraska.gov</t>
        </is>
      </c>
      <c r="D578" s="15" t="inlineStr">
        <is>
          <t>Table 3A 2015 - 2025 Annual and Cumulative % Change in Nebraska's Property Valuation &amp; Taxes Levied by Local Governments and</t>
        </is>
      </c>
      <c r="E578" s="4" t="inlineStr">
        <is>
          <t>2026</t>
        </is>
      </c>
      <c r="F578" s="4" t="n"/>
      <c r="G578" s="4" t="inlineStr">
        <is>
          <t>https://revenue.nebraska.gov/sites/default/files/doc/pad/research/annual-reports/2025/annrpt2025%20table%203.pdf</t>
        </is>
      </c>
    </row>
    <row r="579" ht="30" customHeight="1">
      <c r="A579" s="13" t="inlineStr">
        <is>
          <t>Nebraska</t>
        </is>
      </c>
      <c r="B579" s="4" t="inlineStr">
        <is>
          <t>State government</t>
        </is>
      </c>
      <c r="C579" s="4" t="inlineStr">
        <is>
          <t>revenue.nebraska.gov</t>
        </is>
      </c>
      <c r="D579" s="15" t="inlineStr">
        <is>
          <t>2026 Household Income Table</t>
        </is>
      </c>
      <c r="E579" s="4" t="inlineStr">
        <is>
          <t>2026</t>
        </is>
      </c>
      <c r="F579" s="4" t="n"/>
      <c r="G579" s="4" t="inlineStr">
        <is>
          <t>https://revenue.nebraska.gov/sites/default/files/doc/pad/homestead/2026%20Income%20Table.pdf</t>
        </is>
      </c>
    </row>
    <row r="580" ht="30" customHeight="1">
      <c r="A580" s="13" t="inlineStr">
        <is>
          <t>Nebraska</t>
        </is>
      </c>
      <c r="B580" s="4" t="inlineStr">
        <is>
          <t>State government</t>
        </is>
      </c>
      <c r="C580" s="4" t="inlineStr">
        <is>
          <t>auditors.nebraska.gov</t>
        </is>
      </c>
      <c r="D580" s="15" t="inlineStr">
        <is>
          <t>AUDITOR OF PUBLIC ACCOUNTS</t>
        </is>
      </c>
      <c r="E580" s="4" t="inlineStr">
        <is>
          <t>2025</t>
        </is>
      </c>
      <c r="F580" s="4" t="n"/>
      <c r="G580" s="4" t="inlineStr">
        <is>
          <t>https://auditors.nebraska.gov/Budget_Info/B2025-2026/2025_Budget_Updates_Slides.pdf</t>
        </is>
      </c>
    </row>
    <row r="581" ht="34" customHeight="1">
      <c r="A581" s="13" t="inlineStr">
        <is>
          <t>Nebraska</t>
        </is>
      </c>
      <c r="B581" s="4" t="inlineStr">
        <is>
          <t>News</t>
        </is>
      </c>
      <c r="C581" s="4" t="inlineStr">
        <is>
          <t>nebraskaexaminer.com</t>
        </is>
      </c>
      <c r="D581" s="15" t="inlineStr">
        <is>
          <t>absolute-minimum-property-tax-relief-plan-advances-in-nebraska-legislature-with-few-changes</t>
        </is>
      </c>
      <c r="E581" s="4" t="n"/>
      <c r="F581" s="4" t="n"/>
      <c r="G581" s="4" t="inlineStr">
        <is>
          <t>https://nebraskaexaminer.com/2024/08/16/absolute-minimum-property-tax-relief-plan-advances-in-nebraska-legislature-with-few-changes/</t>
        </is>
      </c>
    </row>
    <row r="582" ht="34" customHeight="1">
      <c r="A582" s="13" t="inlineStr">
        <is>
          <t>Nebraska</t>
        </is>
      </c>
      <c r="B582" s="4" t="inlineStr">
        <is>
          <t>News</t>
        </is>
      </c>
      <c r="C582" s="4" t="inlineStr">
        <is>
          <t>nebraskaexaminer.com</t>
        </is>
      </c>
      <c r="D582" s="15" t="inlineStr">
        <is>
          <t>pillen-vetoes-bill-defining-snow-ice-removal-flood-management-as-emergency-management-duties</t>
        </is>
      </c>
      <c r="E582" s="4" t="n"/>
      <c r="F582" s="4" t="n"/>
      <c r="G582" s="4" t="inlineStr">
        <is>
          <t>https://nebraskaexaminer.com/2026/04/16/pillen-vetoes-bill-defining-snow-ice-removal-flood-management-as-emergency-management-duties/</t>
        </is>
      </c>
    </row>
    <row r="583" ht="30" customHeight="1">
      <c r="A583" s="13" t="inlineStr">
        <is>
          <t>Nebraska</t>
        </is>
      </c>
      <c r="B583" s="4" t="inlineStr">
        <is>
          <t>News</t>
        </is>
      </c>
      <c r="C583" s="4" t="inlineStr">
        <is>
          <t>wowt.com</t>
        </is>
      </c>
      <c r="D583" s="15" t="inlineStr">
        <is>
          <t>Nebraska Unicameral fails to override any of Gov. Pillen’s vetoes</t>
        </is>
      </c>
      <c r="E583" s="4" t="inlineStr">
        <is>
          <t>2026-04-17</t>
        </is>
      </c>
      <c r="F583" s="4" t="n"/>
      <c r="G583" s="4" t="inlineStr">
        <is>
          <t>https://www.wowt.com/2026/04/17/nebraska-unicameral-fails-override-any-gov-pillens-vetoes/</t>
        </is>
      </c>
    </row>
    <row r="584" ht="30" customHeight="1">
      <c r="A584" s="13" t="inlineStr">
        <is>
          <t>Nebraska</t>
        </is>
      </c>
      <c r="B584" s="4" t="inlineStr">
        <is>
          <t>News</t>
        </is>
      </c>
      <c r="C584" s="4" t="inlineStr">
        <is>
          <t>nebraskaexaminer.com</t>
        </is>
      </c>
      <c r="D584" s="15" t="inlineStr">
        <is>
          <t>petition-effort-seeks-to-halve-nebraska-property-taxes-cap-valuations</t>
        </is>
      </c>
      <c r="E584" s="4" t="n"/>
      <c r="F584" s="4" t="n"/>
      <c r="G584" s="4" t="inlineStr">
        <is>
          <t>https://nebraskaexaminer.com/2025/08/25/petition-effort-seeks-to-halve-nebraska-property-taxes-cap-valuations/</t>
        </is>
      </c>
    </row>
    <row r="585" ht="34" customHeight="1">
      <c r="A585" s="13" t="inlineStr">
        <is>
          <t>Nebraska</t>
        </is>
      </c>
      <c r="B585" s="4" t="inlineStr">
        <is>
          <t>News</t>
        </is>
      </c>
      <c r="C585" s="4" t="inlineStr">
        <is>
          <t>nebraskaexaminer.com</t>
        </is>
      </c>
      <c r="D585" s="15" t="inlineStr">
        <is>
          <t>advocates-end-nebraska-property-tax-winner-take-all-hand-count-ballots-petition-effort</t>
        </is>
      </c>
      <c r="E585" s="4" t="n"/>
      <c r="F585" s="4" t="n"/>
      <c r="G585" s="4" t="inlineStr">
        <is>
          <t>https://nebraskaexaminer.com/2026/06/10/advocates-end-nebraska-property-tax-winner-take-all-hand-count-ballots-petition-effort/</t>
        </is>
      </c>
    </row>
    <row r="586" ht="30" customHeight="1">
      <c r="A586" s="13" t="inlineStr">
        <is>
          <t>Nebraska</t>
        </is>
      </c>
      <c r="B586" s="4" t="inlineStr">
        <is>
          <t>Research &amp; associations</t>
        </is>
      </c>
      <c r="C586" s="4" t="inlineStr">
        <is>
          <t>lincolninst.edu</t>
        </is>
      </c>
      <c r="D586" s="15" t="inlineStr">
        <is>
          <t>truth in taxation 2024.xlsx</t>
        </is>
      </c>
      <c r="E586" s="4" t="n"/>
      <c r="F586" s="4" t="inlineStr">
        <is>
          <t>DE, GA, IA, IL, KY, MD, MI, MN, MO, NC, ND, NM, NV, NY, OH, OK, OR, PA, RI, TN, TX, UT, VA, VT, WV, WY</t>
        </is>
      </c>
      <c r="G586" s="4" t="inlineStr">
        <is>
          <t>https://www.lincolninst.edu/app/uploads/2024/10/truth_in_taxation_2024.xlsx</t>
        </is>
      </c>
    </row>
    <row r="587" ht="30" customHeight="1">
      <c r="A587" s="13" t="inlineStr">
        <is>
          <t>Nebraska</t>
        </is>
      </c>
      <c r="B587" s="4" t="inlineStr">
        <is>
          <t>Federal government &amp; data</t>
        </is>
      </c>
      <c r="C587" s="4" t="inlineStr">
        <is>
          <t>www2.census.gov</t>
        </is>
      </c>
      <c r="D587" s="15" t="inlineStr">
        <is>
          <t>22slsstab1.xlsx</t>
        </is>
      </c>
      <c r="E587" s="4" t="n"/>
      <c r="F587" s="4" t="inlineStr">
        <is>
          <t>AL, AR, IA, KS, KY, LA, MA, MD, ME, MI, MN, MO, MS, MT, NC, ND, NH, NJ, NM, NV, NY, OH, OK, OR, PA, RI, SC, SD, TN, TX, UT, VA, VT, WA, WI, WV, WY</t>
        </is>
      </c>
      <c r="G587" s="4" t="inlineStr">
        <is>
          <t>https://www2.census.gov/programs-surveys/gov-finances/tables/2022/22slsstab1.xlsx</t>
        </is>
      </c>
    </row>
    <row r="588" ht="30" customHeight="1">
      <c r="A588" s="13" t="inlineStr">
        <is>
          <t>Nebraska</t>
        </is>
      </c>
      <c r="B588" s="4" t="inlineStr">
        <is>
          <t>Free-market groups &amp; GOP caucuses</t>
        </is>
      </c>
      <c r="C588" s="4" t="inlineStr">
        <is>
          <t>platteinstitute.org</t>
        </is>
      </c>
      <c r="D588" s="15" t="inlineStr">
        <is>
          <t>How Lincoln Raised Property Taxes Without Raising Rates</t>
        </is>
      </c>
      <c r="E588" s="4" t="inlineStr">
        <is>
          <t>2026-07-08</t>
        </is>
      </c>
      <c r="F588" s="4" t="n"/>
      <c r="G588" s="4" t="inlineStr">
        <is>
          <t>https://platteinstitute.org/how-lincoln-raised-property-taxes-without-raising-rates/</t>
        </is>
      </c>
    </row>
    <row r="589" ht="30" customHeight="1">
      <c r="A589" s="13" t="inlineStr">
        <is>
          <t>Nebraska</t>
        </is>
      </c>
      <c r="B589" s="4" t="inlineStr">
        <is>
          <t>Free-market groups &amp; GOP caucuses</t>
        </is>
      </c>
      <c r="C589" s="4" t="inlineStr">
        <is>
          <t>platteinstitute.org</t>
        </is>
      </c>
      <c r="D589" s="15" t="inlineStr">
        <is>
          <t>Nebraska’s Property Tax “Caps” Are Not the Same as Iowa’s</t>
        </is>
      </c>
      <c r="E589" s="4" t="inlineStr">
        <is>
          <t>2026-06-03</t>
        </is>
      </c>
      <c r="F589" s="4" t="n"/>
      <c r="G589" s="4" t="inlineStr">
        <is>
          <t>https://platteinstitute.org/nebraskas-property-tax-caps-are-not-the-same-as-iowas/</t>
        </is>
      </c>
    </row>
    <row r="590" ht="34" customHeight="1">
      <c r="A590" s="13" t="inlineStr">
        <is>
          <t>Nebraska</t>
        </is>
      </c>
      <c r="B590" s="4" t="inlineStr">
        <is>
          <t>Free-market groups &amp; GOP caucuses</t>
        </is>
      </c>
      <c r="C590" s="4" t="inlineStr">
        <is>
          <t>archive.commonsenseinstituteus.org</t>
        </is>
      </c>
      <c r="D590" s="15" t="inlineStr">
        <is>
          <t>Iowa Leads the Nation in Property Tax Relief: Ranking State Reforms of the Past Decade</t>
        </is>
      </c>
      <c r="E590" s="4" t="n"/>
      <c r="F590" s="4" t="inlineStr">
        <is>
          <t>NJ, OH, SD, TX, WY</t>
        </is>
      </c>
      <c r="G590" s="4" t="inlineStr">
        <is>
          <t>https://archive.commonsenseinstituteus.org/iowa/research/taxes-and-fees/iowa-leads-the-nation-in-property-tax-relief-ranking-state-reforms-of-the-past-decade</t>
        </is>
      </c>
    </row>
    <row r="591" ht="30" customHeight="1">
      <c r="A591" s="13" t="inlineStr">
        <is>
          <t>Nebraska</t>
        </is>
      </c>
      <c r="B591" s="4" t="inlineStr">
        <is>
          <t>State government</t>
        </is>
      </c>
      <c r="C591" s="4" t="inlineStr">
        <is>
          <t>sos.nebraska.gov</t>
        </is>
      </c>
      <c r="D591" s="15" t="inlineStr">
        <is>
          <t>2026 Elections | Nebraska Secretary of State</t>
        </is>
      </c>
      <c r="E591" s="4" t="n"/>
      <c r="F591" s="4" t="n"/>
      <c r="G591" s="4" t="inlineStr">
        <is>
          <t>https://sos.nebraska.gov/elections</t>
        </is>
      </c>
    </row>
    <row r="592" ht="30" customHeight="1">
      <c r="A592" s="13" t="inlineStr">
        <is>
          <t>Nebraska</t>
        </is>
      </c>
      <c r="B592" s="4" t="inlineStr">
        <is>
          <t>Bills &amp; legislative documents</t>
        </is>
      </c>
      <c r="C592" s="4" t="inlineStr">
        <is>
          <t>nebraskalegislature.gov</t>
        </is>
      </c>
      <c r="D592" s="15" t="inlineStr">
        <is>
          <t>Nebraska Legislature (search by number)</t>
        </is>
      </c>
      <c r="E592" s="4" t="n"/>
      <c r="F592" s="4" t="n"/>
      <c r="G592" s="4" t="inlineStr">
        <is>
          <t>https://www.nebraskalegislature.gov/bills/search_by_number.php?DocumentNumber=LR19CA&amp;Legislature=109</t>
        </is>
      </c>
    </row>
    <row r="593" ht="34" customHeight="1">
      <c r="A593" s="13" t="inlineStr">
        <is>
          <t>Nebraska</t>
        </is>
      </c>
      <c r="B593" s="4" t="inlineStr">
        <is>
          <t>News</t>
        </is>
      </c>
      <c r="C593" s="4" t="inlineStr">
        <is>
          <t>3newsnow.com</t>
        </is>
      </c>
      <c r="D593" s="15" t="inlineStr">
        <is>
          <t>'We are holding the line on the levy:' Mayor Ewing unveils proposed 2027 budget, keeps property tax rates flat</t>
        </is>
      </c>
      <c r="E593" s="4" t="inlineStr">
        <is>
          <t>2026-07-22</t>
        </is>
      </c>
      <c r="F593" s="4" t="n"/>
      <c r="G593" s="4" t="inlineStr">
        <is>
          <t>https://www.3newsnow.com/central-omaha/we-are-holding-the-line-on-the-levy-mayor-ewing-unveils-proposed-2027-budget-keeps-property-tax-rates-flat</t>
        </is>
      </c>
    </row>
    <row r="594" ht="30" customHeight="1">
      <c r="A594" s="13" t="inlineStr">
        <is>
          <t>Nebraska</t>
        </is>
      </c>
      <c r="B594" s="4" t="inlineStr">
        <is>
          <t>News</t>
        </is>
      </c>
      <c r="C594" s="4" t="inlineStr">
        <is>
          <t>3newsnow.com</t>
        </is>
      </c>
      <c r="D594" s="15" t="inlineStr">
        <is>
          <t>Omaha City Council approves 2027 budget after debate over property tax amendment</t>
        </is>
      </c>
      <c r="E594" s="4" t="inlineStr">
        <is>
          <t>2026-08-25</t>
        </is>
      </c>
      <c r="F594" s="4" t="n"/>
      <c r="G594" s="4" t="inlineStr">
        <is>
          <t>https://www.3newsnow.com/central-omaha/omaha-city-council-approves-2027-budget-after-debate-over-property-tax-amendment</t>
        </is>
      </c>
    </row>
    <row r="595" ht="30" customHeight="1">
      <c r="A595" s="13" t="inlineStr">
        <is>
          <t>Nebraska</t>
        </is>
      </c>
      <c r="B595" s="4" t="inlineStr">
        <is>
          <t>News</t>
        </is>
      </c>
      <c r="C595" s="4" t="inlineStr">
        <is>
          <t>wowt.com</t>
        </is>
      </c>
      <c r="D595" s="15" t="inlineStr">
        <is>
          <t>Omaha Public Schools raises property tax levy after $50.6M budget error</t>
        </is>
      </c>
      <c r="E595" s="4" t="inlineStr">
        <is>
          <t>2026-09-22</t>
        </is>
      </c>
      <c r="F595" s="4" t="n"/>
      <c r="G595" s="4" t="inlineStr">
        <is>
          <t>https://www.wowt.com/2026/09/22/omaha-public-schools-raises-property-tax-levy-after-506m-budget-error/</t>
        </is>
      </c>
    </row>
    <row r="596" ht="30" customHeight="1">
      <c r="A596" s="13" t="inlineStr">
        <is>
          <t>Nevada</t>
        </is>
      </c>
      <c r="B596" s="4" t="inlineStr">
        <is>
          <t>Bills &amp; legislative documents</t>
        </is>
      </c>
      <c r="C596" s="4" t="inlineStr">
        <is>
          <t>leg.state.nv.us</t>
        </is>
      </c>
      <c r="D596" s="15" t="inlineStr">
        <is>
          <t>NRS: CHAPTER 354 - LOCAL FINANCIAL ADMINISTRATION</t>
        </is>
      </c>
      <c r="E596" s="4" t="n"/>
      <c r="F596" s="4" t="n"/>
      <c r="G596" s="4" t="inlineStr">
        <is>
          <t>https://www.leg.state.nv.us/NRS/NRS-354.html</t>
        </is>
      </c>
    </row>
    <row r="597" ht="30" customHeight="1">
      <c r="A597" s="13" t="inlineStr">
        <is>
          <t>Nevada</t>
        </is>
      </c>
      <c r="B597" s="4" t="inlineStr">
        <is>
          <t>Bills &amp; legislative documents</t>
        </is>
      </c>
      <c r="C597" s="4" t="inlineStr">
        <is>
          <t>leg.state.nv.us</t>
        </is>
      </c>
      <c r="D597" s="15" t="inlineStr">
        <is>
          <t>NRS: CHAPTER 361 - PROPERTY TAX</t>
        </is>
      </c>
      <c r="E597" s="4" t="n"/>
      <c r="F597" s="4" t="n"/>
      <c r="G597" s="4" t="inlineStr">
        <is>
          <t>https://www.leg.state.nv.us/NRS/NRS-361.html</t>
        </is>
      </c>
    </row>
    <row r="598" ht="30" customHeight="1">
      <c r="A598" s="13" t="inlineStr">
        <is>
          <t>Nevada</t>
        </is>
      </c>
      <c r="B598" s="4" t="inlineStr">
        <is>
          <t>Bills &amp; legislative documents</t>
        </is>
      </c>
      <c r="C598" s="4" t="inlineStr">
        <is>
          <t>leg.state.nv.us</t>
        </is>
      </c>
      <c r="D598" s="15" t="inlineStr">
        <is>
          <t>NRS: CHAPTER 387 - FINANCIAL SUPPORT OF SCHOOL SYSTEM</t>
        </is>
      </c>
      <c r="E598" s="4" t="n"/>
      <c r="F598" s="4" t="n"/>
      <c r="G598" s="4" t="inlineStr">
        <is>
          <t>https://www.leg.state.nv.us/NRS/NRS-387.html</t>
        </is>
      </c>
    </row>
    <row r="599" ht="30" customHeight="1">
      <c r="A599" s="13" t="inlineStr">
        <is>
          <t>Nevada</t>
        </is>
      </c>
      <c r="B599" s="4" t="inlineStr">
        <is>
          <t>Research &amp; associations</t>
        </is>
      </c>
      <c r="C599" s="4" t="inlineStr">
        <is>
          <t>lincolninst.edu</t>
        </is>
      </c>
      <c r="D599" s="15" t="inlineStr">
        <is>
          <t>levy limits 2022.xlsx</t>
        </is>
      </c>
      <c r="E599" s="4" t="n"/>
      <c r="F599" s="4" t="inlineStr">
        <is>
          <t>MA, ME, MI, MN, MO, MS, MT, NM, NY, RI, SD, WA, WI, WV</t>
        </is>
      </c>
      <c r="G599" s="4" t="inlineStr">
        <is>
          <t>https://www.lincolninst.edu/app/uploads/2024/12/levy_limits_2022.xlsx</t>
        </is>
      </c>
    </row>
    <row r="600" ht="30" customHeight="1">
      <c r="A600" s="13" t="inlineStr">
        <is>
          <t>Nevada</t>
        </is>
      </c>
      <c r="B600" s="4" t="inlineStr">
        <is>
          <t>Research &amp; associations</t>
        </is>
      </c>
      <c r="C600" s="4" t="inlineStr">
        <is>
          <t>apps.lincolninst.edu</t>
        </is>
      </c>
      <c r="D600" s="15" t="inlineStr">
        <is>
          <t>rate-limits-2022-4.xlsx</t>
        </is>
      </c>
      <c r="E600" s="4" t="n"/>
      <c r="F600" s="4" t="inlineStr">
        <is>
          <t>AL, FL, IA, ID, KS, KY, LA, MA, MI, MO, NM, SC, SD, UT, WA, WV, WY</t>
        </is>
      </c>
      <c r="G600" s="4" t="inlineStr">
        <is>
          <t>https://apps.lincolninst.edu/uploads/summary-tables/rate-limits-summary-tables/rate-limits-2022-4.xlsx</t>
        </is>
      </c>
    </row>
    <row r="601" ht="30" customHeight="1">
      <c r="A601" s="13" t="inlineStr">
        <is>
          <t>Nevada</t>
        </is>
      </c>
      <c r="B601" s="4" t="inlineStr">
        <is>
          <t>Research &amp; associations</t>
        </is>
      </c>
      <c r="C601" s="4" t="inlineStr">
        <is>
          <t>lincolninst.edu</t>
        </is>
      </c>
      <c r="D601" s="15" t="inlineStr">
        <is>
          <t>truth in taxation 2024.xlsx</t>
        </is>
      </c>
      <c r="E601" s="4" t="n"/>
      <c r="F601" s="4" t="inlineStr">
        <is>
          <t>DE, GA, IA, IL, KY, MD, MI, MN, MO, NC, ND, NE, NM, NY, OH, OK, OR, PA, RI, TN, TX, UT, VA, VT, WV, WY</t>
        </is>
      </c>
      <c r="G601" s="4" t="inlineStr">
        <is>
          <t>https://www.lincolninst.edu/app/uploads/2024/10/truth_in_taxation_2024.xlsx</t>
        </is>
      </c>
    </row>
    <row r="602" ht="30" customHeight="1">
      <c r="A602" s="13" t="inlineStr">
        <is>
          <t>Nevada</t>
        </is>
      </c>
      <c r="B602" s="4" t="inlineStr">
        <is>
          <t>Federal government &amp; data</t>
        </is>
      </c>
      <c r="C602" s="4" t="inlineStr">
        <is>
          <t>www2.census.gov</t>
        </is>
      </c>
      <c r="D602" s="15" t="inlineStr">
        <is>
          <t>22slsstab1.xlsx</t>
        </is>
      </c>
      <c r="E602" s="4" t="n"/>
      <c r="F602" s="4" t="inlineStr">
        <is>
          <t>AL, AR, IA, KS, KY, LA, MA, MD, ME, MI, MN, MO, MS, MT, NC, ND, NE, NH, NJ, NM, NY, OH, OK, OR, PA, RI, SC, SD, TN, TX, UT, VA, VT, WA, WI, WV, WY</t>
        </is>
      </c>
      <c r="G602" s="4" t="inlineStr">
        <is>
          <t>https://www2.census.gov/programs-surveys/gov-finances/tables/2022/22slsstab1.xlsx</t>
        </is>
      </c>
    </row>
    <row r="603" ht="30" customHeight="1">
      <c r="A603" s="13" t="inlineStr">
        <is>
          <t>Nevada</t>
        </is>
      </c>
      <c r="B603" s="4" t="inlineStr">
        <is>
          <t>Bills &amp; legislative documents</t>
        </is>
      </c>
      <c r="C603" s="4" t="inlineStr">
        <is>
          <t>leg.state.nv.us</t>
        </is>
      </c>
      <c r="D603" s="15" t="inlineStr">
        <is>
          <t>Senate Bill No. 451–Senator Cannizzaro CHAPTER..........</t>
        </is>
      </c>
      <c r="E603" s="4" t="inlineStr">
        <is>
          <t>2025</t>
        </is>
      </c>
      <c r="F603" s="4" t="n"/>
      <c r="G603" s="4" t="inlineStr">
        <is>
          <t>https://www.leg.state.nv.us/Session/83rd2025/Bills/SB/SB451_EN.pdf</t>
        </is>
      </c>
    </row>
    <row r="604" ht="34" customHeight="1">
      <c r="A604" s="13" t="inlineStr">
        <is>
          <t>Nevada</t>
        </is>
      </c>
      <c r="B604" s="4" t="inlineStr">
        <is>
          <t>Bills &amp; legislative documents</t>
        </is>
      </c>
      <c r="C604" s="4" t="inlineStr">
        <is>
          <t>leg.state.nv.us</t>
        </is>
      </c>
      <c r="D604" s="15" t="inlineStr">
        <is>
          <t>Assembly Bill No. 377–Assemblymembers Gallant, Gurr, D’Silva, Gray; Cole, DeLong, Hibbetts, Koenig and O’Neill</t>
        </is>
      </c>
      <c r="E604" s="4" t="inlineStr">
        <is>
          <t>2025</t>
        </is>
      </c>
      <c r="F604" s="4" t="n"/>
      <c r="G604" s="4" t="inlineStr">
        <is>
          <t>https://www.leg.state.nv.us/Session/83rd2025/Bills/AB/AB377_EN.pdf</t>
        </is>
      </c>
    </row>
    <row r="605" ht="30" customHeight="1">
      <c r="A605" s="13" t="inlineStr">
        <is>
          <t>Nevada</t>
        </is>
      </c>
      <c r="B605" s="4" t="inlineStr">
        <is>
          <t>News</t>
        </is>
      </c>
      <c r="C605" s="4" t="inlineStr">
        <is>
          <t>thenevadaindependent.com</t>
        </is>
      </c>
      <c r="D605" s="15" t="inlineStr">
        <is>
          <t>Is Lombardo staying true to his no taxes pledge? A bill signing raises questions</t>
        </is>
      </c>
      <c r="E605" s="4" t="inlineStr">
        <is>
          <t>2025-05-26</t>
        </is>
      </c>
      <c r="F605" s="4" t="n"/>
      <c r="G605" s="4" t="inlineStr">
        <is>
          <t>https://thenevadaindependent.com/article/is-lombardo-staying-true-to-his-no-taxes-pledge-a-bill-signing-raises-questions</t>
        </is>
      </c>
    </row>
    <row r="606" ht="30" customHeight="1">
      <c r="A606" s="13" t="inlineStr">
        <is>
          <t>Nevada</t>
        </is>
      </c>
      <c r="B606" s="4" t="inlineStr">
        <is>
          <t>Free-market groups &amp; GOP caucuses</t>
        </is>
      </c>
      <c r="C606" s="4" t="inlineStr">
        <is>
          <t>nevadapolicy.org</t>
        </is>
      </c>
      <c r="D606" s="15" t="inlineStr">
        <is>
          <t>Bill to Sharply Increase State Property Tax Fails</t>
        </is>
      </c>
      <c r="E606" s="4" t="inlineStr">
        <is>
          <t>2023-04-27</t>
        </is>
      </c>
      <c r="F606" s="4" t="n"/>
      <c r="G606" s="4" t="inlineStr">
        <is>
          <t>https://nevadapolicy.org/bill-to-sharply-increase-state-property-tax-fails/</t>
        </is>
      </c>
    </row>
    <row r="607" ht="30" customHeight="1">
      <c r="A607" s="13" t="inlineStr">
        <is>
          <t>Nevada</t>
        </is>
      </c>
      <c r="B607" s="4" t="inlineStr">
        <is>
          <t>News</t>
        </is>
      </c>
      <c r="C607" s="4" t="inlineStr">
        <is>
          <t>fox5vegas.com</t>
        </is>
      </c>
      <c r="D607" s="15" t="inlineStr">
        <is>
          <t>Nevada releases 2026 ballot question guide ahead of General Election</t>
        </is>
      </c>
      <c r="E607" s="4" t="inlineStr">
        <is>
          <t>2026-09-30</t>
        </is>
      </c>
      <c r="F607" s="4" t="n"/>
      <c r="G607" s="4" t="inlineStr">
        <is>
          <t>https://www.fox5vegas.com/2026/09/30/nevada-releases-2026-ballot-question-guide-ahead-general-election/</t>
        </is>
      </c>
    </row>
    <row r="608" ht="34" customHeight="1">
      <c r="A608" s="13" t="inlineStr">
        <is>
          <t>Nevada</t>
        </is>
      </c>
      <c r="B608" s="4" t="inlineStr">
        <is>
          <t>News</t>
        </is>
      </c>
      <c r="C608" s="4" t="inlineStr">
        <is>
          <t>news3lv.com</t>
        </is>
      </c>
      <c r="D608" s="15" t="inlineStr">
        <is>
          <t>Nevadans will only vote on two statewide ballot questions this year, the fewest since 2012</t>
        </is>
      </c>
      <c r="E608" s="4" t="inlineStr">
        <is>
          <t>2026-07-06</t>
        </is>
      </c>
      <c r="F608" s="4" t="n"/>
      <c r="G608" s="4" t="inlineStr">
        <is>
          <t>https://news3lv.com/news/election/nevadans-will-only-vote-on-two-statewide-ballot-questions-this-year-the-fewest-since-2012-voter-id-identification-abortion-rights</t>
        </is>
      </c>
    </row>
    <row r="609" ht="34" customHeight="1">
      <c r="A609" s="13" t="inlineStr">
        <is>
          <t>New Hampshire</t>
        </is>
      </c>
      <c r="B609" s="4" t="inlineStr">
        <is>
          <t>News</t>
        </is>
      </c>
      <c r="C609" s="4" t="inlineStr">
        <is>
          <t>nhbr.com</t>
        </is>
      </c>
      <c r="D609" s="15" t="inlineStr">
        <is>
          <t>NH Supreme Court rules wealthy municipalities can keep excess education property tax</t>
        </is>
      </c>
      <c r="E609" s="4" t="inlineStr">
        <is>
          <t>2025-06-10</t>
        </is>
      </c>
      <c r="F609" s="4" t="n"/>
      <c r="G609" s="4" t="inlineStr">
        <is>
          <t>https://www.nhbr.com/nh-supreme-court-rules-wealthy-municipalities-can-keep-excess-education-property-tax/</t>
        </is>
      </c>
    </row>
    <row r="610" ht="34" customHeight="1">
      <c r="A610" s="13" t="inlineStr">
        <is>
          <t>New Hampshire</t>
        </is>
      </c>
      <c r="B610" s="4" t="inlineStr">
        <is>
          <t>News</t>
        </is>
      </c>
      <c r="C610" s="4" t="inlineStr">
        <is>
          <t>concordmonitor.com</t>
        </is>
      </c>
      <c r="D610" s="15" t="inlineStr">
        <is>
          <t>429 Too Many Requests (new-hampshire-supreme-court-ruling-rand-v-nh-education-funding-61692049)</t>
        </is>
      </c>
      <c r="E610" s="4" t="n"/>
      <c r="F610" s="4" t="n"/>
      <c r="G610" s="4" t="inlineStr">
        <is>
          <t>https://www.concordmonitor.com/2025/06/10/new-hampshire-supreme-court-ruling-rand-v-nh-education-funding-61692049/</t>
        </is>
      </c>
    </row>
    <row r="611" ht="30" customHeight="1">
      <c r="A611" s="13" t="inlineStr">
        <is>
          <t>New Hampshire</t>
        </is>
      </c>
      <c r="B611" s="4" t="inlineStr">
        <is>
          <t>News</t>
        </is>
      </c>
      <c r="C611" s="4" t="inlineStr">
        <is>
          <t>indepthnh.org</t>
        </is>
      </c>
      <c r="D611" s="15" t="inlineStr">
        <is>
          <t>Distant Dome: NH Supreme Court Decision Takes Lawmakers Off the Hook</t>
        </is>
      </c>
      <c r="E611" s="4" t="inlineStr">
        <is>
          <t>2025-06-14</t>
        </is>
      </c>
      <c r="F611" s="4" t="n"/>
      <c r="G611" s="4" t="inlineStr">
        <is>
          <t>https://indepthnh.org/2025/06/14/nh-supreme-court-decision-takes-lawmakers-off-the-hook/</t>
        </is>
      </c>
    </row>
    <row r="612" ht="30" customHeight="1">
      <c r="A612" s="13" t="inlineStr">
        <is>
          <t>New Hampshire</t>
        </is>
      </c>
      <c r="B612" s="4" t="inlineStr">
        <is>
          <t>Federal government &amp; data</t>
        </is>
      </c>
      <c r="C612" s="4" t="inlineStr">
        <is>
          <t>www2.census.gov</t>
        </is>
      </c>
      <c r="D612" s="15" t="inlineStr">
        <is>
          <t>22slsstab1.xlsx</t>
        </is>
      </c>
      <c r="E612" s="4" t="n"/>
      <c r="F612" s="4" t="inlineStr">
        <is>
          <t>AL, AR, IA, KS, KY, LA, MA, MD, ME, MI, MN, MO, MS, MT, NC, ND, NE, NJ, NM, NV, NY, OH, OK, OR, PA, RI, SC, SD, TN, TX, UT, VA, VT, WA, WI, WV, WY</t>
        </is>
      </c>
      <c r="G612" s="4" t="inlineStr">
        <is>
          <t>https://www2.census.gov/programs-surveys/gov-finances/tables/2022/22slsstab1.xlsx</t>
        </is>
      </c>
    </row>
    <row r="613" ht="30" customHeight="1">
      <c r="A613" s="13" t="inlineStr">
        <is>
          <t>New Hampshire</t>
        </is>
      </c>
      <c r="B613" s="4" t="inlineStr">
        <is>
          <t>News</t>
        </is>
      </c>
      <c r="C613" s="4" t="inlineStr">
        <is>
          <t>nhpr.org</t>
        </is>
      </c>
      <c r="D613" s="15" t="inlineStr">
        <is>
          <t>Ayotte signs bill to put local school tax cap question on November ballot</t>
        </is>
      </c>
      <c r="E613" s="4" t="inlineStr">
        <is>
          <t>2026-07-15</t>
        </is>
      </c>
      <c r="F613" s="4" t="n"/>
      <c r="G613" s="4" t="inlineStr">
        <is>
          <t>https://www.nhpr.org/politics/2026-07-15/ayotte-signs-bill-local-school-tax-cap-question-november-ballot</t>
        </is>
      </c>
    </row>
    <row r="614" ht="34" customHeight="1">
      <c r="A614" s="13" t="inlineStr">
        <is>
          <t>New Hampshire</t>
        </is>
      </c>
      <c r="B614" s="4" t="inlineStr">
        <is>
          <t>News</t>
        </is>
      </c>
      <c r="C614" s="4" t="inlineStr">
        <is>
          <t>indepthnh.org</t>
        </is>
      </c>
      <c r="D614" s="15" t="inlineStr">
        <is>
          <t>Ayotte Signs 20 Bills, Including the Controversial Local School Budget Cap HB 1300</t>
        </is>
      </c>
      <c r="E614" s="4" t="inlineStr">
        <is>
          <t>2026-07-15</t>
        </is>
      </c>
      <c r="F614" s="4" t="n"/>
      <c r="G614" s="4" t="inlineStr">
        <is>
          <t>https://indepthnh.org/2026/07/15/ayotte-signs-20-bills-including-the-controversial-local-school-budget-cap-hb-1300/</t>
        </is>
      </c>
    </row>
    <row r="615" ht="30" customHeight="1">
      <c r="A615" s="13" t="inlineStr">
        <is>
          <t>New Hampshire</t>
        </is>
      </c>
      <c r="B615" s="4" t="inlineStr">
        <is>
          <t>News</t>
        </is>
      </c>
      <c r="C615" s="4" t="inlineStr">
        <is>
          <t>news.bloombergtax.com</t>
        </is>
      </c>
      <c r="D615" s="15" t="inlineStr">
        <is>
          <t>New Hampshire Requires School District Property Tax Cap Vote</t>
        </is>
      </c>
      <c r="E615" s="4" t="inlineStr">
        <is>
          <t>2026-07-21</t>
        </is>
      </c>
      <c r="F615" s="4" t="n"/>
      <c r="G615" s="4" t="inlineStr">
        <is>
          <t>https://news.bloombergtax.com/daily-tax-report-state/new-hampshire-requires-school-district-property-tax-cap-vote</t>
        </is>
      </c>
    </row>
    <row r="616" ht="34" customHeight="1">
      <c r="A616" s="13" t="inlineStr">
        <is>
          <t>New Hampshire</t>
        </is>
      </c>
      <c r="B616" s="4" t="inlineStr">
        <is>
          <t>Free-market groups &amp; GOP caucuses</t>
        </is>
      </c>
      <c r="C616" s="4" t="inlineStr">
        <is>
          <t>jbartlett.org</t>
        </is>
      </c>
      <c r="D616" s="15" t="inlineStr">
        <is>
          <t>New Hampshire's first statewide chance to cap property tax growth comes in November</t>
        </is>
      </c>
      <c r="E616" s="4" t="inlineStr">
        <is>
          <t>2026-09-18</t>
        </is>
      </c>
      <c r="F616" s="4" t="n"/>
      <c r="G616" s="4" t="inlineStr">
        <is>
          <t>https://jbartlett.org/2026/09/new-hampshires-first-statewide-chance-to-cap-property-tax-growth-comes-in-november/</t>
        </is>
      </c>
    </row>
    <row r="617" ht="30" customHeight="1">
      <c r="A617" s="13" t="inlineStr">
        <is>
          <t>New Hampshire</t>
        </is>
      </c>
      <c r="B617" s="4" t="inlineStr">
        <is>
          <t>Free-market groups &amp; GOP caucuses</t>
        </is>
      </c>
      <c r="C617" s="4" t="inlineStr">
        <is>
          <t>jbartlett.org</t>
        </is>
      </c>
      <c r="D617" s="15" t="inlineStr">
        <is>
          <t>Claremont's missing word</t>
        </is>
      </c>
      <c r="E617" s="4" t="inlineStr">
        <is>
          <t>2026-08-28</t>
        </is>
      </c>
      <c r="F617" s="4" t="n"/>
      <c r="G617" s="4" t="inlineStr">
        <is>
          <t>https://jbartlett.org/2026/08/claremonts-missing-word/</t>
        </is>
      </c>
    </row>
    <row r="618" ht="30" customHeight="1">
      <c r="A618" s="13" t="inlineStr">
        <is>
          <t>New Hampshire</t>
        </is>
      </c>
      <c r="B618" s="4" t="inlineStr">
        <is>
          <t>News</t>
        </is>
      </c>
      <c r="C618" s="4" t="inlineStr">
        <is>
          <t>indepthnh.org</t>
        </is>
      </c>
      <c r="D618" s="15" t="inlineStr">
        <is>
          <t>NH Supreme Court Sides with School Districts on Adequate Funding</t>
        </is>
      </c>
      <c r="E618" s="4" t="inlineStr">
        <is>
          <t>2025-07-01</t>
        </is>
      </c>
      <c r="F618" s="4" t="n"/>
      <c r="G618" s="4" t="inlineStr">
        <is>
          <t>https://indepthnh.org/2025/07/01/nh-supreme-court-sides-with-school-districts-on-adequate-funding/</t>
        </is>
      </c>
    </row>
    <row r="619" ht="30" customHeight="1">
      <c r="A619" s="13" t="inlineStr">
        <is>
          <t>New Hampshire</t>
        </is>
      </c>
      <c r="B619" s="4" t="inlineStr">
        <is>
          <t>Ballot information</t>
        </is>
      </c>
      <c r="C619" s="4" t="inlineStr">
        <is>
          <t>ballotpedia.org</t>
        </is>
      </c>
      <c r="D619" s="15" t="inlineStr">
        <is>
          <t>New Hampshire 2026 ballot measures</t>
        </is>
      </c>
      <c r="E619" s="4" t="n"/>
      <c r="F619" s="4" t="n"/>
      <c r="G619" s="4" t="inlineStr">
        <is>
          <t>https://ballotpedia.org/New_Hampshire_2026_ballot_measures</t>
        </is>
      </c>
    </row>
    <row r="620" ht="30" customHeight="1">
      <c r="A620" s="13" t="inlineStr">
        <is>
          <t>New Jersey</t>
        </is>
      </c>
      <c r="B620" s="4" t="inlineStr">
        <is>
          <t>State government</t>
        </is>
      </c>
      <c r="C620" s="4" t="inlineStr">
        <is>
          <t>nj.gov</t>
        </is>
      </c>
      <c r="D620" s="15" t="inlineStr">
        <is>
          <t>NJ Department of Community Affairs</t>
        </is>
      </c>
      <c r="E620" s="4" t="n"/>
      <c r="F620" s="4" t="n"/>
      <c r="G620" s="4" t="inlineStr">
        <is>
          <t>https://www.nj.gov/dca/dlgs/</t>
        </is>
      </c>
    </row>
    <row r="621" ht="30" customHeight="1">
      <c r="A621" s="13" t="inlineStr">
        <is>
          <t>New Jersey</t>
        </is>
      </c>
      <c r="B621" s="4" t="inlineStr">
        <is>
          <t>Federal government &amp; data</t>
        </is>
      </c>
      <c r="C621" s="4" t="inlineStr">
        <is>
          <t>www2.census.gov</t>
        </is>
      </c>
      <c r="D621" s="15" t="inlineStr">
        <is>
          <t>22slsstab1.xlsx</t>
        </is>
      </c>
      <c r="E621" s="4" t="n"/>
      <c r="F621" s="4" t="inlineStr">
        <is>
          <t>AL, AR, IA, KS, KY, LA, MA, MD, ME, MI, MN, MO, MS, MT, NC, ND, NE, NH, NM, NV, NY, OH, OK, OR, PA, RI, SC, SD, TN, TX, UT, VA, VT, WA, WI, WV, WY</t>
        </is>
      </c>
      <c r="G621" s="4" t="inlineStr">
        <is>
          <t>https://www2.census.gov/programs-surveys/gov-finances/tables/2022/22slsstab1.xlsx</t>
        </is>
      </c>
    </row>
    <row r="622" ht="30" customHeight="1">
      <c r="A622" s="13" t="inlineStr">
        <is>
          <t>New Jersey</t>
        </is>
      </c>
      <c r="B622" s="4" t="inlineStr">
        <is>
          <t>State government</t>
        </is>
      </c>
      <c r="C622" s="4" t="inlineStr">
        <is>
          <t>nj.gov</t>
        </is>
      </c>
      <c r="D622" s="15" t="inlineStr">
        <is>
          <t>Governor Sherrill Signs FY 2027 Appropriations Act</t>
        </is>
      </c>
      <c r="E622" s="4" t="n"/>
      <c r="F622" s="4" t="n"/>
      <c r="G622" s="4" t="inlineStr">
        <is>
          <t>https://www.nj.gov/governor/news/2026/20260630d.shtml</t>
        </is>
      </c>
    </row>
    <row r="623" ht="34" customHeight="1">
      <c r="A623" s="13" t="inlineStr">
        <is>
          <t>New Jersey</t>
        </is>
      </c>
      <c r="B623" s="4" t="inlineStr">
        <is>
          <t>Free-market groups &amp; GOP caucuses</t>
        </is>
      </c>
      <c r="C623" s="4" t="inlineStr">
        <is>
          <t>archive.commonsenseinstituteus.org</t>
        </is>
      </c>
      <c r="D623" s="15" t="inlineStr">
        <is>
          <t>Iowa Leads the Nation in Property Tax Relief: Ranking State Reforms of the Past Decade</t>
        </is>
      </c>
      <c r="E623" s="4" t="n"/>
      <c r="F623" s="4" t="inlineStr">
        <is>
          <t>NE, OH, SD, TX, WY</t>
        </is>
      </c>
      <c r="G623" s="4" t="inlineStr">
        <is>
          <t>https://archive.commonsenseinstituteus.org/iowa/research/taxes-and-fees/iowa-leads-the-nation-in-property-tax-relief-ranking-state-reforms-of-the-past-decade</t>
        </is>
      </c>
    </row>
    <row r="624" ht="30" customHeight="1">
      <c r="A624" s="13" t="inlineStr">
        <is>
          <t>New Jersey</t>
        </is>
      </c>
      <c r="B624" s="4" t="inlineStr">
        <is>
          <t>Free-market groups &amp; GOP caucuses</t>
        </is>
      </c>
      <c r="C624" s="4" t="inlineStr">
        <is>
          <t>gardenstateinitiative.org</t>
        </is>
      </c>
      <c r="D624" s="15" t="inlineStr">
        <is>
          <t>New Jersey needs a plan to slay its property tax dragon</t>
        </is>
      </c>
      <c r="E624" s="4" t="inlineStr">
        <is>
          <t>2022-06-30</t>
        </is>
      </c>
      <c r="F624" s="4" t="n"/>
      <c r="G624" s="4" t="inlineStr">
        <is>
          <t>https://www.gardenstateinitiative.org/op-ed/new-jersey-needs-a-plan-to-slay-its-property-tax-dragon/</t>
        </is>
      </c>
    </row>
    <row r="625" ht="34" customHeight="1">
      <c r="A625" s="13" t="inlineStr">
        <is>
          <t>New Jersey</t>
        </is>
      </c>
      <c r="B625" s="4" t="inlineStr">
        <is>
          <t>Free-market groups &amp; GOP caucuses</t>
        </is>
      </c>
      <c r="C625" s="4" t="inlineStr">
        <is>
          <t>gardenstateinitiative.org</t>
        </is>
      </c>
      <c r="D625" s="15" t="inlineStr">
        <is>
          <t>GSI Opinion: Here’s Why Your New Jersey Property Taxes Will Never Go Down (Unless There’s Radical Change)</t>
        </is>
      </c>
      <c r="E625" s="4" t="inlineStr">
        <is>
          <t>2022-06-29</t>
        </is>
      </c>
      <c r="F625" s="4" t="n"/>
      <c r="G625" s="4" t="inlineStr">
        <is>
          <t>https://www.gardenstateinitiative.org/op-ed/gsi-opinion-heres-why-your-new-jersey-property-taxes-will-never-go-down-unless-theres-radical-change/</t>
        </is>
      </c>
    </row>
    <row r="626" ht="34" customHeight="1">
      <c r="A626" s="13" t="inlineStr">
        <is>
          <t>New Jersey</t>
        </is>
      </c>
      <c r="B626" s="4" t="inlineStr">
        <is>
          <t>News</t>
        </is>
      </c>
      <c r="C626" s="4" t="inlineStr">
        <is>
          <t>insidernj.com</t>
        </is>
      </c>
      <c r="D626" s="15" t="inlineStr">
        <is>
          <t>Governor Murphy Signs Legislation Providing Support to School Districts Seeing Reductions in School Funding Aid</t>
        </is>
      </c>
      <c r="E626" s="4" t="inlineStr">
        <is>
          <t>2024-05-15</t>
        </is>
      </c>
      <c r="F626" s="4" t="n"/>
      <c r="G626" s="4" t="inlineStr">
        <is>
          <t>https://insidernj.com/governor-murphy-signs-legislation-providing-support-to-school-districts-seeing-reductions-in-school-funding-aid</t>
        </is>
      </c>
    </row>
    <row r="627" ht="30" customHeight="1">
      <c r="A627" s="13" t="inlineStr">
        <is>
          <t>New Jersey</t>
        </is>
      </c>
      <c r="B627" s="4" t="inlineStr">
        <is>
          <t>News</t>
        </is>
      </c>
      <c r="C627" s="4" t="inlineStr">
        <is>
          <t>morrisfocus.com</t>
        </is>
      </c>
      <c r="D627" s="15" t="inlineStr">
        <is>
          <t>N.J. Assembly Quietly Votes to End 2% Property Tax Cap for Schools</t>
        </is>
      </c>
      <c r="E627" s="4" t="inlineStr">
        <is>
          <t>2024-04-18</t>
        </is>
      </c>
      <c r="F627" s="4" t="n"/>
      <c r="G627" s="4" t="inlineStr">
        <is>
          <t>https://morrisfocus.com/2024/04/18/n-j-assembly-quietly-votes-to-end-2-property-tax-cap-for-schools/</t>
        </is>
      </c>
    </row>
    <row r="628" ht="30" customHeight="1">
      <c r="A628" s="13" t="inlineStr">
        <is>
          <t>New Jersey</t>
        </is>
      </c>
      <c r="B628" s="4" t="inlineStr">
        <is>
          <t>News</t>
        </is>
      </c>
      <c r="C628" s="4" t="inlineStr">
        <is>
          <t>njbiz.com</t>
        </is>
      </c>
      <c r="D628" s="15" t="inlineStr">
        <is>
          <t>Moody's: Jersey City tax abatement audits show promise for schools</t>
        </is>
      </c>
      <c r="E628" s="4" t="inlineStr">
        <is>
          <t>2020-02-12</t>
        </is>
      </c>
      <c r="F628" s="4" t="n"/>
      <c r="G628" s="4" t="inlineStr">
        <is>
          <t>https://njbiz.com/moodys-jersey-city-tax-abatement-audits-promising-sign-local-schools</t>
        </is>
      </c>
    </row>
    <row r="629" ht="30" customHeight="1">
      <c r="A629" s="13" t="inlineStr">
        <is>
          <t>New Jersey</t>
        </is>
      </c>
      <c r="B629" s="4" t="inlineStr">
        <is>
          <t>State government</t>
        </is>
      </c>
      <c r="C629" s="4" t="inlineStr">
        <is>
          <t>nj.gov</t>
        </is>
      </c>
      <c r="D629" s="15" t="inlineStr">
        <is>
          <t>NJ DOS - Division of Elections</t>
        </is>
      </c>
      <c r="E629" s="4" t="n"/>
      <c r="F629" s="4" t="n"/>
      <c r="G629" s="4" t="inlineStr">
        <is>
          <t>https://www.nj.gov/state/elections/election-information-2026.shtml</t>
        </is>
      </c>
    </row>
    <row r="630" ht="30" customHeight="1">
      <c r="A630" s="13" t="inlineStr">
        <is>
          <t>New Jersey</t>
        </is>
      </c>
      <c r="B630" s="4" t="inlineStr">
        <is>
          <t>Other</t>
        </is>
      </c>
      <c r="C630" s="4" t="inlineStr">
        <is>
          <t>pub.njleg.gov</t>
        </is>
      </c>
      <c r="D630" s="15" t="inlineStr">
        <is>
          <t>P.L.2010, c.44 (2% levy cap)</t>
        </is>
      </c>
      <c r="E630" s="4" t="n"/>
      <c r="F630" s="4" t="n"/>
      <c r="G630" s="4" t="inlineStr">
        <is>
          <t>https://pub.njleg.gov/bills/2010/PL10/44_.PDF</t>
        </is>
      </c>
    </row>
    <row r="631" ht="30" customHeight="1">
      <c r="A631" s="13" t="inlineStr">
        <is>
          <t>New Jersey</t>
        </is>
      </c>
      <c r="B631" s="4" t="inlineStr">
        <is>
          <t>Other</t>
        </is>
      </c>
      <c r="C631" s="4" t="inlineStr">
        <is>
          <t>pub.njleg.gov</t>
        </is>
      </c>
      <c r="D631" s="15" t="inlineStr">
        <is>
          <t>P.L.2007, c.62 (4% levy cap and homestead rebates)</t>
        </is>
      </c>
      <c r="E631" s="4" t="n"/>
      <c r="F631" s="4" t="n"/>
      <c r="G631" s="4" t="inlineStr">
        <is>
          <t>https://pub.njleg.gov/bills/2006/PL07/62_.PDF</t>
        </is>
      </c>
    </row>
    <row r="632" ht="30" customHeight="1">
      <c r="A632" s="13" t="inlineStr">
        <is>
          <t>New Jersey</t>
        </is>
      </c>
      <c r="B632" s="4" t="inlineStr">
        <is>
          <t>Other</t>
        </is>
      </c>
      <c r="C632" s="4" t="inlineStr">
        <is>
          <t>pub.njleg.gov</t>
        </is>
      </c>
      <c r="D632" s="15" t="inlineStr">
        <is>
          <t>P.L.2011, c.202 (November school elections)</t>
        </is>
      </c>
      <c r="E632" s="4" t="n"/>
      <c r="F632" s="4" t="n"/>
      <c r="G632" s="4" t="inlineStr">
        <is>
          <t>https://pub.njleg.gov/bills/2010/PL11/202_.PDF</t>
        </is>
      </c>
    </row>
    <row r="633" ht="30" customHeight="1">
      <c r="A633" s="13" t="inlineStr">
        <is>
          <t>New Jersey</t>
        </is>
      </c>
      <c r="B633" s="4" t="inlineStr">
        <is>
          <t>Other</t>
        </is>
      </c>
      <c r="C633" s="4" t="inlineStr">
        <is>
          <t>pub.njleg.gov</t>
        </is>
      </c>
      <c r="D633" s="15" t="inlineStr">
        <is>
          <t>P.L.2023, c.289 (April school budget votes)</t>
        </is>
      </c>
      <c r="E633" s="4" t="n"/>
      <c r="F633" s="4" t="n"/>
      <c r="G633" s="4" t="inlineStr">
        <is>
          <t>https://pub.njleg.gov/bills/2022/PL23/289_.PDF</t>
        </is>
      </c>
    </row>
    <row r="634" ht="30" customHeight="1">
      <c r="A634" s="13" t="inlineStr">
        <is>
          <t>New Jersey</t>
        </is>
      </c>
      <c r="B634" s="4" t="inlineStr">
        <is>
          <t>Other</t>
        </is>
      </c>
      <c r="C634" s="4" t="inlineStr">
        <is>
          <t>pub.njleg.gov</t>
        </is>
      </c>
      <c r="D634" s="15" t="inlineStr">
        <is>
          <t>P.L.2023, c.75 (Stay NJ)</t>
        </is>
      </c>
      <c r="E634" s="4" t="n"/>
      <c r="F634" s="4" t="n"/>
      <c r="G634" s="4" t="inlineStr">
        <is>
          <t>https://pub.njleg.gov/bills/2022/PL23/75_.PDF</t>
        </is>
      </c>
    </row>
    <row r="635" ht="30" customHeight="1">
      <c r="A635" s="13" t="inlineStr">
        <is>
          <t>New Jersey</t>
        </is>
      </c>
      <c r="B635" s="4" t="inlineStr">
        <is>
          <t>Other</t>
        </is>
      </c>
      <c r="C635" s="4" t="inlineStr">
        <is>
          <t>pub.njleg.state.nj.us</t>
        </is>
      </c>
      <c r="D635" s="15" t="inlineStr">
        <is>
          <t>OLS fiscal estimate, Stay NJ (A1, 2nd reprint)</t>
        </is>
      </c>
      <c r="E635" s="4" t="n"/>
      <c r="F635" s="4" t="n"/>
      <c r="G635" s="4" t="inlineStr">
        <is>
          <t>https://pub.njleg.state.nj.us/Bills/2022/A0500/1_E2.HTM</t>
        </is>
      </c>
    </row>
    <row r="636" ht="30" customHeight="1">
      <c r="A636" s="13" t="inlineStr">
        <is>
          <t>New Jersey</t>
        </is>
      </c>
      <c r="B636" s="4" t="inlineStr">
        <is>
          <t>Other</t>
        </is>
      </c>
      <c r="C636" s="4" t="inlineStr">
        <is>
          <t>pub.njleg.gov</t>
        </is>
      </c>
      <c r="D636" s="15" t="inlineStr">
        <is>
          <t>P.L.2018, c.55 (PFRS board of trustees)</t>
        </is>
      </c>
      <c r="E636" s="4" t="n"/>
      <c r="F636" s="4" t="n"/>
      <c r="G636" s="4" t="inlineStr">
        <is>
          <t>https://pub.njleg.gov/bills/2018/PL18/55_.HTM</t>
        </is>
      </c>
    </row>
    <row r="637" ht="30" customHeight="1">
      <c r="A637" s="13" t="inlineStr">
        <is>
          <t>New Jersey</t>
        </is>
      </c>
      <c r="B637" s="4" t="inlineStr">
        <is>
          <t>Other</t>
        </is>
      </c>
      <c r="C637" s="4" t="inlineStr">
        <is>
          <t>governors.rutgers.edu</t>
        </is>
      </c>
      <c r="D637" s="15" t="inlineStr">
        <is>
          <t>Gov. Brendan Byrne, 1977 Annual Message</t>
        </is>
      </c>
      <c r="E637" s="4" t="n"/>
      <c r="F637" s="4" t="n"/>
      <c r="G637" s="4" t="inlineStr">
        <is>
          <t>https://governors.rutgers.edu/wp-content/uploads/2020/07/byrne_speech_1977SoS.pdf</t>
        </is>
      </c>
    </row>
    <row r="638" ht="30" customHeight="1">
      <c r="A638" s="13" t="inlineStr">
        <is>
          <t>New Jersey</t>
        </is>
      </c>
      <c r="B638" s="4" t="inlineStr">
        <is>
          <t>Other</t>
        </is>
      </c>
      <c r="C638" s="4" t="inlineStr">
        <is>
          <t>repo.njstatelib.org</t>
        </is>
      </c>
      <c r="D638" s="15" t="inlineStr">
        <is>
          <t>P.L.1976, c.68 legislative history (Local Government Cap Law)</t>
        </is>
      </c>
      <c r="E638" s="4" t="n"/>
      <c r="F638" s="4" t="n"/>
      <c r="G638" s="4" t="inlineStr">
        <is>
          <t>https://repo.njstatelib.org/handle/10929.1/25986</t>
        </is>
      </c>
    </row>
    <row r="639" ht="30" customHeight="1">
      <c r="A639" s="13" t="inlineStr">
        <is>
          <t>New Jersey</t>
        </is>
      </c>
      <c r="B639" s="4" t="inlineStr">
        <is>
          <t>State government</t>
        </is>
      </c>
      <c r="C639" s="4" t="inlineStr">
        <is>
          <t>nj.gov</t>
        </is>
      </c>
      <c r="D639" s="15" t="inlineStr">
        <is>
          <t>FY2009 Budget in Brief</t>
        </is>
      </c>
      <c r="E639" s="4" t="n"/>
      <c r="F639" s="4" t="n"/>
      <c r="G639" s="4" t="inlineStr">
        <is>
          <t>https://www.nj.gov/treasury/omb/publications/09bib/BIB.pdf</t>
        </is>
      </c>
    </row>
    <row r="640" ht="30" customHeight="1">
      <c r="A640" s="13" t="inlineStr">
        <is>
          <t>New Jersey</t>
        </is>
      </c>
      <c r="B640" s="4" t="inlineStr">
        <is>
          <t>State government</t>
        </is>
      </c>
      <c r="C640" s="4" t="inlineStr">
        <is>
          <t>nj.gov</t>
        </is>
      </c>
      <c r="D640" s="15" t="inlineStr">
        <is>
          <t>FY2011 Budget in Brief</t>
        </is>
      </c>
      <c r="E640" s="4" t="n"/>
      <c r="F640" s="4" t="n"/>
      <c r="G640" s="4" t="inlineStr">
        <is>
          <t>https://www.nj.gov/treasury/omb/publications/11bib/BIB.pdf</t>
        </is>
      </c>
    </row>
    <row r="641" ht="30" customHeight="1">
      <c r="A641" s="13" t="inlineStr">
        <is>
          <t>New Jersey</t>
        </is>
      </c>
      <c r="B641" s="4" t="inlineStr">
        <is>
          <t>State government</t>
        </is>
      </c>
      <c r="C641" s="4" t="inlineStr">
        <is>
          <t>nj.gov</t>
        </is>
      </c>
      <c r="D641" s="15" t="inlineStr">
        <is>
          <t>DCA Local Finance Notice 2025-14 (CY2026 caps)</t>
        </is>
      </c>
      <c r="E641" s="4" t="n"/>
      <c r="F641" s="4" t="n"/>
      <c r="G641" s="4" t="inlineStr">
        <is>
          <t>https://nj.gov/dca/dlgs/lfns/2025/2025-14.pdf</t>
        </is>
      </c>
    </row>
    <row r="642" ht="30" customHeight="1">
      <c r="A642" s="13" t="inlineStr">
        <is>
          <t>New Jersey</t>
        </is>
      </c>
      <c r="B642" s="4" t="inlineStr">
        <is>
          <t>State government</t>
        </is>
      </c>
      <c r="C642" s="4" t="inlineStr">
        <is>
          <t>nj.gov</t>
        </is>
      </c>
      <c r="D642" s="15" t="inlineStr">
        <is>
          <t>DCA municipal and county budgets (user-friendly budget data)</t>
        </is>
      </c>
      <c r="E642" s="4" t="n"/>
      <c r="F642" s="4" t="n"/>
      <c r="G642" s="4" t="inlineStr">
        <is>
          <t>https://www.nj.gov/dca/dlgs/programs/mc_budgets.shtml</t>
        </is>
      </c>
    </row>
    <row r="643" ht="30" customHeight="1">
      <c r="A643" s="13" t="inlineStr">
        <is>
          <t>New Jersey</t>
        </is>
      </c>
      <c r="B643" s="4" t="inlineStr">
        <is>
          <t>State government</t>
        </is>
      </c>
      <c r="C643" s="4" t="inlineStr">
        <is>
          <t>nj.gov</t>
        </is>
      </c>
      <c r="D643" s="15" t="inlineStr">
        <is>
          <t>DCA property tax information</t>
        </is>
      </c>
      <c r="E643" s="4" t="n"/>
      <c r="F643" s="4" t="n"/>
      <c r="G643" s="4" t="inlineStr">
        <is>
          <t>https://www.nj.gov/dca/dlgs/resources/Property_Tax_info.shtml</t>
        </is>
      </c>
    </row>
    <row r="644" ht="30" customHeight="1">
      <c r="A644" s="13" t="inlineStr">
        <is>
          <t>New Jersey</t>
        </is>
      </c>
      <c r="B644" s="4" t="inlineStr">
        <is>
          <t>State government</t>
        </is>
      </c>
      <c r="C644" s="4" t="inlineStr">
        <is>
          <t>nj.gov</t>
        </is>
      </c>
      <c r="D644" s="15" t="inlineStr">
        <is>
          <t>PFRS employer contributions by location, FY2027</t>
        </is>
      </c>
      <c r="E644" s="4" t="n"/>
      <c r="F644" s="4" t="n"/>
      <c r="G644" s="4" t="inlineStr">
        <is>
          <t>https://www.nj.gov/treasury/pensions/documents/financial/2027-pfrs-comparison.pdf</t>
        </is>
      </c>
    </row>
    <row r="645" ht="30" customHeight="1">
      <c r="A645" s="13" t="inlineStr">
        <is>
          <t>New Jersey</t>
        </is>
      </c>
      <c r="B645" s="4" t="inlineStr">
        <is>
          <t>State government</t>
        </is>
      </c>
      <c r="C645" s="4" t="inlineStr">
        <is>
          <t>nj.gov</t>
        </is>
      </c>
      <c r="D645" s="15" t="inlineStr">
        <is>
          <t>PERS employer contributions by location, FY2027</t>
        </is>
      </c>
      <c r="E645" s="4" t="n"/>
      <c r="F645" s="4" t="n"/>
      <c r="G645" s="4" t="inlineStr">
        <is>
          <t>https://www.nj.gov/treasury/pensions/documents/financial/2027-pers-comparison.pdf</t>
        </is>
      </c>
    </row>
    <row r="646" ht="30" customHeight="1">
      <c r="A646" s="13" t="inlineStr">
        <is>
          <t>New Jersey</t>
        </is>
      </c>
      <c r="B646" s="4" t="inlineStr">
        <is>
          <t>State government</t>
        </is>
      </c>
      <c r="C646" s="4" t="inlineStr">
        <is>
          <t>nj.gov</t>
        </is>
      </c>
      <c r="D646" s="15" t="inlineStr">
        <is>
          <t>PFRS actuarial valuation, July 1, 2025</t>
        </is>
      </c>
      <c r="E646" s="4" t="n"/>
      <c r="F646" s="4" t="n"/>
      <c r="G646" s="4" t="inlineStr">
        <is>
          <t>https://www.nj.gov/pfrs/documents/pdf/financial/2025-PFRSNJ-Valuation.pdf</t>
        </is>
      </c>
    </row>
    <row r="647" ht="30" customHeight="1">
      <c r="A647" s="13" t="inlineStr">
        <is>
          <t>New Jersey</t>
        </is>
      </c>
      <c r="B647" s="4" t="inlineStr">
        <is>
          <t>State government</t>
        </is>
      </c>
      <c r="C647" s="4" t="inlineStr">
        <is>
          <t>nj.gov</t>
        </is>
      </c>
      <c r="D647" s="15" t="inlineStr">
        <is>
          <t>SHBP local rate-setting analysis, plan year 2026</t>
        </is>
      </c>
      <c r="E647" s="4" t="n"/>
      <c r="F647" s="4" t="n"/>
      <c r="G647" s="4" t="inlineStr">
        <is>
          <t>https://www.nj.gov/treasury/pensions/documents/hb/rate-renewal/py2026-rate-setting-analysis-local.pdf</t>
        </is>
      </c>
    </row>
    <row r="648" ht="30" customHeight="1">
      <c r="A648" s="13" t="inlineStr">
        <is>
          <t>New Jersey</t>
        </is>
      </c>
      <c r="B648" s="4" t="inlineStr">
        <is>
          <t>State government</t>
        </is>
      </c>
      <c r="C648" s="4" t="inlineStr">
        <is>
          <t>nj.gov</t>
        </is>
      </c>
      <c r="D648" s="15" t="inlineStr">
        <is>
          <t>Treasury: FY2027 budget signed (July 1, 2026)</t>
        </is>
      </c>
      <c r="E648" s="4" t="n"/>
      <c r="F648" s="4" t="n"/>
      <c r="G648" s="4" t="inlineStr">
        <is>
          <t>https://nj.gov/treasury/news/2026/07012026.shtml</t>
        </is>
      </c>
    </row>
    <row r="649" ht="30" customHeight="1">
      <c r="A649" s="13" t="inlineStr">
        <is>
          <t>New Jersey</t>
        </is>
      </c>
      <c r="B649" s="4" t="inlineStr">
        <is>
          <t>State government</t>
        </is>
      </c>
      <c r="C649" s="4" t="inlineStr">
        <is>
          <t>nj.gov</t>
        </is>
      </c>
      <c r="D649" s="15" t="inlineStr">
        <is>
          <t>Treasury: first Stay NJ payments (Feb. 9, 2026)</t>
        </is>
      </c>
      <c r="E649" s="4" t="n"/>
      <c r="F649" s="4" t="n"/>
      <c r="G649" s="4" t="inlineStr">
        <is>
          <t>https://www.nj.gov/treasury/news/2026/02092026.shtml</t>
        </is>
      </c>
    </row>
    <row r="650" ht="30" customHeight="1">
      <c r="A650" s="13" t="inlineStr">
        <is>
          <t>New Jersey</t>
        </is>
      </c>
      <c r="B650" s="4" t="inlineStr">
        <is>
          <t>News</t>
        </is>
      </c>
      <c r="C650" s="4" t="inlineStr">
        <is>
          <t>news.bloombergtax.com</t>
        </is>
      </c>
      <c r="D650" s="15" t="inlineStr">
        <is>
          <t>Bloomberg Tax: New Jersey property tax tweak is positive step</t>
        </is>
      </c>
      <c r="E650" s="4" t="n"/>
      <c r="F650" s="4" t="n"/>
      <c r="G650" s="4" t="inlineStr">
        <is>
          <t>https://news.bloombergtax.com/daily-tax-report/week-in-insights-new-jersey-property-tax-tweak-is-positive-step</t>
        </is>
      </c>
    </row>
    <row r="651" ht="30" customHeight="1">
      <c r="A651" s="13" t="inlineStr">
        <is>
          <t>New Mexico</t>
        </is>
      </c>
      <c r="B651" s="4" t="inlineStr">
        <is>
          <t>Bills &amp; legislative documents</t>
        </is>
      </c>
      <c r="C651" s="4" t="inlineStr">
        <is>
          <t>nmlegis.gov</t>
        </is>
      </c>
      <c r="D651" s="15" t="inlineStr">
        <is>
          <t>HB0047.pdf</t>
        </is>
      </c>
      <c r="E651" s="4" t="inlineStr">
        <is>
          <t>2025</t>
        </is>
      </c>
      <c r="F651" s="4" t="n"/>
      <c r="G651" s="4" t="inlineStr">
        <is>
          <t>https://nmlegis.gov/Sessions/25%20Regular/final/HB0047.pdf</t>
        </is>
      </c>
    </row>
    <row r="652" ht="30" customHeight="1">
      <c r="A652" s="13" t="inlineStr">
        <is>
          <t>New Mexico</t>
        </is>
      </c>
      <c r="B652" s="4" t="inlineStr">
        <is>
          <t>Research &amp; associations</t>
        </is>
      </c>
      <c r="C652" s="4" t="inlineStr">
        <is>
          <t>nmsba.org</t>
        </is>
      </c>
      <c r="D652" s="15" t="inlineStr">
        <is>
          <t>NEW MEXICO SCHOOL BOARDS ASSOCIATION HOUSE BILL 98- LOCAL ELECTION ACT</t>
        </is>
      </c>
      <c r="E652" s="4" t="inlineStr">
        <is>
          <t>2018</t>
        </is>
      </c>
      <c r="F652" s="4" t="n"/>
      <c r="G652" s="4" t="inlineStr">
        <is>
          <t>https://www.nmsba.org/wp-content/uploads/2015/09/HB-98-Local-Election-Act-Briefing-Sheet.pdf</t>
        </is>
      </c>
    </row>
    <row r="653" ht="30" customHeight="1">
      <c r="A653" s="13" t="inlineStr">
        <is>
          <t>New Mexico</t>
        </is>
      </c>
      <c r="B653" s="4" t="inlineStr">
        <is>
          <t>Local government</t>
        </is>
      </c>
      <c r="C653" s="4" t="inlineStr">
        <is>
          <t>rooseveltcounty.com</t>
        </is>
      </c>
      <c r="D653" s="15" t="inlineStr">
        <is>
          <t>2026-CA-and-GOB-Questions.pdf</t>
        </is>
      </c>
      <c r="E653" s="4" t="inlineStr">
        <is>
          <t>2026</t>
        </is>
      </c>
      <c r="F653" s="4" t="n"/>
      <c r="G653" s="4" t="inlineStr">
        <is>
          <t>https://www.rooseveltcounty.com/wp-content/uploads/2026/08/2026-CA-and-GOB-Questions.pdf</t>
        </is>
      </c>
    </row>
    <row r="654" ht="30" customHeight="1">
      <c r="A654" s="13" t="inlineStr">
        <is>
          <t>New Mexico</t>
        </is>
      </c>
      <c r="B654" s="4" t="inlineStr">
        <is>
          <t>News</t>
        </is>
      </c>
      <c r="C654" s="4" t="inlineStr">
        <is>
          <t>sourcenm.com</t>
        </is>
      </c>
      <c r="D654" s="15" t="inlineStr">
        <is>
          <t>new-mexico-election-2026-constitutional-amendments-1-3</t>
        </is>
      </c>
      <c r="E654" s="4" t="n"/>
      <c r="F654" s="4" t="n"/>
      <c r="G654" s="4" t="inlineStr">
        <is>
          <t>https://sourcenm.com/2026/09/17/new-mexico-election-2026-constitutional-amendments-1-3/</t>
        </is>
      </c>
    </row>
    <row r="655" ht="30" customHeight="1">
      <c r="A655" s="13" t="inlineStr">
        <is>
          <t>New Mexico</t>
        </is>
      </c>
      <c r="B655" s="4" t="inlineStr">
        <is>
          <t>Research &amp; associations</t>
        </is>
      </c>
      <c r="C655" s="4" t="inlineStr">
        <is>
          <t>lincolninst.edu</t>
        </is>
      </c>
      <c r="D655" s="15" t="inlineStr">
        <is>
          <t>levy limits 2022.xlsx</t>
        </is>
      </c>
      <c r="E655" s="4" t="n"/>
      <c r="F655" s="4" t="inlineStr">
        <is>
          <t>MA, ME, MI, MN, MO, MS, MT, NV, NY, RI, SD, WA, WI, WV</t>
        </is>
      </c>
      <c r="G655" s="4" t="inlineStr">
        <is>
          <t>https://www.lincolninst.edu/app/uploads/2024/12/levy_limits_2022.xlsx</t>
        </is>
      </c>
    </row>
    <row r="656" ht="30" customHeight="1">
      <c r="A656" s="13" t="inlineStr">
        <is>
          <t>New Mexico</t>
        </is>
      </c>
      <c r="B656" s="4" t="inlineStr">
        <is>
          <t>Research &amp; associations</t>
        </is>
      </c>
      <c r="C656" s="4" t="inlineStr">
        <is>
          <t>apps.lincolninst.edu</t>
        </is>
      </c>
      <c r="D656" s="15" t="inlineStr">
        <is>
          <t>rate-limits-2022-4.xlsx</t>
        </is>
      </c>
      <c r="E656" s="4" t="n"/>
      <c r="F656" s="4" t="inlineStr">
        <is>
          <t>AL, FL, IA, ID, KS, KY, LA, MA, MI, MO, NV, SC, SD, UT, WA, WV, WY</t>
        </is>
      </c>
      <c r="G656" s="4" t="inlineStr">
        <is>
          <t>https://apps.lincolninst.edu/uploads/summary-tables/rate-limits-summary-tables/rate-limits-2022-4.xlsx</t>
        </is>
      </c>
    </row>
    <row r="657" ht="30" customHeight="1">
      <c r="A657" s="13" t="inlineStr">
        <is>
          <t>New Mexico</t>
        </is>
      </c>
      <c r="B657" s="4" t="inlineStr">
        <is>
          <t>Research &amp; associations</t>
        </is>
      </c>
      <c r="C657" s="4" t="inlineStr">
        <is>
          <t>lincolninst.edu</t>
        </is>
      </c>
      <c r="D657" s="15" t="inlineStr">
        <is>
          <t>truth in taxation 2024.xlsx</t>
        </is>
      </c>
      <c r="E657" s="4" t="n"/>
      <c r="F657" s="4" t="inlineStr">
        <is>
          <t>DE, GA, IA, IL, KY, MD, MI, MN, MO, NC, ND, NE, NV, NY, OH, OK, OR, PA, RI, TN, TX, UT, VA, VT, WV, WY</t>
        </is>
      </c>
      <c r="G657" s="4" t="inlineStr">
        <is>
          <t>https://www.lincolninst.edu/app/uploads/2024/10/truth_in_taxation_2024.xlsx</t>
        </is>
      </c>
    </row>
    <row r="658" ht="30" customHeight="1">
      <c r="A658" s="13" t="inlineStr">
        <is>
          <t>New Mexico</t>
        </is>
      </c>
      <c r="B658" s="4" t="inlineStr">
        <is>
          <t>Federal government &amp; data</t>
        </is>
      </c>
      <c r="C658" s="4" t="inlineStr">
        <is>
          <t>www2.census.gov</t>
        </is>
      </c>
      <c r="D658" s="15" t="inlineStr">
        <is>
          <t>22slsstab1.xlsx</t>
        </is>
      </c>
      <c r="E658" s="4" t="n"/>
      <c r="F658" s="4" t="inlineStr">
        <is>
          <t>AL, AR, IA, KS, KY, LA, MA, MD, ME, MI, MN, MO, MS, MT, NC, ND, NE, NH, NJ, NV, NY, OH, OK, OR, PA, RI, SC, SD, TN, TX, UT, VA, VT, WA, WI, WV, WY</t>
        </is>
      </c>
      <c r="G658" s="4" t="inlineStr">
        <is>
          <t>https://www2.census.gov/programs-surveys/gov-finances/tables/2022/22slsstab1.xlsx</t>
        </is>
      </c>
    </row>
    <row r="659" ht="30" customHeight="1">
      <c r="A659" s="13" t="inlineStr">
        <is>
          <t>New Mexico</t>
        </is>
      </c>
      <c r="B659" s="4" t="inlineStr">
        <is>
          <t>Bills &amp; legislative documents</t>
        </is>
      </c>
      <c r="C659" s="4" t="inlineStr">
        <is>
          <t>nmlegis.gov</t>
        </is>
      </c>
      <c r="D659" s="15" t="inlineStr">
        <is>
          <t>Legislation - New Mexico Legislature (Legislation)</t>
        </is>
      </c>
      <c r="E659" s="4" t="n"/>
      <c r="F659" s="4" t="n"/>
      <c r="G659" s="4" t="inlineStr">
        <is>
          <t>https://www.nmlegis.gov/Legislation/Legislation?chamber=H&amp;legType=B&amp;legNo=103&amp;year=26</t>
        </is>
      </c>
    </row>
    <row r="660" ht="30" customHeight="1">
      <c r="A660" s="13" t="inlineStr">
        <is>
          <t>New Mexico</t>
        </is>
      </c>
      <c r="B660" s="4" t="inlineStr">
        <is>
          <t>Bills &amp; legislative documents</t>
        </is>
      </c>
      <c r="C660" s="4" t="inlineStr">
        <is>
          <t>nmlegis.gov</t>
        </is>
      </c>
      <c r="D660" s="15" t="inlineStr">
        <is>
          <t>bills house HB0103</t>
        </is>
      </c>
      <c r="E660" s="4" t="n"/>
      <c r="F660" s="4" t="n"/>
      <c r="G660" s="4" t="inlineStr">
        <is>
          <t>https://www.nmlegis.gov/Sessions/26%20Regular/bills/house/HB0103.HTML</t>
        </is>
      </c>
    </row>
    <row r="661" ht="30" customHeight="1">
      <c r="A661" s="13" t="inlineStr">
        <is>
          <t>New Mexico</t>
        </is>
      </c>
      <c r="B661" s="4" t="inlineStr">
        <is>
          <t>Bills &amp; legislative documents</t>
        </is>
      </c>
      <c r="C661" s="4" t="inlineStr">
        <is>
          <t>nmlegis.gov</t>
        </is>
      </c>
      <c r="D661" s="15" t="inlineStr">
        <is>
          <t>Legislation - New Mexico Legislature (Legislation)</t>
        </is>
      </c>
      <c r="E661" s="4" t="n"/>
      <c r="F661" s="4" t="n"/>
      <c r="G661" s="4" t="inlineStr">
        <is>
          <t>https://www.nmlegis.gov/Legislation/Legislation?chamber=S&amp;legType=JR&amp;legNo=5&amp;year=26</t>
        </is>
      </c>
    </row>
    <row r="662" ht="30" customHeight="1">
      <c r="A662" s="13" t="inlineStr">
        <is>
          <t>New Mexico</t>
        </is>
      </c>
      <c r="B662" s="4" t="inlineStr">
        <is>
          <t>Bills &amp; legislative documents</t>
        </is>
      </c>
      <c r="C662" s="4" t="inlineStr">
        <is>
          <t>nmlegis.gov</t>
        </is>
      </c>
      <c r="D662" s="15" t="inlineStr">
        <is>
          <t>bills house HB0377</t>
        </is>
      </c>
      <c r="E662" s="4" t="n"/>
      <c r="F662" s="4" t="n"/>
      <c r="G662" s="4" t="inlineStr">
        <is>
          <t>https://www.nmlegis.gov/Sessions/13%20Regular/bills/house/HB0377.HTML</t>
        </is>
      </c>
    </row>
    <row r="663" ht="30" customHeight="1">
      <c r="A663" s="13" t="inlineStr">
        <is>
          <t>New Mexico</t>
        </is>
      </c>
      <c r="B663" s="4" t="inlineStr">
        <is>
          <t>News</t>
        </is>
      </c>
      <c r="C663" s="4" t="inlineStr">
        <is>
          <t>kanw.org</t>
        </is>
      </c>
      <c r="D663" s="15" t="inlineStr">
        <is>
          <t>APS Voters Approve $350M Bond, Elect Four to Board of Education</t>
        </is>
      </c>
      <c r="E663" s="4" t="inlineStr">
        <is>
          <t>2025-11-05</t>
        </is>
      </c>
      <c r="F663" s="4" t="n"/>
      <c r="G663" s="4" t="inlineStr">
        <is>
          <t>https://www.kanw.org/new-mexico-news/2025-11-05/aps-voters-approve-350m-bond-elect-four-to-board-of-education</t>
        </is>
      </c>
    </row>
    <row r="664" ht="30" customHeight="1">
      <c r="A664" s="13" t="inlineStr">
        <is>
          <t>New Mexico</t>
        </is>
      </c>
      <c r="B664" s="4" t="inlineStr">
        <is>
          <t>Research &amp; associations</t>
        </is>
      </c>
      <c r="C664" s="4" t="inlineStr">
        <is>
          <t>gaar.com</t>
        </is>
      </c>
      <c r="D664" s="15" t="inlineStr">
        <is>
          <t>Election Update: 2025 ABQ Regular Local Election</t>
        </is>
      </c>
      <c r="E664" s="4" t="n"/>
      <c r="F664" s="4" t="n"/>
      <c r="G664" s="4" t="inlineStr">
        <is>
          <t>https://www.gaar.com/blog/article/election-update-2025-abq-regular-local-election</t>
        </is>
      </c>
    </row>
    <row r="665" ht="34" customHeight="1">
      <c r="A665" s="13" t="inlineStr">
        <is>
          <t>New Mexico</t>
        </is>
      </c>
      <c r="B665" s="4" t="inlineStr">
        <is>
          <t>Research &amp; associations</t>
        </is>
      </c>
      <c r="C665" s="4" t="inlineStr">
        <is>
          <t>hsc.unm.edu</t>
        </is>
      </c>
      <c r="D665" s="15" t="inlineStr">
        <is>
          <t>New Mexico voters approve general obligation bonds, mill levy and constitutional amendment</t>
        </is>
      </c>
      <c r="E665" s="4" t="n"/>
      <c r="F665" s="4" t="n"/>
      <c r="G665" s="4" t="inlineStr">
        <is>
          <t>https://hsc.unm.edu/news/2024/11/hsc-newsroom-post-nm-voters-approve-bonds-mill-levy.html</t>
        </is>
      </c>
    </row>
    <row r="666" ht="30" customHeight="1">
      <c r="A666" s="13" t="inlineStr">
        <is>
          <t>New Mexico</t>
        </is>
      </c>
      <c r="B666" s="4" t="inlineStr">
        <is>
          <t>Free-market groups &amp; GOP caucuses</t>
        </is>
      </c>
      <c r="C666" s="4" t="inlineStr">
        <is>
          <t>taxfoundation.org</t>
        </is>
      </c>
      <c r="D666" s="15" t="inlineStr">
        <is>
          <t>Taxes in New Mexico</t>
        </is>
      </c>
      <c r="E666" s="4" t="n"/>
      <c r="F666" s="4" t="n"/>
      <c r="G666" s="4" t="inlineStr">
        <is>
          <t>https://taxfoundation.org/location/new-mexico/</t>
        </is>
      </c>
    </row>
    <row r="667" ht="30" customHeight="1">
      <c r="A667" s="13" t="inlineStr">
        <is>
          <t>New Mexico</t>
        </is>
      </c>
      <c r="B667" s="4" t="inlineStr">
        <is>
          <t>Free-market groups &amp; GOP caucuses</t>
        </is>
      </c>
      <c r="C667" s="4" t="inlineStr">
        <is>
          <t>riograndefoundation.org</t>
        </is>
      </c>
      <c r="D667" s="15" t="inlineStr">
        <is>
          <t>RGF opinion piece: Data centers are coming: How to handle them</t>
        </is>
      </c>
      <c r="E667" s="4" t="inlineStr">
        <is>
          <t>2026-01-15</t>
        </is>
      </c>
      <c r="F667" s="4" t="n"/>
      <c r="G667" s="4" t="inlineStr">
        <is>
          <t>https://riograndefoundation.org/rgf-opinion-piece-data-centers-are-coming-how-to-handle-them/</t>
        </is>
      </c>
    </row>
    <row r="668" ht="30" customHeight="1">
      <c r="A668" s="13" t="inlineStr">
        <is>
          <t>New Mexico</t>
        </is>
      </c>
      <c r="B668" s="4" t="inlineStr">
        <is>
          <t>Free-market groups &amp; GOP caucuses</t>
        </is>
      </c>
      <c r="C668" s="4" t="inlineStr">
        <is>
          <t>riograndefoundation.org</t>
        </is>
      </c>
      <c r="D668" s="15" t="inlineStr">
        <is>
          <t>RGF opinion piece: Voters should be skeptical of $350 million bond for APS</t>
        </is>
      </c>
      <c r="E668" s="4" t="inlineStr">
        <is>
          <t>2025-10-14</t>
        </is>
      </c>
      <c r="F668" s="4" t="n"/>
      <c r="G668" s="4" t="inlineStr">
        <is>
          <t>https://riograndefoundation.org/rgf-opinion-piece-voters-should-be-skeptical-of-350-million-bond-for-aps/</t>
        </is>
      </c>
    </row>
    <row r="669" ht="34" customHeight="1">
      <c r="A669" s="13" t="inlineStr">
        <is>
          <t>New York</t>
        </is>
      </c>
      <c r="B669" s="4" t="inlineStr">
        <is>
          <t>State government</t>
        </is>
      </c>
      <c r="C669" s="4" t="inlineStr">
        <is>
          <t>osc.ny.gov</t>
        </is>
      </c>
      <c r="D669" s="15" t="inlineStr">
        <is>
          <t>DiNapoli: Growing Number of Local Governments Reporting Plans to Override Property Tax Cap</t>
        </is>
      </c>
      <c r="E669" s="4" t="n"/>
      <c r="F669" s="4" t="n"/>
      <c r="G669" s="4" t="inlineStr">
        <is>
          <t>https://www.osc.ny.gov/press/releases/2026/08/dinapoli-growing-number-local-governments-reporting-plans-override-property-tax-cap</t>
        </is>
      </c>
    </row>
    <row r="670" ht="30" customHeight="1">
      <c r="A670" s="13" t="inlineStr">
        <is>
          <t>New York</t>
        </is>
      </c>
      <c r="B670" s="4" t="inlineStr">
        <is>
          <t>State government</t>
        </is>
      </c>
      <c r="C670" s="4" t="inlineStr">
        <is>
          <t>osc.ny.gov</t>
        </is>
      </c>
      <c r="D670" s="15" t="inlineStr">
        <is>
          <t>Increase in Planned Tax Cap Overrides Suggests Growing Fiscal Pressure</t>
        </is>
      </c>
      <c r="E670" s="4" t="inlineStr">
        <is>
          <t>2026</t>
        </is>
      </c>
      <c r="F670" s="4" t="n"/>
      <c r="G670" s="4" t="inlineStr">
        <is>
          <t>https://www.osc.ny.gov/files/local-government/publications/pdf/planned-tax-cap-overrides.pdf</t>
        </is>
      </c>
    </row>
    <row r="671" ht="30" customHeight="1">
      <c r="A671" s="13" t="inlineStr">
        <is>
          <t>New York</t>
        </is>
      </c>
      <c r="B671" s="4" t="inlineStr">
        <is>
          <t>Research &amp; associations</t>
        </is>
      </c>
      <c r="C671" s="4" t="inlineStr">
        <is>
          <t>nyssba.org</t>
        </is>
      </c>
      <c r="D671" s="15" t="inlineStr">
        <is>
          <t>Voters approve 96% of school district budgets</t>
        </is>
      </c>
      <c r="E671" s="4" t="n"/>
      <c r="F671" s="4" t="n"/>
      <c r="G671" s="4" t="inlineStr">
        <is>
          <t>https://www.nyssba.org/news/2026/05/20/press-releases/voters-approve-96-of-school-district-budgets/</t>
        </is>
      </c>
    </row>
    <row r="672" ht="30" customHeight="1">
      <c r="A672" s="13" t="inlineStr">
        <is>
          <t>New York</t>
        </is>
      </c>
      <c r="B672" s="4" t="inlineStr">
        <is>
          <t>Research &amp; associations</t>
        </is>
      </c>
      <c r="C672" s="4" t="inlineStr">
        <is>
          <t>lincolninst.edu</t>
        </is>
      </c>
      <c r="D672" s="15" t="inlineStr">
        <is>
          <t>levy limits 2022.xlsx</t>
        </is>
      </c>
      <c r="E672" s="4" t="n"/>
      <c r="F672" s="4" t="inlineStr">
        <is>
          <t>MA, ME, MI, MN, MO, MS, MT, NM, NV, RI, SD, WA, WI, WV</t>
        </is>
      </c>
      <c r="G672" s="4" t="inlineStr">
        <is>
          <t>https://www.lincolninst.edu/app/uploads/2024/12/levy_limits_2022.xlsx</t>
        </is>
      </c>
    </row>
    <row r="673" ht="30" customHeight="1">
      <c r="A673" s="13" t="inlineStr">
        <is>
          <t>New York</t>
        </is>
      </c>
      <c r="B673" s="4" t="inlineStr">
        <is>
          <t>Research &amp; associations</t>
        </is>
      </c>
      <c r="C673" s="4" t="inlineStr">
        <is>
          <t>lincolninst.edu</t>
        </is>
      </c>
      <c r="D673" s="15" t="inlineStr">
        <is>
          <t>assessment limits 2022-3.xlsx</t>
        </is>
      </c>
      <c r="E673" s="4" t="n"/>
      <c r="F673" s="4" t="inlineStr">
        <is>
          <t>CA, CT, FL, LA, MD, MI, SC</t>
        </is>
      </c>
      <c r="G673" s="4" t="inlineStr">
        <is>
          <t>https://www.lincolninst.edu/app/uploads/2024/12/assessment_limits_2022-3.xlsx</t>
        </is>
      </c>
    </row>
    <row r="674" ht="30" customHeight="1">
      <c r="A674" s="13" t="inlineStr">
        <is>
          <t>New York</t>
        </is>
      </c>
      <c r="B674" s="4" t="inlineStr">
        <is>
          <t>Research &amp; associations</t>
        </is>
      </c>
      <c r="C674" s="4" t="inlineStr">
        <is>
          <t>lincolninst.edu</t>
        </is>
      </c>
      <c r="D674" s="15" t="inlineStr">
        <is>
          <t>truth in taxation 2024.xlsx</t>
        </is>
      </c>
      <c r="E674" s="4" t="n"/>
      <c r="F674" s="4" t="inlineStr">
        <is>
          <t>DE, GA, IA, IL, KY, MD, MI, MN, MO, NC, ND, NE, NM, NV, OH, OK, OR, PA, RI, TN, TX, UT, VA, VT, WV, WY</t>
        </is>
      </c>
      <c r="G674" s="4" t="inlineStr">
        <is>
          <t>https://www.lincolninst.edu/app/uploads/2024/10/truth_in_taxation_2024.xlsx</t>
        </is>
      </c>
    </row>
    <row r="675" ht="30" customHeight="1">
      <c r="A675" s="13" t="inlineStr">
        <is>
          <t>New York</t>
        </is>
      </c>
      <c r="B675" s="4" t="inlineStr">
        <is>
          <t>Federal government &amp; data</t>
        </is>
      </c>
      <c r="C675" s="4" t="inlineStr">
        <is>
          <t>www2.census.gov</t>
        </is>
      </c>
      <c r="D675" s="15" t="inlineStr">
        <is>
          <t>22slsstab1.xlsx</t>
        </is>
      </c>
      <c r="E675" s="4" t="n"/>
      <c r="F675" s="4" t="inlineStr">
        <is>
          <t>AL, AR, IA, KS, KY, LA, MA, MD, ME, MI, MN, MO, MS, MT, NC, ND, NE, NH, NJ, NM, NV, OH, OK, OR, PA, RI, SC, SD, TN, TX, UT, VA, VT, WA, WI, WV, WY</t>
        </is>
      </c>
      <c r="G675" s="4" t="inlineStr">
        <is>
          <t>https://www2.census.gov/programs-surveys/gov-finances/tables/2022/22slsstab1.xlsx</t>
        </is>
      </c>
    </row>
    <row r="676" ht="30" customHeight="1">
      <c r="A676" s="13" t="inlineStr">
        <is>
          <t>New York</t>
        </is>
      </c>
      <c r="B676" s="4" t="inlineStr">
        <is>
          <t>Free-market groups &amp; GOP caucuses</t>
        </is>
      </c>
      <c r="C676" s="4" t="inlineStr">
        <is>
          <t>empirecenter.org</t>
        </is>
      </c>
      <c r="D676" s="15" t="inlineStr">
        <is>
          <t>New York’s School Districts Plan To Spend Over $37K Per Student</t>
        </is>
      </c>
      <c r="E676" s="4" t="inlineStr">
        <is>
          <t>2026-05-18</t>
        </is>
      </c>
      <c r="F676" s="4" t="n"/>
      <c r="G676" s="4" t="inlineStr">
        <is>
          <t>https://www.empirecenter.org/publications/new-yorks-school-districts-plan-to-spend-over-37k-per-student/</t>
        </is>
      </c>
    </row>
    <row r="677" ht="30" customHeight="1">
      <c r="A677" s="13" t="inlineStr">
        <is>
          <t>New York</t>
        </is>
      </c>
      <c r="B677" s="4" t="inlineStr">
        <is>
          <t>Free-market groups &amp; GOP caucuses</t>
        </is>
      </c>
      <c r="C677" s="4" t="inlineStr">
        <is>
          <t>city-journal.org</t>
        </is>
      </c>
      <c r="D677" s="15" t="inlineStr">
        <is>
          <t>Mamdani Closes New York City’s $12 Billion Budget Gap—For Now</t>
        </is>
      </c>
      <c r="E677" s="4" t="inlineStr">
        <is>
          <t>2026-05-14</t>
        </is>
      </c>
      <c r="F677" s="4" t="n"/>
      <c r="G677" s="4" t="inlineStr">
        <is>
          <t>https://www.city-journal.org/article/mamdani-closes-12-billion-new-york-city-budget-gap</t>
        </is>
      </c>
    </row>
    <row r="678" ht="30" customHeight="1">
      <c r="A678" s="13" t="inlineStr">
        <is>
          <t>New York</t>
        </is>
      </c>
      <c r="B678" s="4" t="inlineStr">
        <is>
          <t>News</t>
        </is>
      </c>
      <c r="C678" s="4" t="inlineStr">
        <is>
          <t>nysfocus.com</t>
        </is>
      </c>
      <c r="D678" s="15" t="inlineStr">
        <is>
          <t>Can Mamdani Fix Property Taxes After Adams Failed?</t>
        </is>
      </c>
      <c r="E678" s="4" t="inlineStr">
        <is>
          <t>2026-03-02</t>
        </is>
      </c>
      <c r="F678" s="4" t="n"/>
      <c r="G678" s="4" t="inlineStr">
        <is>
          <t>https://nysfocus.com/2026/03/02/mamdani-eric-adams-property-tax-plan</t>
        </is>
      </c>
    </row>
    <row r="679" ht="30" customHeight="1">
      <c r="A679" s="13" t="inlineStr">
        <is>
          <t>New York</t>
        </is>
      </c>
      <c r="B679" s="4" t="inlineStr">
        <is>
          <t>Courts &amp; legal codes</t>
        </is>
      </c>
      <c r="C679" s="4" t="inlineStr">
        <is>
          <t>smithmoses.com</t>
        </is>
      </c>
      <c r="D679" s="15" t="inlineStr">
        <is>
          <t>STAR Property Tax Relief · FY2027 Budget</t>
        </is>
      </c>
      <c r="E679" s="4" t="n"/>
      <c r="F679" s="4" t="n"/>
      <c r="G679" s="4" t="inlineStr">
        <is>
          <t>https://www.smithmoses.com/2026/budget/agency/star</t>
        </is>
      </c>
    </row>
    <row r="680" ht="30" customHeight="1">
      <c r="A680" s="13" t="inlineStr">
        <is>
          <t>New York</t>
        </is>
      </c>
      <c r="B680" s="4" t="inlineStr">
        <is>
          <t>News</t>
        </is>
      </c>
      <c r="C680" s="4" t="inlineStr">
        <is>
          <t>evesun.com</t>
        </is>
      </c>
      <c r="D680" s="15" t="inlineStr">
        <is>
          <t>Before You Change the Constitution, Think Twice</t>
        </is>
      </c>
      <c r="E680" s="4" t="inlineStr">
        <is>
          <t>2026-08-31</t>
        </is>
      </c>
      <c r="F680" s="4" t="n"/>
      <c r="G680" s="4" t="inlineStr">
        <is>
          <t>https://www.evesun.com/news/stories/2026-08-31/45426/author-story/</t>
        </is>
      </c>
    </row>
    <row r="681" ht="30" customHeight="1">
      <c r="A681" s="13" t="inlineStr">
        <is>
          <t>North Carolina</t>
        </is>
      </c>
      <c r="B681" s="4" t="inlineStr">
        <is>
          <t>Constitution &amp; statutes</t>
        </is>
      </c>
      <c r="C681" s="4" t="inlineStr">
        <is>
          <t>ncleg.gov</t>
        </is>
      </c>
      <c r="D681" s="15" t="inlineStr">
        <is>
          <t>G.S. 153A-149</t>
        </is>
      </c>
      <c r="E681" s="4" t="n"/>
      <c r="F681" s="4" t="n"/>
      <c r="G681" s="4" t="inlineStr">
        <is>
          <t>https://www.ncleg.gov/EnactedLegislation/Statutes/HTML/BySection/Chapter_153A/GS_153A-149.html</t>
        </is>
      </c>
    </row>
    <row r="682" ht="30" customHeight="1">
      <c r="A682" s="13" t="inlineStr">
        <is>
          <t>North Carolina</t>
        </is>
      </c>
      <c r="B682" s="4" t="inlineStr">
        <is>
          <t>Constitution &amp; statutes</t>
        </is>
      </c>
      <c r="C682" s="4" t="inlineStr">
        <is>
          <t>ncleg.gov</t>
        </is>
      </c>
      <c r="D682" s="15" t="inlineStr">
        <is>
          <t>G.S. 160A-209</t>
        </is>
      </c>
      <c r="E682" s="4" t="n"/>
      <c r="F682" s="4" t="n"/>
      <c r="G682" s="4" t="inlineStr">
        <is>
          <t>https://www.ncleg.gov/EnactedLegislation/Statutes/HTML/BySection/Chapter_160A/GS_160A-209.html</t>
        </is>
      </c>
    </row>
    <row r="683" ht="30" customHeight="1">
      <c r="A683" s="13" t="inlineStr">
        <is>
          <t>North Carolina</t>
        </is>
      </c>
      <c r="B683" s="4" t="inlineStr">
        <is>
          <t>Constitution &amp; statutes</t>
        </is>
      </c>
      <c r="C683" s="4" t="inlineStr">
        <is>
          <t>ncleg.gov</t>
        </is>
      </c>
      <c r="D683" s="15" t="inlineStr">
        <is>
          <t>G.S. 153A-301</t>
        </is>
      </c>
      <c r="E683" s="4" t="n"/>
      <c r="F683" s="4" t="n"/>
      <c r="G683" s="4" t="inlineStr">
        <is>
          <t>https://www.ncleg.gov/EnactedLegislation/Statutes/HTML/BySection/Chapter_153A/GS_153A-301.html</t>
        </is>
      </c>
    </row>
    <row r="684" ht="30" customHeight="1">
      <c r="A684" s="13" t="inlineStr">
        <is>
          <t>North Carolina</t>
        </is>
      </c>
      <c r="B684" s="4" t="inlineStr">
        <is>
          <t>Constitution &amp; statutes</t>
        </is>
      </c>
      <c r="C684" s="4" t="inlineStr">
        <is>
          <t>ncleg.gov</t>
        </is>
      </c>
      <c r="D684" s="15" t="inlineStr">
        <is>
          <t>G.S. 153A-307</t>
        </is>
      </c>
      <c r="E684" s="4" t="n"/>
      <c r="F684" s="4" t="n"/>
      <c r="G684" s="4" t="inlineStr">
        <is>
          <t>https://www.ncleg.gov/EnactedLegislation/Statutes/HTML/BySection/Chapter_153A/GS_153A-307.html</t>
        </is>
      </c>
    </row>
    <row r="685" ht="30" customHeight="1">
      <c r="A685" s="13" t="inlineStr">
        <is>
          <t>North Carolina</t>
        </is>
      </c>
      <c r="B685" s="4" t="inlineStr">
        <is>
          <t>Constitution &amp; statutes</t>
        </is>
      </c>
      <c r="C685" s="4" t="inlineStr">
        <is>
          <t>ncleg.gov</t>
        </is>
      </c>
      <c r="D685" s="15" t="inlineStr">
        <is>
          <t>G.S. 160A-542</t>
        </is>
      </c>
      <c r="E685" s="4" t="n"/>
      <c r="F685" s="4" t="n"/>
      <c r="G685" s="4" t="inlineStr">
        <is>
          <t>https://www.ncleg.gov/EnactedLegislation/Statutes/HTML/BySection/Chapter_160A/GS_160A-542.html</t>
        </is>
      </c>
    </row>
    <row r="686" ht="30" customHeight="1">
      <c r="A686" s="13" t="inlineStr">
        <is>
          <t>North Carolina</t>
        </is>
      </c>
      <c r="B686" s="4" t="inlineStr">
        <is>
          <t>Constitution &amp; statutes</t>
        </is>
      </c>
      <c r="C686" s="4" t="inlineStr">
        <is>
          <t>ncleg.gov</t>
        </is>
      </c>
      <c r="D686" s="15" t="inlineStr">
        <is>
          <t>G.S. 69-25.4</t>
        </is>
      </c>
      <c r="E686" s="4" t="n"/>
      <c r="F686" s="4" t="n"/>
      <c r="G686" s="4" t="inlineStr">
        <is>
          <t>https://www.ncleg.gov/EnactedLegislation/Statutes/HTML/BySection/Chapter_69/GS_69-25.4.html</t>
        </is>
      </c>
    </row>
    <row r="687" ht="30" customHeight="1">
      <c r="A687" s="13" t="inlineStr">
        <is>
          <t>North Carolina</t>
        </is>
      </c>
      <c r="B687" s="4" t="inlineStr">
        <is>
          <t>Constitution &amp; statutes</t>
        </is>
      </c>
      <c r="C687" s="4" t="inlineStr">
        <is>
          <t>ncleg.gov</t>
        </is>
      </c>
      <c r="D687" s="15" t="inlineStr">
        <is>
          <t>G.S. 159-11</t>
        </is>
      </c>
      <c r="E687" s="4" t="n"/>
      <c r="F687" s="4" t="n"/>
      <c r="G687" s="4" t="inlineStr">
        <is>
          <t>https://www.ncleg.gov/EnactedLegislation/Statutes/HTML/BySection/Chapter_159/GS_159-11.html</t>
        </is>
      </c>
    </row>
    <row r="688" ht="30" customHeight="1">
      <c r="A688" s="13" t="inlineStr">
        <is>
          <t>North Carolina</t>
        </is>
      </c>
      <c r="B688" s="4" t="inlineStr">
        <is>
          <t>Constitution &amp; statutes</t>
        </is>
      </c>
      <c r="C688" s="4" t="inlineStr">
        <is>
          <t>ncleg.gov</t>
        </is>
      </c>
      <c r="D688" s="15" t="inlineStr">
        <is>
          <t>G.S. 159-12</t>
        </is>
      </c>
      <c r="E688" s="4" t="n"/>
      <c r="F688" s="4" t="n"/>
      <c r="G688" s="4" t="inlineStr">
        <is>
          <t>https://www.ncleg.gov/EnactedLegislation/Statutes/HTML/BySection/Chapter_159/GS_159-12.html</t>
        </is>
      </c>
    </row>
    <row r="689" ht="30" customHeight="1">
      <c r="A689" s="13" t="inlineStr">
        <is>
          <t>North Carolina</t>
        </is>
      </c>
      <c r="B689" s="4" t="inlineStr">
        <is>
          <t>Constitution &amp; statutes</t>
        </is>
      </c>
      <c r="C689" s="4" t="inlineStr">
        <is>
          <t>ncleg.gov</t>
        </is>
      </c>
      <c r="D689" s="15" t="inlineStr">
        <is>
          <t>G.S. 159-17</t>
        </is>
      </c>
      <c r="E689" s="4" t="n"/>
      <c r="F689" s="4" t="n"/>
      <c r="G689" s="4" t="inlineStr">
        <is>
          <t>https://www.ncleg.gov/EnactedLegislation/Statutes/HTML/BySection/Chapter_159/GS_159-17.html</t>
        </is>
      </c>
    </row>
    <row r="690" ht="30" customHeight="1">
      <c r="A690" s="13" t="inlineStr">
        <is>
          <t>North Carolina</t>
        </is>
      </c>
      <c r="B690" s="4" t="inlineStr">
        <is>
          <t>Constitution &amp; statutes</t>
        </is>
      </c>
      <c r="C690" s="4" t="inlineStr">
        <is>
          <t>ncleg.gov</t>
        </is>
      </c>
      <c r="D690" s="15" t="inlineStr">
        <is>
          <t>G.S. 163-287</t>
        </is>
      </c>
      <c r="E690" s="4" t="n"/>
      <c r="F690" s="4" t="n"/>
      <c r="G690" s="4" t="inlineStr">
        <is>
          <t>https://www.ncleg.gov/EnactedLegislation/Statutes/HTML/BySection/Chapter_163/GS_163-287.html</t>
        </is>
      </c>
    </row>
    <row r="691" ht="30" customHeight="1">
      <c r="A691" s="13" t="inlineStr">
        <is>
          <t>North Carolina</t>
        </is>
      </c>
      <c r="B691" s="4" t="inlineStr">
        <is>
          <t>Constitution &amp; statutes</t>
        </is>
      </c>
      <c r="C691" s="4" t="inlineStr">
        <is>
          <t>ncleg.gov</t>
        </is>
      </c>
      <c r="D691" s="15" t="inlineStr">
        <is>
          <t>G.S. 105-286</t>
        </is>
      </c>
      <c r="E691" s="4" t="n"/>
      <c r="F691" s="4" t="n"/>
      <c r="G691" s="4" t="inlineStr">
        <is>
          <t>https://www.ncleg.gov/EnactedLegislation/Statutes/HTML/BySection/Chapter_105/GS_105-286.html</t>
        </is>
      </c>
    </row>
    <row r="692" ht="30" customHeight="1">
      <c r="A692" s="13" t="inlineStr">
        <is>
          <t>North Carolina</t>
        </is>
      </c>
      <c r="B692" s="4" t="inlineStr">
        <is>
          <t>Constitution &amp; statutes</t>
        </is>
      </c>
      <c r="C692" s="4" t="inlineStr">
        <is>
          <t>ncleg.gov</t>
        </is>
      </c>
      <c r="D692" s="15" t="inlineStr">
        <is>
          <t>G.S. 105-287</t>
        </is>
      </c>
      <c r="E692" s="4" t="n"/>
      <c r="F692" s="4" t="n"/>
      <c r="G692" s="4" t="inlineStr">
        <is>
          <t>https://www.ncleg.gov/EnactedLegislation/Statutes/HTML/BySection/Chapter_105/GS_105-287.html</t>
        </is>
      </c>
    </row>
    <row r="693" ht="30" customHeight="1">
      <c r="A693" s="13" t="inlineStr">
        <is>
          <t>North Carolina</t>
        </is>
      </c>
      <c r="B693" s="4" t="inlineStr">
        <is>
          <t>Constitution &amp; statutes</t>
        </is>
      </c>
      <c r="C693" s="4" t="inlineStr">
        <is>
          <t>ncleg.gov</t>
        </is>
      </c>
      <c r="D693" s="15" t="inlineStr">
        <is>
          <t>G.S. 105-277.1</t>
        </is>
      </c>
      <c r="E693" s="4" t="n"/>
      <c r="F693" s="4" t="n"/>
      <c r="G693" s="4" t="inlineStr">
        <is>
          <t>https://www.ncleg.gov/EnactedLegislation/Statutes/HTML/BySection/Chapter_105/GS_105-277.1.html</t>
        </is>
      </c>
    </row>
    <row r="694" ht="30" customHeight="1">
      <c r="A694" s="13" t="inlineStr">
        <is>
          <t>North Carolina</t>
        </is>
      </c>
      <c r="B694" s="4" t="inlineStr">
        <is>
          <t>Constitution &amp; statutes</t>
        </is>
      </c>
      <c r="C694" s="4" t="inlineStr">
        <is>
          <t>ncleg.gov</t>
        </is>
      </c>
      <c r="D694" s="15" t="inlineStr">
        <is>
          <t>G.S. 105-277.1B</t>
        </is>
      </c>
      <c r="E694" s="4" t="n"/>
      <c r="F694" s="4" t="n"/>
      <c r="G694" s="4" t="inlineStr">
        <is>
          <t>https://www.ncleg.gov/EnactedLegislation/Statutes/HTML/BySection/Chapter_105/GS_105-277.1B.html</t>
        </is>
      </c>
    </row>
    <row r="695" ht="30" customHeight="1">
      <c r="A695" s="13" t="inlineStr">
        <is>
          <t>North Carolina</t>
        </is>
      </c>
      <c r="B695" s="4" t="inlineStr">
        <is>
          <t>Constitution &amp; statutes</t>
        </is>
      </c>
      <c r="C695" s="4" t="inlineStr">
        <is>
          <t>ncleg.gov</t>
        </is>
      </c>
      <c r="D695" s="15" t="inlineStr">
        <is>
          <t>G.S. 105-277.1C</t>
        </is>
      </c>
      <c r="E695" s="4" t="n"/>
      <c r="F695" s="4" t="n"/>
      <c r="G695" s="4" t="inlineStr">
        <is>
          <t>https://www.ncleg.gov/EnactedLegislation/Statutes/HTML/BySection/Chapter_105/GS_105-277.1C.html</t>
        </is>
      </c>
    </row>
    <row r="696" ht="30" customHeight="1">
      <c r="A696" s="13" t="inlineStr">
        <is>
          <t>North Carolina</t>
        </is>
      </c>
      <c r="B696" s="4" t="inlineStr">
        <is>
          <t>Constitution &amp; statutes</t>
        </is>
      </c>
      <c r="C696" s="4" t="inlineStr">
        <is>
          <t>ncleg.gov</t>
        </is>
      </c>
      <c r="D696" s="15" t="inlineStr">
        <is>
          <t>G.S. 105-277.4</t>
        </is>
      </c>
      <c r="E696" s="4" t="n"/>
      <c r="F696" s="4" t="n"/>
      <c r="G696" s="4" t="inlineStr">
        <is>
          <t>https://www.ncleg.gov/EnactedLegislation/Statutes/HTML/BySection/Chapter_105/GS_105-277.4.html</t>
        </is>
      </c>
    </row>
    <row r="697" ht="30" customHeight="1">
      <c r="A697" s="13" t="inlineStr">
        <is>
          <t>North Carolina</t>
        </is>
      </c>
      <c r="B697" s="4" t="inlineStr">
        <is>
          <t>Constitution &amp; statutes</t>
        </is>
      </c>
      <c r="C697" s="4" t="inlineStr">
        <is>
          <t>ncleg.gov</t>
        </is>
      </c>
      <c r="D697" s="15" t="inlineStr">
        <is>
          <t>G.S. 115C-429</t>
        </is>
      </c>
      <c r="E697" s="4" t="n"/>
      <c r="F697" s="4" t="n"/>
      <c r="G697" s="4" t="inlineStr">
        <is>
          <t>https://www.ncleg.gov/EnactedLegislation/Statutes/HTML/BySection/Chapter_115C/GS_115C-429.html</t>
        </is>
      </c>
    </row>
    <row r="698" ht="30" customHeight="1">
      <c r="A698" s="13" t="inlineStr">
        <is>
          <t>North Carolina</t>
        </is>
      </c>
      <c r="B698" s="4" t="inlineStr">
        <is>
          <t>Constitution &amp; statutes</t>
        </is>
      </c>
      <c r="C698" s="4" t="inlineStr">
        <is>
          <t>ncleg.gov</t>
        </is>
      </c>
      <c r="D698" s="15" t="inlineStr">
        <is>
          <t>G.S. 115C-431</t>
        </is>
      </c>
      <c r="E698" s="4" t="n"/>
      <c r="F698" s="4" t="n"/>
      <c r="G698" s="4" t="inlineStr">
        <is>
          <t>https://www.ncleg.gov/EnactedLegislation/Statutes/HTML/BySection/Chapter_115C/GS_115C-431.html</t>
        </is>
      </c>
    </row>
    <row r="699" ht="30" customHeight="1">
      <c r="A699" s="13" t="inlineStr">
        <is>
          <t>North Carolina</t>
        </is>
      </c>
      <c r="B699" s="4" t="inlineStr">
        <is>
          <t>Constitution &amp; statutes</t>
        </is>
      </c>
      <c r="C699" s="4" t="inlineStr">
        <is>
          <t>ncleg.gov</t>
        </is>
      </c>
      <c r="D699" s="15" t="inlineStr">
        <is>
          <t>G.S. 115C-501</t>
        </is>
      </c>
      <c r="E699" s="4" t="n"/>
      <c r="F699" s="4" t="n"/>
      <c r="G699" s="4" t="inlineStr">
        <is>
          <t>https://www.ncleg.gov/EnactedLegislation/Statutes/HTML/BySection/Chapter_115C/GS_115C-501.html</t>
        </is>
      </c>
    </row>
    <row r="700" ht="30" customHeight="1">
      <c r="A700" s="13" t="inlineStr">
        <is>
          <t>North Carolina</t>
        </is>
      </c>
      <c r="B700" s="4" t="inlineStr">
        <is>
          <t>Constitution &amp; statutes</t>
        </is>
      </c>
      <c r="C700" s="4" t="inlineStr">
        <is>
          <t>ncleg.gov</t>
        </is>
      </c>
      <c r="D700" s="15" t="inlineStr">
        <is>
          <t>G.S. 115C-511</t>
        </is>
      </c>
      <c r="E700" s="4" t="n"/>
      <c r="F700" s="4" t="n"/>
      <c r="G700" s="4" t="inlineStr">
        <is>
          <t>https://www.ncleg.gov/EnactedLegislation/Statutes/HTML/BySection/Chapter_115C/GS_115C-511.html</t>
        </is>
      </c>
    </row>
    <row r="701" ht="30" customHeight="1">
      <c r="A701" s="13" t="inlineStr">
        <is>
          <t>North Carolina</t>
        </is>
      </c>
      <c r="B701" s="4" t="inlineStr">
        <is>
          <t>Constitution &amp; statutes</t>
        </is>
      </c>
      <c r="C701" s="4" t="inlineStr">
        <is>
          <t>ncleg.gov</t>
        </is>
      </c>
      <c r="D701" s="15" t="inlineStr">
        <is>
          <t>G.S. 130A-62</t>
        </is>
      </c>
      <c r="E701" s="4" t="n"/>
      <c r="F701" s="4" t="n"/>
      <c r="G701" s="4" t="inlineStr">
        <is>
          <t>https://www.ncleg.gov/EnactedLegislation/Statutes/HTML/BySection/Chapter_130A/GS_130A-62.html</t>
        </is>
      </c>
    </row>
    <row r="702" ht="30" customHeight="1">
      <c r="A702" s="13" t="inlineStr">
        <is>
          <t>North Carolina</t>
        </is>
      </c>
      <c r="B702" s="4" t="inlineStr">
        <is>
          <t>Constitution &amp; statutes</t>
        </is>
      </c>
      <c r="C702" s="4" t="inlineStr">
        <is>
          <t>ncleg.gov</t>
        </is>
      </c>
      <c r="D702" s="15" t="inlineStr">
        <is>
          <t>G.S. 160A-20</t>
        </is>
      </c>
      <c r="E702" s="4" t="n"/>
      <c r="F702" s="4" t="n"/>
      <c r="G702" s="4" t="inlineStr">
        <is>
          <t>https://www.ncleg.gov/EnactedLegislation/Statutes/HTML/BySection/Chapter_160A/GS_160A-20.html</t>
        </is>
      </c>
    </row>
    <row r="703" ht="30" customHeight="1">
      <c r="A703" s="13" t="inlineStr">
        <is>
          <t>North Carolina</t>
        </is>
      </c>
      <c r="B703" s="4" t="inlineStr">
        <is>
          <t>Constitution &amp; statutes</t>
        </is>
      </c>
      <c r="C703" s="4" t="inlineStr">
        <is>
          <t>ncleg.gov</t>
        </is>
      </c>
      <c r="D703" s="15" t="inlineStr">
        <is>
          <t>NC Constitution - Article 5</t>
        </is>
      </c>
      <c r="E703" s="4" t="n"/>
      <c r="F703" s="4" t="n"/>
      <c r="G703" s="4" t="inlineStr">
        <is>
          <t>https://www.ncleg.gov/Laws/Constitution/Article5</t>
        </is>
      </c>
    </row>
    <row r="704" ht="30" customHeight="1">
      <c r="A704" s="13" t="inlineStr">
        <is>
          <t>North Carolina</t>
        </is>
      </c>
      <c r="B704" s="4" t="inlineStr">
        <is>
          <t>Bills &amp; legislative documents</t>
        </is>
      </c>
      <c r="C704" s="4" t="inlineStr">
        <is>
          <t>ncleg.gov</t>
        </is>
      </c>
      <c r="D704" s="15" t="inlineStr">
        <is>
          <t>SL 2026-5 (HB 1089)</t>
        </is>
      </c>
      <c r="E704" s="4" t="n"/>
      <c r="F704" s="4" t="n"/>
      <c r="G704" s="4" t="inlineStr">
        <is>
          <t>https://www.ncleg.gov/EnactedLegislation/SessionLaws/HTML/2025-2026/SL2026-5.html</t>
        </is>
      </c>
    </row>
    <row r="705" ht="30" customHeight="1">
      <c r="A705" s="13" t="inlineStr">
        <is>
          <t>North Carolina</t>
        </is>
      </c>
      <c r="B705" s="4" t="inlineStr">
        <is>
          <t>Bills &amp; legislative documents</t>
        </is>
      </c>
      <c r="C705" s="4" t="inlineStr">
        <is>
          <t>ncleg.gov</t>
        </is>
      </c>
      <c r="D705" s="15" t="inlineStr">
        <is>
          <t>House Bill 1089 / SL 2026-5 (2025-2026 Session)</t>
        </is>
      </c>
      <c r="E705" s="4" t="n"/>
      <c r="F705" s="4" t="n"/>
      <c r="G705" s="4" t="inlineStr">
        <is>
          <t>https://www.ncleg.gov/BillLookUp/2025/H1089</t>
        </is>
      </c>
    </row>
    <row r="706" ht="30" customHeight="1">
      <c r="A706" s="13" t="inlineStr">
        <is>
          <t>North Carolina</t>
        </is>
      </c>
      <c r="B706" s="4" t="inlineStr">
        <is>
          <t>Bills &amp; legislative documents</t>
        </is>
      </c>
      <c r="C706" s="4" t="inlineStr">
        <is>
          <t>ncleg.gov</t>
        </is>
      </c>
      <c r="D706" s="15" t="inlineStr">
        <is>
          <t>NORTH CAROLINA GENERAL ASSEMBLY 2025 Session (HFN1089v1.pdf)</t>
        </is>
      </c>
      <c r="E706" s="4" t="inlineStr">
        <is>
          <t>2026</t>
        </is>
      </c>
      <c r="F706" s="4" t="n"/>
      <c r="G706" s="4" t="inlineStr">
        <is>
          <t>https://ncleg.gov/Sessions/2025/FiscalNotes/House/PDF/HFN1089v1.pdf</t>
        </is>
      </c>
    </row>
    <row r="707" ht="30" customHeight="1">
      <c r="A707" s="13" t="inlineStr">
        <is>
          <t>North Carolina</t>
        </is>
      </c>
      <c r="B707" s="4" t="inlineStr">
        <is>
          <t>Bills &amp; legislative documents</t>
        </is>
      </c>
      <c r="C707" s="4" t="inlineStr">
        <is>
          <t>ncleg.gov</t>
        </is>
      </c>
      <c r="D707" s="15" t="inlineStr">
        <is>
          <t>SL 2026-8 (SB 889)</t>
        </is>
      </c>
      <c r="E707" s="4" t="n"/>
      <c r="F707" s="4" t="n"/>
      <c r="G707" s="4" t="inlineStr">
        <is>
          <t>https://ncleg.gov/EnactedLegislation/SessionLaws/HTML/2025-2026/SL2026-8.html</t>
        </is>
      </c>
    </row>
    <row r="708" ht="30" customHeight="1">
      <c r="A708" s="13" t="inlineStr">
        <is>
          <t>North Carolina</t>
        </is>
      </c>
      <c r="B708" s="4" t="inlineStr">
        <is>
          <t>Bills &amp; legislative documents</t>
        </is>
      </c>
      <c r="C708" s="4" t="inlineStr">
        <is>
          <t>ncleg.gov</t>
        </is>
      </c>
      <c r="D708" s="15" t="inlineStr">
        <is>
          <t>NORTH CAROLINA GENERAL ASSEMBLY 2025 Session (SFN889v1.pdf)</t>
        </is>
      </c>
      <c r="E708" s="4" t="inlineStr">
        <is>
          <t>2026</t>
        </is>
      </c>
      <c r="F708" s="4" t="n"/>
      <c r="G708" s="4" t="inlineStr">
        <is>
          <t>https://www.ncleg.gov/Sessions/2025/FiscalNotes/Senate/PDF/SFN889v1.pdf</t>
        </is>
      </c>
    </row>
    <row r="709" ht="30" customHeight="1">
      <c r="A709" s="13" t="inlineStr">
        <is>
          <t>North Carolina</t>
        </is>
      </c>
      <c r="B709" s="4" t="inlineStr">
        <is>
          <t>Bills &amp; legislative documents</t>
        </is>
      </c>
      <c r="C709" s="4" t="inlineStr">
        <is>
          <t>ncleg.gov</t>
        </is>
      </c>
      <c r="D709" s="15" t="inlineStr">
        <is>
          <t>SL 2026-47 (SB 474)</t>
        </is>
      </c>
      <c r="E709" s="4" t="n"/>
      <c r="F709" s="4" t="n"/>
      <c r="G709" s="4" t="inlineStr">
        <is>
          <t>https://ncleg.gov/EnactedLegislation/SessionLaws/HTML/2025-2026/SL2026-47.html</t>
        </is>
      </c>
    </row>
    <row r="710" ht="30" customHeight="1">
      <c r="A710" s="13" t="inlineStr">
        <is>
          <t>North Carolina</t>
        </is>
      </c>
      <c r="B710" s="4" t="inlineStr">
        <is>
          <t>Bills &amp; legislative documents</t>
        </is>
      </c>
      <c r="C710" s="4" t="inlineStr">
        <is>
          <t>ncleg.gov</t>
        </is>
      </c>
      <c r="D710" s="15" t="inlineStr">
        <is>
          <t>S474-SMBA-141(sl)-v-8</t>
        </is>
      </c>
      <c r="E710" s="4" t="n"/>
      <c r="F710" s="4" t="n"/>
      <c r="G710" s="4" t="inlineStr">
        <is>
          <t>https://ncleg.gov/Legislation/SummariesPublication/Summary/2024/11/S474-SMBA-141(sl)-v-8/</t>
        </is>
      </c>
    </row>
    <row r="711" ht="30" customHeight="1">
      <c r="A711" s="13" t="inlineStr">
        <is>
          <t>North Carolina</t>
        </is>
      </c>
      <c r="B711" s="4" t="inlineStr">
        <is>
          <t>Research &amp; associations</t>
        </is>
      </c>
      <c r="C711" s="4" t="inlineStr">
        <is>
          <t>lrs.sog.unc.edu</t>
        </is>
      </c>
      <c r="D711" s="15" t="inlineStr">
        <is>
          <t>Bill Summary for H 683 (2025-2026)</t>
        </is>
      </c>
      <c r="E711" s="4" t="n"/>
      <c r="F711" s="4" t="n"/>
      <c r="G711" s="4" t="inlineStr">
        <is>
          <t>https://lrs.sog.unc.edu/node/563122</t>
        </is>
      </c>
    </row>
    <row r="712" ht="30" customHeight="1">
      <c r="A712" s="13" t="inlineStr">
        <is>
          <t>North Carolina</t>
        </is>
      </c>
      <c r="B712" s="4" t="inlineStr">
        <is>
          <t>Research &amp; associations</t>
        </is>
      </c>
      <c r="C712" s="4" t="inlineStr">
        <is>
          <t>lrs.sog.unc.edu</t>
        </is>
      </c>
      <c r="D712" s="15" t="inlineStr">
        <is>
          <t>Bill Summary for H 1122 (2025-2026)</t>
        </is>
      </c>
      <c r="E712" s="4" t="n"/>
      <c r="F712" s="4" t="n"/>
      <c r="G712" s="4" t="inlineStr">
        <is>
          <t>https://lrs.sog.unc.edu/node/576819</t>
        </is>
      </c>
    </row>
    <row r="713" ht="30" customHeight="1">
      <c r="A713" s="13" t="inlineStr">
        <is>
          <t>North Carolina</t>
        </is>
      </c>
      <c r="B713" s="4" t="inlineStr">
        <is>
          <t>Local government</t>
        </is>
      </c>
      <c r="C713" s="4" t="inlineStr">
        <is>
          <t>yadkincountync.gov</t>
        </is>
      </c>
      <c r="D713" s="15" t="inlineStr">
        <is>
          <t>Elegant Letter</t>
        </is>
      </c>
      <c r="E713" s="4" t="inlineStr">
        <is>
          <t>2025</t>
        </is>
      </c>
      <c r="F713" s="4" t="n"/>
      <c r="G713" s="4" t="inlineStr">
        <is>
          <t>https://www.yadkincountync.gov/DocumentCenter/View/6548/2026-Homestead-Income-Eligibility-Limits-Memo</t>
        </is>
      </c>
    </row>
    <row r="714" ht="30" customHeight="1">
      <c r="A714" s="13" t="inlineStr">
        <is>
          <t>North Carolina</t>
        </is>
      </c>
      <c r="B714" s="4" t="inlineStr">
        <is>
          <t>State government</t>
        </is>
      </c>
      <c r="C714" s="4" t="inlineStr">
        <is>
          <t>ncdor.gov</t>
        </is>
      </c>
      <c r="D714" s="15" t="inlineStr">
        <is>
          <t>NORTH CAROLINA COUNTY PROPERTY TAX RATES FOR THE LAST FIVE YEARS</t>
        </is>
      </c>
      <c r="E714" s="4" t="inlineStr">
        <is>
          <t>2025</t>
        </is>
      </c>
      <c r="F714" s="4" t="n"/>
      <c r="G714" s="4" t="inlineStr">
        <is>
          <t>https://www.ncdor.gov/2025-2026-county-tax-rates-finalpdf/open</t>
        </is>
      </c>
    </row>
    <row r="715" ht="30" customHeight="1">
      <c r="A715" s="13" t="inlineStr">
        <is>
          <t>North Carolina</t>
        </is>
      </c>
      <c r="B715" s="4" t="inlineStr">
        <is>
          <t>State government</t>
        </is>
      </c>
      <c r="C715" s="4" t="inlineStr">
        <is>
          <t>ncdor.gov</t>
        </is>
      </c>
      <c r="D715" s="15" t="inlineStr">
        <is>
          <t>2025-2026taxratesxlsx open</t>
        </is>
      </c>
      <c r="E715" s="4" t="n"/>
      <c r="F715" s="4" t="n"/>
      <c r="G715" s="4" t="inlineStr">
        <is>
          <t>https://www.ncdor.gov/2025-2026taxratesxlsx/open</t>
        </is>
      </c>
    </row>
    <row r="716" ht="30" customHeight="1">
      <c r="A716" s="13" t="inlineStr">
        <is>
          <t>North Carolina</t>
        </is>
      </c>
      <c r="B716" s="4" t="inlineStr">
        <is>
          <t>State government</t>
        </is>
      </c>
      <c r="C716" s="4" t="inlineStr">
        <is>
          <t>dpi.nc.gov</t>
        </is>
      </c>
      <c r="D716" s="15" t="inlineStr">
        <is>
          <t>Highlights North Carolina</t>
        </is>
      </c>
      <c r="E716" s="4" t="inlineStr">
        <is>
          <t>2026</t>
        </is>
      </c>
      <c r="F716" s="4" t="n"/>
      <c r="G716" s="4" t="inlineStr">
        <is>
          <t>https://www.dpi.nc.gov/documents/fbs/budget/highlights-2026-finalpdf/download?attachment</t>
        </is>
      </c>
    </row>
    <row r="717" ht="30" customHeight="1">
      <c r="A717" s="13" t="inlineStr">
        <is>
          <t>North Carolina</t>
        </is>
      </c>
      <c r="B717" s="4" t="inlineStr">
        <is>
          <t>Local government</t>
        </is>
      </c>
      <c r="C717" s="4" t="inlineStr">
        <is>
          <t>guilfordcountync.gov</t>
        </is>
      </c>
      <c r="D717" s="15" t="inlineStr">
        <is>
          <t>Board of Commissioners Adopts Balanced Fiscal Year 2027 Budget</t>
        </is>
      </c>
      <c r="E717" s="4" t="n"/>
      <c r="F717" s="4" t="n"/>
      <c r="G717" s="4" t="inlineStr">
        <is>
          <t>https://www.guilfordcountync.gov/news/press-releases/2026/06/25/board-commissioners-adopts-balanced-fiscal-year-2027-budget</t>
        </is>
      </c>
    </row>
    <row r="718" ht="30" customHeight="1">
      <c r="A718" s="13" t="inlineStr">
        <is>
          <t>North Carolina</t>
        </is>
      </c>
      <c r="B718" s="4" t="inlineStr">
        <is>
          <t>Local government</t>
        </is>
      </c>
      <c r="C718" s="4" t="inlineStr">
        <is>
          <t>guilfordcountync.gov</t>
        </is>
      </c>
      <c r="D718" s="15" t="inlineStr">
        <is>
          <t>Property Tax Moratorium Information Hub</t>
        </is>
      </c>
      <c r="E718" s="4" t="n"/>
      <c r="F718" s="4" t="n"/>
      <c r="G718" s="4" t="inlineStr">
        <is>
          <t>https://www.guilfordcountync.gov/government/departments-and-agencies/tax-department/property-tax-moratorium-information-hub</t>
        </is>
      </c>
    </row>
    <row r="719" ht="30" customHeight="1">
      <c r="A719" s="13" t="inlineStr">
        <is>
          <t>North Carolina</t>
        </is>
      </c>
      <c r="B719" s="4" t="inlineStr">
        <is>
          <t>Free-market groups &amp; GOP caucuses</t>
        </is>
      </c>
      <c r="C719" s="4" t="inlineStr">
        <is>
          <t>carolinajournal.com</t>
        </is>
      </c>
      <c r="D719" s="15" t="inlineStr">
        <is>
          <t>NC House sends property tax reappraisal delay to Stein's desk</t>
        </is>
      </c>
      <c r="E719" s="4" t="inlineStr">
        <is>
          <t>2026-06-10</t>
        </is>
      </c>
      <c r="F719" s="4" t="n"/>
      <c r="G719" s="4" t="inlineStr">
        <is>
          <t>https://www.carolinajournal.com/nc-house-sends-property-tax-reappraisal-delay-to-steins-desk/</t>
        </is>
      </c>
    </row>
    <row r="720" ht="30" customHeight="1">
      <c r="A720" s="13" t="inlineStr">
        <is>
          <t>North Carolina</t>
        </is>
      </c>
      <c r="B720" s="4" t="inlineStr">
        <is>
          <t>Research &amp; associations</t>
        </is>
      </c>
      <c r="C720" s="4" t="inlineStr">
        <is>
          <t>lincolninst.edu</t>
        </is>
      </c>
      <c r="D720" s="15" t="inlineStr">
        <is>
          <t>truth in taxation 2024.xlsx</t>
        </is>
      </c>
      <c r="E720" s="4" t="n"/>
      <c r="F720" s="4" t="inlineStr">
        <is>
          <t>DE, GA, IA, IL, KY, MD, MI, MN, MO, ND, NE, NM, NV, NY, OH, OK, OR, PA, RI, TN, TX, UT, VA, VT, WV, WY</t>
        </is>
      </c>
      <c r="G720" s="4" t="inlineStr">
        <is>
          <t>https://www.lincolninst.edu/app/uploads/2024/10/truth_in_taxation_2024.xlsx</t>
        </is>
      </c>
    </row>
    <row r="721" ht="30" customHeight="1">
      <c r="A721" s="13" t="inlineStr">
        <is>
          <t>North Carolina</t>
        </is>
      </c>
      <c r="B721" s="4" t="inlineStr">
        <is>
          <t>Federal government &amp; data</t>
        </is>
      </c>
      <c r="C721" s="4" t="inlineStr">
        <is>
          <t>www2.census.gov</t>
        </is>
      </c>
      <c r="D721" s="15" t="inlineStr">
        <is>
          <t>22slsstab1.xlsx</t>
        </is>
      </c>
      <c r="E721" s="4" t="n"/>
      <c r="F721" s="4" t="inlineStr">
        <is>
          <t>AL, AR, IA, KS, KY, LA, MA, MD, ME, MI, MN, MO, MS, MT, ND, NE, NH, NJ, NM, NV, NY, OH, OK, OR, PA, RI, SC, SD, TN, TX, UT, VA, VT, WA, WI, WV, WY</t>
        </is>
      </c>
      <c r="G721" s="4" t="inlineStr">
        <is>
          <t>https://www2.census.gov/programs-surveys/gov-finances/tables/2022/22slsstab1.xlsx</t>
        </is>
      </c>
    </row>
    <row r="722" ht="34" customHeight="1">
      <c r="A722" s="13" t="inlineStr">
        <is>
          <t>North Carolina</t>
        </is>
      </c>
      <c r="B722" s="4" t="inlineStr">
        <is>
          <t>Free-market groups &amp; GOP caucuses</t>
        </is>
      </c>
      <c r="C722" s="4" t="inlineStr">
        <is>
          <t>johnlocke.org</t>
        </is>
      </c>
      <c r="D722" s="15" t="inlineStr">
        <is>
          <t>How much is too much? An analysis of property tax revenue growth in the state’s most populous counties</t>
        </is>
      </c>
      <c r="E722" s="4" t="inlineStr">
        <is>
          <t>2026-03-16</t>
        </is>
      </c>
      <c r="F722" s="4" t="n"/>
      <c r="G722" s="4" t="inlineStr">
        <is>
          <t>https://www.johnlocke.org/how-much-is-too-much-an-analysis-of-property-tax-revenue-growth-in-the-states-most-populous-counties/</t>
        </is>
      </c>
    </row>
    <row r="723" ht="34" customHeight="1">
      <c r="A723" s="13" t="inlineStr">
        <is>
          <t>North Carolina</t>
        </is>
      </c>
      <c r="B723" s="4" t="inlineStr">
        <is>
          <t>Free-market groups &amp; GOP caucuses</t>
        </is>
      </c>
      <c r="C723" s="4" t="inlineStr">
        <is>
          <t>johnlocke.org</t>
        </is>
      </c>
      <c r="D723" s="15" t="inlineStr">
        <is>
          <t>Model legislation: How North Carolina’s property tax levy limit needs to be designed</t>
        </is>
      </c>
      <c r="E723" s="4" t="inlineStr">
        <is>
          <t>2026-05-26</t>
        </is>
      </c>
      <c r="F723" s="4" t="n"/>
      <c r="G723" s="4" t="inlineStr">
        <is>
          <t>https://www.johnlocke.org/model-legislation-how-north-carolinas-property-tax-levy-limit-needs-to-be-designed/</t>
        </is>
      </c>
    </row>
    <row r="724" ht="30" customHeight="1">
      <c r="A724" s="13" t="inlineStr">
        <is>
          <t>North Carolina</t>
        </is>
      </c>
      <c r="B724" s="4" t="inlineStr">
        <is>
          <t>Free-market groups &amp; GOP caucuses</t>
        </is>
      </c>
      <c r="C724" s="4" t="inlineStr">
        <is>
          <t>johnlocke.org</t>
        </is>
      </c>
      <c r="D724" s="15" t="inlineStr">
        <is>
          <t>Voters Favor Property Tax Limits in NC</t>
        </is>
      </c>
      <c r="E724" s="4" t="inlineStr">
        <is>
          <t>2026-10-02</t>
        </is>
      </c>
      <c r="F724" s="4" t="n"/>
      <c r="G724" s="4" t="inlineStr">
        <is>
          <t>https://www.johnlocke.org/is-a-tax-revolt-brewing/</t>
        </is>
      </c>
    </row>
    <row r="725" ht="30" customHeight="1">
      <c r="A725" s="13" t="inlineStr">
        <is>
          <t>North Carolina</t>
        </is>
      </c>
      <c r="B725" s="4" t="inlineStr">
        <is>
          <t>Local government</t>
        </is>
      </c>
      <c r="C725" s="4" t="inlineStr">
        <is>
          <t>news.mecknc.gov</t>
        </is>
      </c>
      <c r="D725" s="15" t="inlineStr">
        <is>
          <t>Board of County Commissioners Adopts $2.36 Billion Operating Budget for FY2024</t>
        </is>
      </c>
      <c r="E725" s="4" t="n"/>
      <c r="F725" s="4" t="n"/>
      <c r="G725" s="4" t="inlineStr">
        <is>
          <t>https://news.mecknc.gov/board-county-commissioners-adopts-236-billion-operating-budget-fy2024</t>
        </is>
      </c>
    </row>
    <row r="726" ht="30" customHeight="1">
      <c r="A726" s="13" t="inlineStr">
        <is>
          <t>North Carolina</t>
        </is>
      </c>
      <c r="B726" s="4" t="inlineStr">
        <is>
          <t>Local government</t>
        </is>
      </c>
      <c r="C726" s="4" t="inlineStr">
        <is>
          <t>dconc.gov</t>
        </is>
      </c>
      <c r="D726" s="15" t="inlineStr">
        <is>
          <t>FAQ---Understanding-Durham-Countys-Tax-Reappraisal-Process.6.20.26-final.pdf</t>
        </is>
      </c>
      <c r="E726" s="4" t="inlineStr">
        <is>
          <t>2026</t>
        </is>
      </c>
      <c r="F726" s="4" t="n"/>
      <c r="G726" s="4" t="inlineStr">
        <is>
          <t>https://dconc.gov/Public-Information1/Documents/Publications/FAQ---Understanding-Durham-Countys-Tax-Reappraisal-Process.6.20.26-final.pdf</t>
        </is>
      </c>
    </row>
    <row r="727" ht="30" customHeight="1">
      <c r="A727" s="13" t="inlineStr">
        <is>
          <t>North Carolina</t>
        </is>
      </c>
      <c r="B727" s="4" t="inlineStr">
        <is>
          <t>News</t>
        </is>
      </c>
      <c r="C727" s="4" t="inlineStr">
        <is>
          <t>abc11.com</t>
        </is>
      </c>
      <c r="D727" s="15" t="inlineStr">
        <is>
          <t>Wake County adopts $2.08 billion budget heavy on school funding</t>
        </is>
      </c>
      <c r="E727" s="4" t="inlineStr">
        <is>
          <t>2024-06-03</t>
        </is>
      </c>
      <c r="F727" s="4" t="n"/>
      <c r="G727" s="4" t="inlineStr">
        <is>
          <t>https://abc11.com/post/wake-county-adopts-208-billion-budget-heavy-school/14907919/</t>
        </is>
      </c>
    </row>
    <row r="728" ht="30" customHeight="1">
      <c r="A728" s="13" t="inlineStr">
        <is>
          <t>North Carolina</t>
        </is>
      </c>
      <c r="B728" s="4" t="inlineStr">
        <is>
          <t>Local government</t>
        </is>
      </c>
      <c r="C728" s="4" t="inlineStr">
        <is>
          <t>wake.gov</t>
        </is>
      </c>
      <c r="D728" s="15" t="inlineStr">
        <is>
          <t>Fiscal Year 2027 Adopted Budget</t>
        </is>
      </c>
      <c r="E728" s="4" t="n"/>
      <c r="F728" s="4" t="n"/>
      <c r="G728" s="4" t="inlineStr">
        <is>
          <t>https://wake.gov/budget</t>
        </is>
      </c>
    </row>
    <row r="729" ht="30" customHeight="1">
      <c r="A729" s="13" t="inlineStr">
        <is>
          <t>North Carolina</t>
        </is>
      </c>
      <c r="B729" s="4" t="inlineStr">
        <is>
          <t>Research &amp; associations</t>
        </is>
      </c>
      <c r="C729" s="4" t="inlineStr">
        <is>
          <t>sog.unc.edu</t>
        </is>
      </c>
      <c r="D729" s="15" t="inlineStr">
        <is>
          <t>Property Tax Legislation Round Up</t>
        </is>
      </c>
      <c r="E729" s="4" t="n"/>
      <c r="F729" s="4" t="n"/>
      <c r="G729" s="4" t="inlineStr">
        <is>
          <t>https://www.sog.unc.edu/node/374630</t>
        </is>
      </c>
    </row>
    <row r="730" ht="30" customHeight="1">
      <c r="A730" s="13" t="inlineStr">
        <is>
          <t>North Carolina</t>
        </is>
      </c>
      <c r="B730" s="4" t="inlineStr">
        <is>
          <t>Bills &amp; legislative documents</t>
        </is>
      </c>
      <c r="C730" s="4" t="inlineStr">
        <is>
          <t>ncleg.gov</t>
        </is>
      </c>
      <c r="D730" s="15" t="inlineStr">
        <is>
          <t>House Bill 1042 (2025-2026 Session)</t>
        </is>
      </c>
      <c r="E730" s="4" t="n"/>
      <c r="F730" s="4" t="n"/>
      <c r="G730" s="4" t="inlineStr">
        <is>
          <t>https://www.ncleg.gov/BillLookUp/2025/H1042</t>
        </is>
      </c>
    </row>
    <row r="731" ht="34" customHeight="1">
      <c r="A731" s="13" t="inlineStr">
        <is>
          <t>North Carolina</t>
        </is>
      </c>
      <c r="B731" s="4" t="inlineStr">
        <is>
          <t>Research &amp; associations</t>
        </is>
      </c>
      <c r="C731" s="4" t="inlineStr">
        <is>
          <t>maynardnexsen.com</t>
        </is>
      </c>
      <c r="D731" s="15" t="inlineStr">
        <is>
          <t>Examining Changes to North Carolina Property Tax Law: Levy Limits and the Affordable Housing Exemption</t>
        </is>
      </c>
      <c r="E731" s="4" t="n"/>
      <c r="F731" s="4" t="n"/>
      <c r="G731" s="4" t="inlineStr">
        <is>
          <t>https://www.maynardnexsen.com/publication-examining-changes-to-north-carolina-property-tax-law-levy-limits-and-the-affordable-housing-exemption</t>
        </is>
      </c>
    </row>
    <row r="732" ht="30" customHeight="1">
      <c r="A732" s="13" t="inlineStr">
        <is>
          <t>North Dakota</t>
        </is>
      </c>
      <c r="B732" s="4" t="inlineStr">
        <is>
          <t>Bills &amp; legislative documents</t>
        </is>
      </c>
      <c r="C732" s="4" t="inlineStr">
        <is>
          <t>ndlegis.gov</t>
        </is>
      </c>
      <c r="D732" s="15" t="inlineStr">
        <is>
          <t>North Dakota Century Code t57c15</t>
        </is>
      </c>
      <c r="E732" s="4" t="inlineStr">
        <is>
          <t>2025</t>
        </is>
      </c>
      <c r="F732" s="4" t="n"/>
      <c r="G732" s="4" t="inlineStr">
        <is>
          <t>https://ndlegis.gov/cencode/t57c15.pdf</t>
        </is>
      </c>
    </row>
    <row r="733" ht="30" customHeight="1">
      <c r="A733" s="13" t="inlineStr">
        <is>
          <t>North Dakota</t>
        </is>
      </c>
      <c r="B733" s="4" t="inlineStr">
        <is>
          <t>Bills &amp; legislative documents</t>
        </is>
      </c>
      <c r="C733" s="4" t="inlineStr">
        <is>
          <t>ndlegis.gov</t>
        </is>
      </c>
      <c r="D733" s="15" t="inlineStr">
        <is>
          <t>North Dakota Century Code t57c02</t>
        </is>
      </c>
      <c r="E733" s="4" t="inlineStr">
        <is>
          <t>2026</t>
        </is>
      </c>
      <c r="F733" s="4" t="n"/>
      <c r="G733" s="4" t="inlineStr">
        <is>
          <t>https://ndlegis.gov/cencode/t57c02.pdf</t>
        </is>
      </c>
    </row>
    <row r="734" ht="30" customHeight="1">
      <c r="A734" s="13" t="inlineStr">
        <is>
          <t>North Dakota</t>
        </is>
      </c>
      <c r="B734" s="4" t="inlineStr">
        <is>
          <t>Bills &amp; legislative documents</t>
        </is>
      </c>
      <c r="C734" s="4" t="inlineStr">
        <is>
          <t>ndlegis.gov</t>
        </is>
      </c>
      <c r="D734" s="15" t="inlineStr">
        <is>
          <t>North Dakota Century Code t15.1c27</t>
        </is>
      </c>
      <c r="E734" s="4" t="inlineStr">
        <is>
          <t>2025</t>
        </is>
      </c>
      <c r="F734" s="4" t="n"/>
      <c r="G734" s="4" t="inlineStr">
        <is>
          <t>https://ndlegis.gov/cencode/t15-1c27.pdf</t>
        </is>
      </c>
    </row>
    <row r="735" ht="30" customHeight="1">
      <c r="A735" s="13" t="inlineStr">
        <is>
          <t>North Dakota</t>
        </is>
      </c>
      <c r="B735" s="4" t="inlineStr">
        <is>
          <t>Bills &amp; legislative documents</t>
        </is>
      </c>
      <c r="C735" s="4" t="inlineStr">
        <is>
          <t>ndlegis.gov</t>
        </is>
      </c>
      <c r="D735" s="15" t="inlineStr">
        <is>
          <t>North Dakota Century Code t40c05.1</t>
        </is>
      </c>
      <c r="E735" s="4" t="inlineStr">
        <is>
          <t>2025</t>
        </is>
      </c>
      <c r="F735" s="4" t="n"/>
      <c r="G735" s="4" t="inlineStr">
        <is>
          <t>https://ndlegis.gov/cencode/t40c05-1.pdf</t>
        </is>
      </c>
    </row>
    <row r="736" ht="30" customHeight="1">
      <c r="A736" s="13" t="inlineStr">
        <is>
          <t>North Dakota</t>
        </is>
      </c>
      <c r="B736" s="4" t="inlineStr">
        <is>
          <t>Constitution &amp; statutes</t>
        </is>
      </c>
      <c r="C736" s="4" t="inlineStr">
        <is>
          <t>ndlegis.gov</t>
        </is>
      </c>
      <c r="D736" s="15" t="inlineStr">
        <is>
          <t>constit a10.pdf</t>
        </is>
      </c>
      <c r="E736" s="4" t="inlineStr">
        <is>
          <t>2026</t>
        </is>
      </c>
      <c r="F736" s="4" t="n"/>
      <c r="G736" s="4" t="inlineStr">
        <is>
          <t>https://ndlegis.gov/constit/a10.pdf</t>
        </is>
      </c>
    </row>
    <row r="737" ht="30" customHeight="1">
      <c r="A737" s="13" t="inlineStr">
        <is>
          <t>North Dakota</t>
        </is>
      </c>
      <c r="B737" s="4" t="inlineStr">
        <is>
          <t>Bills &amp; legislative documents</t>
        </is>
      </c>
      <c r="C737" s="4" t="inlineStr">
        <is>
          <t>ndlegis.gov</t>
        </is>
      </c>
      <c r="D737" s="15" t="inlineStr">
        <is>
          <t>HB 1176 - Overview | North Dakota Legislative Branch</t>
        </is>
      </c>
      <c r="E737" s="4" t="n"/>
      <c r="F737" s="4" t="n"/>
      <c r="G737" s="4" t="inlineStr">
        <is>
          <t>https://ndlegis.gov/assembly/69-2025/regular/bill-overview/bo1176.html</t>
        </is>
      </c>
    </row>
    <row r="738" ht="30" customHeight="1">
      <c r="A738" s="13" t="inlineStr">
        <is>
          <t>North Dakota</t>
        </is>
      </c>
      <c r="B738" s="4" t="inlineStr">
        <is>
          <t>Bills &amp; legislative documents</t>
        </is>
      </c>
      <c r="C738" s="4" t="inlineStr">
        <is>
          <t>ndlegis.gov</t>
        </is>
      </c>
      <c r="D738" s="15" t="inlineStr">
        <is>
          <t>Enrolled House Bill No. 1176 - Sixty-ninth Legislative Assembly of North Dakota</t>
        </is>
      </c>
      <c r="E738" s="4" t="inlineStr">
        <is>
          <t>2025</t>
        </is>
      </c>
      <c r="F738" s="4" t="n"/>
      <c r="G738" s="4" t="inlineStr">
        <is>
          <t>https://ndlegis.gov/assembly/69-2025/regular/documents/25-1003-07000.pdf</t>
        </is>
      </c>
    </row>
    <row r="739" ht="30" customHeight="1">
      <c r="A739" s="13" t="inlineStr">
        <is>
          <t>North Dakota</t>
        </is>
      </c>
      <c r="B739" s="4" t="inlineStr">
        <is>
          <t>Bills &amp; legislative documents</t>
        </is>
      </c>
      <c r="C739" s="4" t="inlineStr">
        <is>
          <t>ndlegis.gov</t>
        </is>
      </c>
      <c r="D739" s="15" t="inlineStr">
        <is>
          <t>HB 1158 - Overview | North Dakota Legislative Branch</t>
        </is>
      </c>
      <c r="E739" s="4" t="n"/>
      <c r="F739" s="4" t="n"/>
      <c r="G739" s="4" t="inlineStr">
        <is>
          <t>https://ndlegis.gov/assembly/68-2023/regular/bill-overview/bo1158.html</t>
        </is>
      </c>
    </row>
    <row r="740" ht="30" customHeight="1">
      <c r="A740" s="13" t="inlineStr">
        <is>
          <t>North Dakota</t>
        </is>
      </c>
      <c r="B740" s="4" t="inlineStr">
        <is>
          <t>Bills &amp; legislative documents</t>
        </is>
      </c>
      <c r="C740" s="4" t="inlineStr">
        <is>
          <t>ndlegis.gov</t>
        </is>
      </c>
      <c r="D740" s="15" t="inlineStr">
        <is>
          <t>Tax Reform and Relief Advisory Committee - Interim Meeting Minutes - 06-23-2026</t>
        </is>
      </c>
      <c r="E740" s="4" t="inlineStr">
        <is>
          <t>2026</t>
        </is>
      </c>
      <c r="F740" s="4" t="n"/>
      <c r="G740" s="4" t="inlineStr">
        <is>
          <t>https://ndlegis.gov/assembly/69-2025/interim/27-5152-03000-meeting-minutes.pdf</t>
        </is>
      </c>
    </row>
    <row r="741" ht="30" customHeight="1">
      <c r="A741" s="13" t="inlineStr">
        <is>
          <t>North Dakota</t>
        </is>
      </c>
      <c r="B741" s="4" t="inlineStr">
        <is>
          <t>Bills &amp; legislative documents</t>
        </is>
      </c>
      <c r="C741" s="4" t="inlineStr">
        <is>
          <t>ndlegis.gov</t>
        </is>
      </c>
      <c r="D741" s="15" t="inlineStr">
        <is>
          <t>Author: Mathiak, Adam</t>
        </is>
      </c>
      <c r="E741" s="4" t="inlineStr">
        <is>
          <t>2024</t>
        </is>
      </c>
      <c r="F741" s="4" t="n"/>
      <c r="G741" s="4" t="inlineStr">
        <is>
          <t>https://ndlegis.gov/sites/default/files/resource/committee-memorandum/25.9276.02000.pdf</t>
        </is>
      </c>
    </row>
    <row r="742" ht="30" customHeight="1">
      <c r="A742" s="13" t="inlineStr">
        <is>
          <t>North Dakota</t>
        </is>
      </c>
      <c r="B742" s="4" t="inlineStr">
        <is>
          <t>State government</t>
        </is>
      </c>
      <c r="C742" s="4" t="inlineStr">
        <is>
          <t>tax.nd.gov</t>
        </is>
      </c>
      <c r="D742" s="15" t="inlineStr">
        <is>
          <t>Property Tax Statistical Report 2025</t>
        </is>
      </c>
      <c r="E742" s="4" t="inlineStr">
        <is>
          <t>2026</t>
        </is>
      </c>
      <c r="F742" s="4" t="n"/>
      <c r="G742" s="4" t="inlineStr">
        <is>
          <t>https://www.tax.nd.gov/sites/default/files/documents/property-tax/2025-property-tax-statistical-report.pdf</t>
        </is>
      </c>
    </row>
    <row r="743" ht="30" customHeight="1">
      <c r="A743" s="13" t="inlineStr">
        <is>
          <t>North Dakota</t>
        </is>
      </c>
      <c r="B743" s="4" t="inlineStr">
        <is>
          <t>State government</t>
        </is>
      </c>
      <c r="C743" s="4" t="inlineStr">
        <is>
          <t>sos.nd.gov</t>
        </is>
      </c>
      <c r="D743" s="15" t="inlineStr">
        <is>
          <t>North Dakota Ballot Measure Information</t>
        </is>
      </c>
      <c r="E743" s="4" t="inlineStr">
        <is>
          <t>2026</t>
        </is>
      </c>
      <c r="F743" s="4" t="n"/>
      <c r="G743" s="4" t="inlineStr">
        <is>
          <t>https://www.sos.nd.gov/sites/default/files/documents/elections/2026-general-measure-guide.pdf</t>
        </is>
      </c>
    </row>
    <row r="744" ht="30" customHeight="1">
      <c r="A744" s="13" t="inlineStr">
        <is>
          <t>North Dakota</t>
        </is>
      </c>
      <c r="B744" s="4" t="inlineStr">
        <is>
          <t>State government</t>
        </is>
      </c>
      <c r="C744" s="4" t="inlineStr">
        <is>
          <t>sos.nd.gov</t>
        </is>
      </c>
      <c r="D744" s="15" t="inlineStr">
        <is>
          <t>News | Secretary of State</t>
        </is>
      </c>
      <c r="E744" s="4" t="n"/>
      <c r="F744" s="4" t="n"/>
      <c r="G744" s="4" t="inlineStr">
        <is>
          <t>https://sos.nd.gov/news</t>
        </is>
      </c>
    </row>
    <row r="745" ht="30" customHeight="1">
      <c r="A745" s="13" t="inlineStr">
        <is>
          <t>North Dakota</t>
        </is>
      </c>
      <c r="B745" s="4" t="inlineStr">
        <is>
          <t>News</t>
        </is>
      </c>
      <c r="C745" s="4" t="inlineStr">
        <is>
          <t>northdakotamonitor.com</t>
        </is>
      </c>
      <c r="D745" s="15" t="inlineStr">
        <is>
          <t>northdakotamonitor.com</t>
        </is>
      </c>
      <c r="E745" s="4" t="n"/>
      <c r="F745" s="4" t="n"/>
      <c r="G745" s="4" t="inlineStr">
        <is>
          <t>https://northdakotamonitor.com/?p=17847</t>
        </is>
      </c>
    </row>
    <row r="746" ht="30" customHeight="1">
      <c r="A746" s="13" t="inlineStr">
        <is>
          <t>North Dakota</t>
        </is>
      </c>
      <c r="B746" s="4" t="inlineStr">
        <is>
          <t>News</t>
        </is>
      </c>
      <c r="C746" s="4" t="inlineStr">
        <is>
          <t>northdakotamonitor.com</t>
        </is>
      </c>
      <c r="D746" s="15" t="inlineStr">
        <is>
          <t>northdakotamonitor.com</t>
        </is>
      </c>
      <c r="E746" s="4" t="n"/>
      <c r="F746" s="4" t="n"/>
      <c r="G746" s="4" t="inlineStr">
        <is>
          <t>https://northdakotamonitor.com/?p=7039</t>
        </is>
      </c>
    </row>
    <row r="747" ht="34" customHeight="1">
      <c r="A747" s="13" t="inlineStr">
        <is>
          <t>North Dakota</t>
        </is>
      </c>
      <c r="B747" s="4" t="inlineStr">
        <is>
          <t>News</t>
        </is>
      </c>
      <c r="C747" s="4" t="inlineStr">
        <is>
          <t>gigafact.org</t>
        </is>
      </c>
      <c r="D747" s="15" t="inlineStr">
        <is>
          <t>Did every single county in North Dakota vote against a ban on property taxes in 2024?</t>
        </is>
      </c>
      <c r="E747" s="4" t="inlineStr">
        <is>
          <t>2026-04-02</t>
        </is>
      </c>
      <c r="F747" s="4" t="n"/>
      <c r="G747" s="4" t="inlineStr">
        <is>
          <t>https://gigafact.org/fact-briefs/did-every-single-county-in-north-dakota-vote-against-a-ban-on-property-taxes-in-2024/</t>
        </is>
      </c>
    </row>
    <row r="748" ht="30" customHeight="1">
      <c r="A748" s="13" t="inlineStr">
        <is>
          <t>North Dakota</t>
        </is>
      </c>
      <c r="B748" s="4" t="inlineStr">
        <is>
          <t>Research &amp; associations</t>
        </is>
      </c>
      <c r="C748" s="4" t="inlineStr">
        <is>
          <t>lincolninst.edu</t>
        </is>
      </c>
      <c r="D748" s="15" t="inlineStr">
        <is>
          <t>truth in taxation 2024.xlsx</t>
        </is>
      </c>
      <c r="E748" s="4" t="n"/>
      <c r="F748" s="4" t="inlineStr">
        <is>
          <t>DE, GA, IA, IL, KY, MD, MI, MN, MO, NC, NE, NM, NV, NY, OH, OK, OR, PA, RI, TN, TX, UT, VA, VT, WV, WY</t>
        </is>
      </c>
      <c r="G748" s="4" t="inlineStr">
        <is>
          <t>https://www.lincolninst.edu/app/uploads/2024/10/truth_in_taxation_2024.xlsx</t>
        </is>
      </c>
    </row>
    <row r="749" ht="30" customHeight="1">
      <c r="A749" s="13" t="inlineStr">
        <is>
          <t>North Dakota</t>
        </is>
      </c>
      <c r="B749" s="4" t="inlineStr">
        <is>
          <t>Federal government &amp; data</t>
        </is>
      </c>
      <c r="C749" s="4" t="inlineStr">
        <is>
          <t>www2.census.gov</t>
        </is>
      </c>
      <c r="D749" s="15" t="inlineStr">
        <is>
          <t>22slsstab1.xlsx</t>
        </is>
      </c>
      <c r="E749" s="4" t="n"/>
      <c r="F749" s="4" t="inlineStr">
        <is>
          <t>AL, AR, IA, KS, KY, LA, MA, MD, ME, MI, MN, MO, MS, MT, NC, NE, NH, NJ, NM, NV, NY, OH, OK, OR, PA, RI, SC, SD, TN, TX, UT, VA, VT, WA, WI, WV, WY</t>
        </is>
      </c>
      <c r="G749" s="4" t="inlineStr">
        <is>
          <t>https://www2.census.gov/programs-surveys/gov-finances/tables/2022/22slsstab1.xlsx</t>
        </is>
      </c>
    </row>
    <row r="750" ht="30" customHeight="1">
      <c r="A750" s="13" t="inlineStr">
        <is>
          <t>North Dakota</t>
        </is>
      </c>
      <c r="B750" s="4" t="inlineStr">
        <is>
          <t>Free-market groups &amp; GOP caucuses</t>
        </is>
      </c>
      <c r="C750" s="4" t="inlineStr">
        <is>
          <t>roughriderinstitute.org</t>
        </is>
      </c>
      <c r="D750" s="15" t="inlineStr">
        <is>
          <t>ND Legislature Hits Home Stretch</t>
        </is>
      </c>
      <c r="E750" s="4" t="n"/>
      <c r="F750" s="4" t="n"/>
      <c r="G750" s="4" t="inlineStr">
        <is>
          <t>https://roughriderinstitute.org/nd-legislature-hits-home-stretch/</t>
        </is>
      </c>
    </row>
    <row r="751" ht="30" customHeight="1">
      <c r="A751" s="13" t="inlineStr">
        <is>
          <t>North Dakota</t>
        </is>
      </c>
      <c r="B751" s="4" t="inlineStr">
        <is>
          <t>Free-market groups &amp; GOP caucuses</t>
        </is>
      </c>
      <c r="C751" s="4" t="inlineStr">
        <is>
          <t>taxfoundation.org</t>
        </is>
      </c>
      <c r="D751" s="15" t="inlineStr">
        <is>
          <t>North Dakota’s Property Tax Reform Proposals: A Three-Part Approach</t>
        </is>
      </c>
      <c r="E751" s="4" t="inlineStr">
        <is>
          <t>2025-04-09</t>
        </is>
      </c>
      <c r="F751" s="4" t="n"/>
      <c r="G751" s="4" t="inlineStr">
        <is>
          <t>https://taxfoundation.org/blog/north-dakota-property-tax-relief-reform/</t>
        </is>
      </c>
    </row>
    <row r="752" ht="30" customHeight="1">
      <c r="A752" s="13" t="inlineStr">
        <is>
          <t>North Dakota</t>
        </is>
      </c>
      <c r="B752" s="4" t="inlineStr">
        <is>
          <t>Free-market groups &amp; GOP caucuses</t>
        </is>
      </c>
      <c r="C752" s="4" t="inlineStr">
        <is>
          <t>taxfoundation.org</t>
        </is>
      </c>
      <c r="D752" s="15" t="inlineStr">
        <is>
          <t>North Dakota Considers Eliminating Property Taxes</t>
        </is>
      </c>
      <c r="E752" s="4" t="inlineStr">
        <is>
          <t>2024-09-04</t>
        </is>
      </c>
      <c r="F752" s="4" t="n"/>
      <c r="G752" s="4" t="inlineStr">
        <is>
          <t>https://taxfoundation.org/blog/north-dakota-property-tax-ballot-measure/</t>
        </is>
      </c>
    </row>
    <row r="753" ht="30" customHeight="1">
      <c r="A753" s="13" t="inlineStr">
        <is>
          <t>North Dakota</t>
        </is>
      </c>
      <c r="B753" s="4" t="inlineStr">
        <is>
          <t>State government</t>
        </is>
      </c>
      <c r="C753" s="4" t="inlineStr">
        <is>
          <t>tax.nd.gov</t>
        </is>
      </c>
      <c r="D753" s="15" t="inlineStr">
        <is>
          <t>Property Tax Credits for North Dakota Homeowners and Renters</t>
        </is>
      </c>
      <c r="E753" s="4" t="inlineStr">
        <is>
          <t>2026</t>
        </is>
      </c>
      <c r="F753" s="4" t="n"/>
      <c r="G753" s="4" t="inlineStr">
        <is>
          <t>https://www.tax.nd.gov/sites/www/files/documents/guidelines/homestead-veterans-renters/credits-for-nd-homeowners-renters-guideline.pdf</t>
        </is>
      </c>
    </row>
    <row r="754" ht="30" customHeight="1">
      <c r="A754" s="13" t="inlineStr">
        <is>
          <t>North Dakota</t>
        </is>
      </c>
      <c r="B754" s="4" t="inlineStr">
        <is>
          <t>Local government</t>
        </is>
      </c>
      <c r="C754" s="4" t="inlineStr">
        <is>
          <t>download.fargond.gov</t>
        </is>
      </c>
      <c r="D754" s="15" t="inlineStr">
        <is>
          <t>PowerPoint Presentation (preliminary budget presentation.pdf)</t>
        </is>
      </c>
      <c r="E754" s="4" t="n"/>
      <c r="F754" s="4" t="n"/>
      <c r="G754" s="4" t="inlineStr">
        <is>
          <t>https://download.fargond.gov/0/preliminary_budget_presentation.pdf</t>
        </is>
      </c>
    </row>
    <row r="755" ht="30" customHeight="1">
      <c r="A755" s="13" t="inlineStr">
        <is>
          <t>North Dakota</t>
        </is>
      </c>
      <c r="B755" s="4" t="inlineStr">
        <is>
          <t>News</t>
        </is>
      </c>
      <c r="C755" s="4" t="inlineStr">
        <is>
          <t>kfyrtv.com</t>
        </is>
      </c>
      <c r="D755" s="15" t="inlineStr">
        <is>
          <t>Bismarck City Commission approves final 2026 budget</t>
        </is>
      </c>
      <c r="E755" s="4" t="inlineStr">
        <is>
          <t>2025-09-11</t>
        </is>
      </c>
      <c r="F755" s="4" t="n"/>
      <c r="G755" s="4" t="inlineStr">
        <is>
          <t>https://www.kfyrtv.com/2025/09/11/bismarck-city-commission-approves-final-2026-budget/</t>
        </is>
      </c>
    </row>
    <row r="756" ht="30" customHeight="1">
      <c r="A756" s="13" t="inlineStr">
        <is>
          <t>North Dakota</t>
        </is>
      </c>
      <c r="B756" s="4" t="inlineStr">
        <is>
          <t>State government</t>
        </is>
      </c>
      <c r="C756" s="4" t="inlineStr">
        <is>
          <t>omb.nd.gov</t>
        </is>
      </c>
      <c r="D756" s="15" t="inlineStr">
        <is>
          <t>Author: Morrissette, Joe R.</t>
        </is>
      </c>
      <c r="E756" s="4" t="inlineStr">
        <is>
          <t>2025</t>
        </is>
      </c>
      <c r="F756" s="4" t="n"/>
      <c r="G756" s="4" t="inlineStr">
        <is>
          <t>https://www.omb.nd.gov/sites/www/files/documents/news/HB%201176%20City%20of%20Bismarck_%20August%202025.pdf</t>
        </is>
      </c>
    </row>
    <row r="757" ht="30" customHeight="1">
      <c r="A757" s="13" t="inlineStr">
        <is>
          <t>Ohio</t>
        </is>
      </c>
      <c r="B757" s="4" t="inlineStr">
        <is>
          <t>Constitution &amp; statutes</t>
        </is>
      </c>
      <c r="C757" s="4" t="inlineStr">
        <is>
          <t>codes.ohio.gov</t>
        </is>
      </c>
      <c r="D757" s="15" t="inlineStr">
        <is>
          <t>Article XII, Section 2 - Ohio Constitution</t>
        </is>
      </c>
      <c r="E757" s="4" t="n"/>
      <c r="F757" s="4" t="n"/>
      <c r="G757" s="4" t="inlineStr">
        <is>
          <t>https://codes.ohio.gov/ohio-constitution/section-12.2</t>
        </is>
      </c>
    </row>
    <row r="758" ht="30" customHeight="1">
      <c r="A758" s="13" t="inlineStr">
        <is>
          <t>Ohio</t>
        </is>
      </c>
      <c r="B758" s="4" t="inlineStr">
        <is>
          <t>Bills &amp; legislative documents</t>
        </is>
      </c>
      <c r="C758" s="4" t="inlineStr">
        <is>
          <t>codes.ohio.gov</t>
        </is>
      </c>
      <c r="D758" s="15" t="inlineStr">
        <is>
          <t>Section 5705.02 - Ohio Revised Code</t>
        </is>
      </c>
      <c r="E758" s="4" t="n"/>
      <c r="F758" s="4" t="n"/>
      <c r="G758" s="4" t="inlineStr">
        <is>
          <t>https://codes.ohio.gov/ohio-revised-code/section-5705.02</t>
        </is>
      </c>
    </row>
    <row r="759" ht="30" customHeight="1">
      <c r="A759" s="13" t="inlineStr">
        <is>
          <t>Ohio</t>
        </is>
      </c>
      <c r="B759" s="4" t="inlineStr">
        <is>
          <t>Bills &amp; legislative documents</t>
        </is>
      </c>
      <c r="C759" s="4" t="inlineStr">
        <is>
          <t>codes.ohio.gov</t>
        </is>
      </c>
      <c r="D759" s="15" t="inlineStr">
        <is>
          <t>Section 319.301 - Ohio Revised Code</t>
        </is>
      </c>
      <c r="E759" s="4" t="n"/>
      <c r="F759" s="4" t="n"/>
      <c r="G759" s="4" t="inlineStr">
        <is>
          <t>https://codes.ohio.gov/ohio-revised-code/section-319.301</t>
        </is>
      </c>
    </row>
    <row r="760" ht="30" customHeight="1">
      <c r="A760" s="13" t="inlineStr">
        <is>
          <t>Ohio</t>
        </is>
      </c>
      <c r="B760" s="4" t="inlineStr">
        <is>
          <t>Bills &amp; legislative documents</t>
        </is>
      </c>
      <c r="C760" s="4" t="inlineStr">
        <is>
          <t>codes.ohio.gov</t>
        </is>
      </c>
      <c r="D760" s="15" t="inlineStr">
        <is>
          <t>Section 319.302 - Ohio Revised Code</t>
        </is>
      </c>
      <c r="E760" s="4" t="n"/>
      <c r="F760" s="4" t="n"/>
      <c r="G760" s="4" t="inlineStr">
        <is>
          <t>https://codes.ohio.gov/ohio-revised-code/section-319.302</t>
        </is>
      </c>
    </row>
    <row r="761" ht="30" customHeight="1">
      <c r="A761" s="13" t="inlineStr">
        <is>
          <t>Ohio</t>
        </is>
      </c>
      <c r="B761" s="4" t="inlineStr">
        <is>
          <t>Bills &amp; legislative documents</t>
        </is>
      </c>
      <c r="C761" s="4" t="inlineStr">
        <is>
          <t>codes.ohio.gov</t>
        </is>
      </c>
      <c r="D761" s="15" t="inlineStr">
        <is>
          <t>Section 323.152 - Ohio Revised Code</t>
        </is>
      </c>
      <c r="E761" s="4" t="n"/>
      <c r="F761" s="4" t="n"/>
      <c r="G761" s="4" t="inlineStr">
        <is>
          <t>https://codes.ohio.gov/ohio-revised-code/section-323.152</t>
        </is>
      </c>
    </row>
    <row r="762" ht="30" customHeight="1">
      <c r="A762" s="13" t="inlineStr">
        <is>
          <t>Ohio</t>
        </is>
      </c>
      <c r="B762" s="4" t="inlineStr">
        <is>
          <t>Bills &amp; legislative documents</t>
        </is>
      </c>
      <c r="C762" s="4" t="inlineStr">
        <is>
          <t>codes.ohio.gov</t>
        </is>
      </c>
      <c r="D762" s="15" t="inlineStr">
        <is>
          <t>Section 5705.316 - Ohio Revised Code</t>
        </is>
      </c>
      <c r="E762" s="4" t="n"/>
      <c r="F762" s="4" t="n"/>
      <c r="G762" s="4" t="inlineStr">
        <is>
          <t>https://codes.ohio.gov/ohio-revised-code/section-5705.316</t>
        </is>
      </c>
    </row>
    <row r="763" ht="30" customHeight="1">
      <c r="A763" s="13" t="inlineStr">
        <is>
          <t>Ohio</t>
        </is>
      </c>
      <c r="B763" s="4" t="inlineStr">
        <is>
          <t>Bills &amp; legislative documents</t>
        </is>
      </c>
      <c r="C763" s="4" t="inlineStr">
        <is>
          <t>codes.ohio.gov</t>
        </is>
      </c>
      <c r="D763" s="15" t="inlineStr">
        <is>
          <t>Section 5705.32 - Ohio Revised Code</t>
        </is>
      </c>
      <c r="E763" s="4" t="n"/>
      <c r="F763" s="4" t="n"/>
      <c r="G763" s="4" t="inlineStr">
        <is>
          <t>https://codes.ohio.gov/ohio-revised-code/section-5705.32</t>
        </is>
      </c>
    </row>
    <row r="764" ht="30" customHeight="1">
      <c r="A764" s="13" t="inlineStr">
        <is>
          <t>Ohio</t>
        </is>
      </c>
      <c r="B764" s="4" t="inlineStr">
        <is>
          <t>Bills &amp; legislative documents</t>
        </is>
      </c>
      <c r="C764" s="4" t="inlineStr">
        <is>
          <t>codes.ohio.gov</t>
        </is>
      </c>
      <c r="D764" s="15" t="inlineStr">
        <is>
          <t>Section 5705.60 - Ohio Revised Code</t>
        </is>
      </c>
      <c r="E764" s="4" t="n"/>
      <c r="F764" s="4" t="n"/>
      <c r="G764" s="4" t="inlineStr">
        <is>
          <t>https://codes.ohio.gov/ohio-revised-code/section-5705.60</t>
        </is>
      </c>
    </row>
    <row r="765" ht="30" customHeight="1">
      <c r="A765" s="13" t="inlineStr">
        <is>
          <t>Ohio</t>
        </is>
      </c>
      <c r="B765" s="4" t="inlineStr">
        <is>
          <t>Bills &amp; legislative documents</t>
        </is>
      </c>
      <c r="C765" s="4" t="inlineStr">
        <is>
          <t>codes.ohio.gov</t>
        </is>
      </c>
      <c r="D765" s="15" t="inlineStr">
        <is>
          <t>Section 5705.194 - Ohio Revised Code</t>
        </is>
      </c>
      <c r="E765" s="4" t="n"/>
      <c r="F765" s="4" t="n"/>
      <c r="G765" s="4" t="inlineStr">
        <is>
          <t>https://codes.ohio.gov/ohio-revised-code/section-5705.194</t>
        </is>
      </c>
    </row>
    <row r="766" ht="30" customHeight="1">
      <c r="A766" s="13" t="inlineStr">
        <is>
          <t>Ohio</t>
        </is>
      </c>
      <c r="B766" s="4" t="inlineStr">
        <is>
          <t>Bills &amp; legislative documents</t>
        </is>
      </c>
      <c r="C766" s="4" t="inlineStr">
        <is>
          <t>codes.ohio.gov</t>
        </is>
      </c>
      <c r="D766" s="15" t="inlineStr">
        <is>
          <t>Section 5705.197 - Ohio Revised Code</t>
        </is>
      </c>
      <c r="E766" s="4" t="n"/>
      <c r="F766" s="4" t="n"/>
      <c r="G766" s="4" t="inlineStr">
        <is>
          <t>https://codes.ohio.gov/ohio-revised-code/section-5705.197</t>
        </is>
      </c>
    </row>
    <row r="767" ht="30" customHeight="1">
      <c r="A767" s="13" t="inlineStr">
        <is>
          <t>Ohio</t>
        </is>
      </c>
      <c r="B767" s="4" t="inlineStr">
        <is>
          <t>Bills &amp; legislative documents</t>
        </is>
      </c>
      <c r="C767" s="4" t="inlineStr">
        <is>
          <t>codes.ohio.gov</t>
        </is>
      </c>
      <c r="D767" s="15" t="inlineStr">
        <is>
          <t>Section 5705.199 - Ohio Revised Code</t>
        </is>
      </c>
      <c r="E767" s="4" t="n"/>
      <c r="F767" s="4" t="n"/>
      <c r="G767" s="4" t="inlineStr">
        <is>
          <t>https://codes.ohio.gov/ohio-revised-code/section-5705.199</t>
        </is>
      </c>
    </row>
    <row r="768" ht="30" customHeight="1">
      <c r="A768" s="13" t="inlineStr">
        <is>
          <t>Ohio</t>
        </is>
      </c>
      <c r="B768" s="4" t="inlineStr">
        <is>
          <t>Bills &amp; legislative documents</t>
        </is>
      </c>
      <c r="C768" s="4" t="inlineStr">
        <is>
          <t>codes.ohio.gov</t>
        </is>
      </c>
      <c r="D768" s="15" t="inlineStr">
        <is>
          <t>Section 5705.19 - Ohio Revised Code</t>
        </is>
      </c>
      <c r="E768" s="4" t="n"/>
      <c r="F768" s="4" t="n"/>
      <c r="G768" s="4" t="inlineStr">
        <is>
          <t>https://codes.ohio.gov/ohio-revised-code/section-5705.19</t>
        </is>
      </c>
    </row>
    <row r="769" ht="30" customHeight="1">
      <c r="A769" s="13" t="inlineStr">
        <is>
          <t>Ohio</t>
        </is>
      </c>
      <c r="B769" s="4" t="inlineStr">
        <is>
          <t>Bills &amp; legislative documents</t>
        </is>
      </c>
      <c r="C769" s="4" t="inlineStr">
        <is>
          <t>codes.ohio.gov</t>
        </is>
      </c>
      <c r="D769" s="15" t="inlineStr">
        <is>
          <t>Section 5705.21 - Ohio Revised Code</t>
        </is>
      </c>
      <c r="E769" s="4" t="n"/>
      <c r="F769" s="4" t="n"/>
      <c r="G769" s="4" t="inlineStr">
        <is>
          <t>https://codes.ohio.gov/ohio-revised-code/section-5705.21</t>
        </is>
      </c>
    </row>
    <row r="770" ht="30" customHeight="1">
      <c r="A770" s="13" t="inlineStr">
        <is>
          <t>Ohio</t>
        </is>
      </c>
      <c r="B770" s="4" t="inlineStr">
        <is>
          <t>Bills &amp; legislative documents</t>
        </is>
      </c>
      <c r="C770" s="4" t="inlineStr">
        <is>
          <t>codes.ohio.gov</t>
        </is>
      </c>
      <c r="D770" s="15" t="inlineStr">
        <is>
          <t>Section 5705.10 - Ohio Revised Code</t>
        </is>
      </c>
      <c r="E770" s="4" t="n"/>
      <c r="F770" s="4" t="n"/>
      <c r="G770" s="4" t="inlineStr">
        <is>
          <t>https://codes.ohio.gov/ohio-revised-code/section-5705.10</t>
        </is>
      </c>
    </row>
    <row r="771" ht="30" customHeight="1">
      <c r="A771" s="13" t="inlineStr">
        <is>
          <t>Ohio</t>
        </is>
      </c>
      <c r="B771" s="4" t="inlineStr">
        <is>
          <t>Bills &amp; legislative documents</t>
        </is>
      </c>
      <c r="C771" s="4" t="inlineStr">
        <is>
          <t>codes.ohio.gov</t>
        </is>
      </c>
      <c r="D771" s="15" t="inlineStr">
        <is>
          <t>Section 3501.01 - Ohio Revised Code</t>
        </is>
      </c>
      <c r="E771" s="4" t="n"/>
      <c r="F771" s="4" t="n"/>
      <c r="G771" s="4" t="inlineStr">
        <is>
          <t>https://codes.ohio.gov/ohio-revised-code/section-3501.01</t>
        </is>
      </c>
    </row>
    <row r="772" ht="30" customHeight="1">
      <c r="A772" s="13" t="inlineStr">
        <is>
          <t>Ohio</t>
        </is>
      </c>
      <c r="B772" s="4" t="inlineStr">
        <is>
          <t>Bills &amp; legislative documents</t>
        </is>
      </c>
      <c r="C772" s="4" t="inlineStr">
        <is>
          <t>codes.ohio.gov</t>
        </is>
      </c>
      <c r="D772" s="15" t="inlineStr">
        <is>
          <t>Section 3501.022 - Ohio Revised Code</t>
        </is>
      </c>
      <c r="E772" s="4" t="n"/>
      <c r="F772" s="4" t="n"/>
      <c r="G772" s="4" t="inlineStr">
        <is>
          <t>https://codes.ohio.gov/ohio-revised-code/section-3501.022</t>
        </is>
      </c>
    </row>
    <row r="773" ht="30" customHeight="1">
      <c r="A773" s="13" t="inlineStr">
        <is>
          <t>Ohio</t>
        </is>
      </c>
      <c r="B773" s="4" t="inlineStr">
        <is>
          <t>Bills &amp; legislative documents</t>
        </is>
      </c>
      <c r="C773" s="4" t="inlineStr">
        <is>
          <t>codes.ohio.gov</t>
        </is>
      </c>
      <c r="D773" s="15" t="inlineStr">
        <is>
          <t>Section 5748.02 - Ohio Revised Code</t>
        </is>
      </c>
      <c r="E773" s="4" t="n"/>
      <c r="F773" s="4" t="n"/>
      <c r="G773" s="4" t="inlineStr">
        <is>
          <t>https://codes.ohio.gov/ohio-revised-code/section-5748.02</t>
        </is>
      </c>
    </row>
    <row r="774" ht="30" customHeight="1">
      <c r="A774" s="13" t="inlineStr">
        <is>
          <t>Ohio</t>
        </is>
      </c>
      <c r="B774" s="4" t="inlineStr">
        <is>
          <t>Bills &amp; legislative documents</t>
        </is>
      </c>
      <c r="C774" s="4" t="inlineStr">
        <is>
          <t>codes.ohio.gov</t>
        </is>
      </c>
      <c r="D774" s="15" t="inlineStr">
        <is>
          <t>Section 1313.36 - Ohio Revised Code</t>
        </is>
      </c>
      <c r="E774" s="4" t="n"/>
      <c r="F774" s="4" t="n"/>
      <c r="G774" s="4" t="inlineStr">
        <is>
          <t>https://codes.ohio.gov/ohio-revised-code/section-1313.36</t>
        </is>
      </c>
    </row>
    <row r="775" ht="30" customHeight="1">
      <c r="A775" s="13" t="inlineStr">
        <is>
          <t>Ohio</t>
        </is>
      </c>
      <c r="B775" s="4" t="inlineStr">
        <is>
          <t>Bills &amp; legislative documents</t>
        </is>
      </c>
      <c r="C775" s="4" t="inlineStr">
        <is>
          <t>search-prod.lis.state.oh.us</t>
        </is>
      </c>
      <c r="D775" s="15" t="inlineStr">
        <is>
          <t>hb186 07 EN html</t>
        </is>
      </c>
      <c r="E775" s="4" t="n"/>
      <c r="F775" s="4" t="n"/>
      <c r="G775" s="4" t="inlineStr">
        <is>
          <t>https://search-prod.lis.state.oh.us/api/v2/general_assembly_136/legislation/hb186/07_EN/html/</t>
        </is>
      </c>
    </row>
    <row r="776" ht="30" customHeight="1">
      <c r="A776" s="13" t="inlineStr">
        <is>
          <t>Ohio</t>
        </is>
      </c>
      <c r="B776" s="4" t="inlineStr">
        <is>
          <t>Bills &amp; legislative documents</t>
        </is>
      </c>
      <c r="C776" s="4" t="inlineStr">
        <is>
          <t>search-prod.lis.state.oh.us</t>
        </is>
      </c>
      <c r="D776" s="15" t="inlineStr">
        <is>
          <t>OHIO LEGISLATIVE SERVICE COMMISSION www.lsc.ohio.gov (analysis)</t>
        </is>
      </c>
      <c r="E776" s="4" t="inlineStr">
        <is>
          <t>2026</t>
        </is>
      </c>
      <c r="F776" s="4" t="n"/>
      <c r="G776" s="4" t="inlineStr">
        <is>
          <t>https://search-prod.lis.state.oh.us/api/v2/general_assembly_136/legislation/hb186/07_EN/attachments/analysis</t>
        </is>
      </c>
    </row>
    <row r="777" ht="30" customHeight="1">
      <c r="A777" s="13" t="inlineStr">
        <is>
          <t>Ohio</t>
        </is>
      </c>
      <c r="B777" s="4" t="inlineStr">
        <is>
          <t>Bills &amp; legislative documents</t>
        </is>
      </c>
      <c r="C777" s="4" t="inlineStr">
        <is>
          <t>search-prod.lis.state.oh.us</t>
        </is>
      </c>
      <c r="D777" s="15" t="inlineStr">
        <is>
          <t>OHIO LEGISLATIVE SERVICE COMMISSION www.lsc.ohio.gov (analysis)</t>
        </is>
      </c>
      <c r="E777" s="4" t="inlineStr">
        <is>
          <t>2026</t>
        </is>
      </c>
      <c r="F777" s="4" t="n"/>
      <c r="G777" s="4" t="inlineStr">
        <is>
          <t>https://search-prod.lis.state.oh.us/api/v2/general_assembly_136/legislation/hb335/05_EN/attachments/analysis</t>
        </is>
      </c>
    </row>
    <row r="778" ht="30" customHeight="1">
      <c r="A778" s="13" t="inlineStr">
        <is>
          <t>Ohio</t>
        </is>
      </c>
      <c r="B778" s="4" t="inlineStr">
        <is>
          <t>Bills &amp; legislative documents</t>
        </is>
      </c>
      <c r="C778" s="4" t="inlineStr">
        <is>
          <t>search-prod.lis.state.oh.us</t>
        </is>
      </c>
      <c r="D778" s="15" t="inlineStr">
        <is>
          <t>OHIO LEGISLATIVE SERVICE COMMISSION www.lsc.ohio.gov (analysis)</t>
        </is>
      </c>
      <c r="E778" s="4" t="inlineStr">
        <is>
          <t>2026</t>
        </is>
      </c>
      <c r="F778" s="4" t="n"/>
      <c r="G778" s="4" t="inlineStr">
        <is>
          <t>https://search-prod.lis.state.oh.us/api/v2/general_assembly_136/legislation/hb309/05_EN/attachments/analysis</t>
        </is>
      </c>
    </row>
    <row r="779" ht="30" customHeight="1">
      <c r="A779" s="13" t="inlineStr">
        <is>
          <t>Ohio</t>
        </is>
      </c>
      <c r="B779" s="4" t="inlineStr">
        <is>
          <t>Bills &amp; legislative documents</t>
        </is>
      </c>
      <c r="C779" s="4" t="inlineStr">
        <is>
          <t>search-prod.lis.state.oh.us</t>
        </is>
      </c>
      <c r="D779" s="15" t="inlineStr">
        <is>
          <t>OHIO LEGISLATIVE SERVICE COMMISSION www.lsc.ohio.gov (analysis)</t>
        </is>
      </c>
      <c r="E779" s="4" t="inlineStr">
        <is>
          <t>2026</t>
        </is>
      </c>
      <c r="F779" s="4" t="n"/>
      <c r="G779" s="4" t="inlineStr">
        <is>
          <t>https://search-prod.lis.state.oh.us/api/v2/general_assembly_136/legislation/hb129/05_EN/attachments/analysis</t>
        </is>
      </c>
    </row>
    <row r="780" ht="30" customHeight="1">
      <c r="A780" s="13" t="inlineStr">
        <is>
          <t>Ohio</t>
        </is>
      </c>
      <c r="B780" s="4" t="inlineStr">
        <is>
          <t>Bills &amp; legislative documents</t>
        </is>
      </c>
      <c r="C780" s="4" t="inlineStr">
        <is>
          <t>search-prod.lis.state.oh.us</t>
        </is>
      </c>
      <c r="D780" s="15" t="inlineStr">
        <is>
          <t>H.B. 479 analysis</t>
        </is>
      </c>
      <c r="E780" s="4" t="inlineStr">
        <is>
          <t>2026</t>
        </is>
      </c>
      <c r="F780" s="4" t="n"/>
      <c r="G780" s="4" t="inlineStr">
        <is>
          <t>https://search-prod.lis.state.oh.us/api/v2/general_assembly_136/legislation/hb479/07_EN/attachments/analysis</t>
        </is>
      </c>
    </row>
    <row r="781" ht="30" customHeight="1">
      <c r="A781" s="13" t="inlineStr">
        <is>
          <t>Ohio</t>
        </is>
      </c>
      <c r="B781" s="4" t="inlineStr">
        <is>
          <t>Bills &amp; legislative documents</t>
        </is>
      </c>
      <c r="C781" s="4" t="inlineStr">
        <is>
          <t>search-prod.lis.state.oh.us</t>
        </is>
      </c>
      <c r="D781" s="15" t="inlineStr">
        <is>
          <t>hb96 07 EN html</t>
        </is>
      </c>
      <c r="E781" s="4" t="n"/>
      <c r="F781" s="4" t="n"/>
      <c r="G781" s="4" t="inlineStr">
        <is>
          <t>https://search-prod.lis.state.oh.us/api/v2/general_assembly_136/legislation/hb96/07_EN/html/</t>
        </is>
      </c>
    </row>
    <row r="782" ht="30" customHeight="1">
      <c r="A782" s="13" t="inlineStr">
        <is>
          <t>Ohio</t>
        </is>
      </c>
      <c r="B782" s="4" t="inlineStr">
        <is>
          <t>Research &amp; associations</t>
        </is>
      </c>
      <c r="C782" s="4" t="inlineStr">
        <is>
          <t>ohioschoolboards.org</t>
        </is>
      </c>
      <c r="D782" s="15" t="inlineStr">
        <is>
          <t>Fleeter Joint Property Tax Committee Testimony 5-8-24 Final</t>
        </is>
      </c>
      <c r="E782" s="4" t="inlineStr">
        <is>
          <t>2024</t>
        </is>
      </c>
      <c r="F782" s="4" t="n"/>
      <c r="G782" s="4" t="inlineStr">
        <is>
          <t>https://ohioschoolboards.org/sites/default/files/uploads/Fleeter_Joint_Property_Tax_Committee_Testimony_5-8-24_Final.pdf</t>
        </is>
      </c>
    </row>
    <row r="783" ht="30" customHeight="1">
      <c r="A783" s="13" t="inlineStr">
        <is>
          <t>Ohio</t>
        </is>
      </c>
      <c r="B783" s="4" t="inlineStr">
        <is>
          <t>Research &amp; associations</t>
        </is>
      </c>
      <c r="C783" s="4" t="inlineStr">
        <is>
          <t>ohioschoolboards.org</t>
        </is>
      </c>
      <c r="D783" s="15" t="inlineStr">
        <is>
          <t>Ohio School Boards Association 8050 North High Street, Suite 100</t>
        </is>
      </c>
      <c r="E783" s="4" t="inlineStr">
        <is>
          <t>2025</t>
        </is>
      </c>
      <c r="F783" s="4" t="n"/>
      <c r="G783" s="4" t="inlineStr">
        <is>
          <t>https://www.ohioschoolboards.org/sites/default/files/uploads/MayPrimaryElectionResults_0.pdf</t>
        </is>
      </c>
    </row>
    <row r="784" ht="34" customHeight="1">
      <c r="A784" s="13" t="inlineStr">
        <is>
          <t>Ohio</t>
        </is>
      </c>
      <c r="B784" s="4" t="inlineStr">
        <is>
          <t>News</t>
        </is>
      </c>
      <c r="C784" s="4" t="inlineStr">
        <is>
          <t>wysu.org</t>
        </is>
      </c>
      <c r="D784" s="15" t="inlineStr">
        <is>
          <t>District leaders digging into data after two-thirds of school levies fail across Ohio</t>
        </is>
      </c>
      <c r="E784" s="4" t="inlineStr">
        <is>
          <t>2026-05-09</t>
        </is>
      </c>
      <c r="F784" s="4" t="n"/>
      <c r="G784" s="4" t="inlineStr">
        <is>
          <t>https://wysu.org/ohio-news/2026-05-08/district-leaders-digging-into-data-after-two-thirds-of-school-levies-fail-across-ohio</t>
        </is>
      </c>
    </row>
    <row r="785" ht="30" customHeight="1">
      <c r="A785" s="13" t="inlineStr">
        <is>
          <t>Ohio</t>
        </is>
      </c>
      <c r="B785" s="4" t="inlineStr">
        <is>
          <t>News</t>
        </is>
      </c>
      <c r="C785" s="4" t="inlineStr">
        <is>
          <t>wyso.org</t>
        </is>
      </c>
      <c r="D785" s="15" t="inlineStr">
        <is>
          <t>DeWine signs package of bills aimed at lowering property tax bill spikes in Ohio</t>
        </is>
      </c>
      <c r="E785" s="4" t="inlineStr">
        <is>
          <t>2025-12-20</t>
        </is>
      </c>
      <c r="F785" s="4" t="n"/>
      <c r="G785" s="4" t="inlineStr">
        <is>
          <t>https://www.wyso.org/2025-12-19/dewine-signs-package-of-bills-aimed-at-lowering-property-tax-bill-spikes-in-ohio</t>
        </is>
      </c>
    </row>
    <row r="786" ht="34" customHeight="1">
      <c r="A786" s="13" t="inlineStr">
        <is>
          <t>Ohio</t>
        </is>
      </c>
      <c r="B786" s="4" t="inlineStr">
        <is>
          <t>News</t>
        </is>
      </c>
      <c r="C786" s="4" t="inlineStr">
        <is>
          <t>wysu.org</t>
        </is>
      </c>
      <c r="D786" s="15" t="inlineStr">
        <is>
          <t>Ohio Senate overrides veto, eliminating some kinds of tax levies (ohio-senate-overrides-veto-eliminating-some-kinds-of-tax-levies)</t>
        </is>
      </c>
      <c r="E786" s="4" t="inlineStr">
        <is>
          <t>2025-10-01</t>
        </is>
      </c>
      <c r="F786" s="4" t="n"/>
      <c r="G786" s="4" t="inlineStr">
        <is>
          <t>https://wysu.org/ohio-news/2025-10-01/ohio-senate-overrides-veto-eliminating-some-kinds-of-tax-levies</t>
        </is>
      </c>
    </row>
    <row r="787" ht="30" customHeight="1">
      <c r="A787" s="13" t="inlineStr">
        <is>
          <t>Ohio</t>
        </is>
      </c>
      <c r="B787" s="4" t="inlineStr">
        <is>
          <t>News</t>
        </is>
      </c>
      <c r="C787" s="4" t="inlineStr">
        <is>
          <t>vindy.com</t>
        </is>
      </c>
      <c r="D787" s="15" t="inlineStr">
        <is>
          <t>Senate overrides governor’s veto on levy issues</t>
        </is>
      </c>
      <c r="E787" s="4" t="n"/>
      <c r="F787" s="4" t="n"/>
      <c r="G787" s="4" t="inlineStr">
        <is>
          <t>https://www.vindy.com/news/local-news/2025/10/senate-overrides-governors-veto-on-levy-issues</t>
        </is>
      </c>
    </row>
    <row r="788" ht="30" customHeight="1">
      <c r="A788" s="13" t="inlineStr">
        <is>
          <t>Ohio</t>
        </is>
      </c>
      <c r="B788" s="4" t="inlineStr">
        <is>
          <t>News</t>
        </is>
      </c>
      <c r="C788" s="4" t="inlineStr">
        <is>
          <t>wysu.org</t>
        </is>
      </c>
      <c r="D788" s="15" t="inlineStr">
        <is>
          <t>Ohio officials fear steep surge in sales taxes if property taxes abolished</t>
        </is>
      </c>
      <c r="E788" s="4" t="inlineStr">
        <is>
          <t>2026-02-11</t>
        </is>
      </c>
      <c r="F788" s="4" t="n"/>
      <c r="G788" s="4" t="inlineStr">
        <is>
          <t>https://wysu.org/ohio-news/2026-02-11/state-officials-fear-steep-surge-in-sales-taxes-if-property-taxes-abolished</t>
        </is>
      </c>
    </row>
    <row r="789" ht="34" customHeight="1">
      <c r="A789" s="13" t="inlineStr">
        <is>
          <t>Ohio</t>
        </is>
      </c>
      <c r="B789" s="4" t="inlineStr">
        <is>
          <t>News</t>
        </is>
      </c>
      <c r="C789" s="4" t="inlineStr">
        <is>
          <t>news5cleveland.com</t>
        </is>
      </c>
      <c r="D789" s="15" t="inlineStr">
        <is>
          <t>Constitutional amendment to eliminate property taxes in Ohio will not appear on November ballot</t>
        </is>
      </c>
      <c r="E789" s="4" t="inlineStr">
        <is>
          <t>2026-06-05</t>
        </is>
      </c>
      <c r="F789" s="4" t="n"/>
      <c r="G789" s="4" t="inlineStr">
        <is>
          <t>https://www.news5cleveland.com/news/politics/ohio-politics/constitutional-amendment-to-eliminate-property-taxes-in-ohio-will-not-appear-on-november-ballot</t>
        </is>
      </c>
    </row>
    <row r="790" ht="30" customHeight="1">
      <c r="A790" s="13" t="inlineStr">
        <is>
          <t>Ohio</t>
        </is>
      </c>
      <c r="B790" s="4" t="inlineStr">
        <is>
          <t>News</t>
        </is>
      </c>
      <c r="C790" s="4" t="inlineStr">
        <is>
          <t>geaugamapleleaf.com</t>
        </is>
      </c>
      <c r="D790" s="15" t="inlineStr">
        <is>
          <t>Property Tax Repeal Effort Fails to Make November Ballot</t>
        </is>
      </c>
      <c r="E790" s="4" t="inlineStr">
        <is>
          <t>2026-06-10</t>
        </is>
      </c>
      <c r="F790" s="4" t="n"/>
      <c r="G790" s="4" t="inlineStr">
        <is>
          <t>https://www.geaugamapleleaf.com/news/property-tax-repeal-effort-fails-to-make-november-ballot/</t>
        </is>
      </c>
    </row>
    <row r="791" ht="30" customHeight="1">
      <c r="A791" s="13" t="inlineStr">
        <is>
          <t>Ohio</t>
        </is>
      </c>
      <c r="B791" s="4" t="inlineStr">
        <is>
          <t>Local government</t>
        </is>
      </c>
      <c r="C791" s="4" t="inlineStr">
        <is>
          <t>auditor.ashtabulacounty.gov</t>
        </is>
      </c>
      <c r="D791" s="15" t="inlineStr">
        <is>
          <t>Homestead Savings and Income Update for 2026</t>
        </is>
      </c>
      <c r="E791" s="4" t="n"/>
      <c r="F791" s="4" t="n"/>
      <c r="G791" s="4" t="inlineStr">
        <is>
          <t>https://auditor.ashtabulacounty.gov/dnn/Announcements/ArtMID/518/ArticleID/1466/Homestead-Savings-and-Income-Update-for-2026</t>
        </is>
      </c>
    </row>
    <row r="792" ht="30" customHeight="1">
      <c r="A792" s="13" t="inlineStr">
        <is>
          <t>Ohio</t>
        </is>
      </c>
      <c r="B792" s="4" t="inlineStr">
        <is>
          <t>Local government</t>
        </is>
      </c>
      <c r="C792" s="4" t="inlineStr">
        <is>
          <t>loraincountyauditor.gov</t>
        </is>
      </c>
      <c r="D792" s="15" t="inlineStr">
        <is>
          <t>Home - County Auditor Website, Lorain County, Ohio</t>
        </is>
      </c>
      <c r="E792" s="4" t="n"/>
      <c r="F792" s="4" t="n"/>
      <c r="G792" s="4" t="inlineStr">
        <is>
          <t>https://loraincountyauditor.gov/homestead-exemption-ohio</t>
        </is>
      </c>
    </row>
    <row r="793" ht="30" customHeight="1">
      <c r="A793" s="13" t="inlineStr">
        <is>
          <t>Ohio</t>
        </is>
      </c>
      <c r="B793" s="4" t="inlineStr">
        <is>
          <t>Free-market groups &amp; GOP caucuses</t>
        </is>
      </c>
      <c r="C793" s="4" t="inlineStr">
        <is>
          <t>taxfoundation.org</t>
        </is>
      </c>
      <c r="D793" s="15" t="inlineStr">
        <is>
          <t>State Tax Ballot Measures to Watch in 2026</t>
        </is>
      </c>
      <c r="E793" s="4" t="inlineStr">
        <is>
          <t>2026-10-07</t>
        </is>
      </c>
      <c r="F793" s="4" t="inlineStr">
        <is>
          <t>AZ, CA, CO, FL, LA</t>
        </is>
      </c>
      <c r="G793" s="4" t="inlineStr">
        <is>
          <t>https://taxfoundation.org/research/state-tax/2026-state-tax-ballot-measures/</t>
        </is>
      </c>
    </row>
    <row r="794" ht="30" customHeight="1">
      <c r="A794" s="13" t="inlineStr">
        <is>
          <t>Ohio</t>
        </is>
      </c>
      <c r="B794" s="4" t="inlineStr">
        <is>
          <t>Research &amp; associations</t>
        </is>
      </c>
      <c r="C794" s="4" t="inlineStr">
        <is>
          <t>lincolninst.edu</t>
        </is>
      </c>
      <c r="D794" s="15" t="inlineStr">
        <is>
          <t>truth in taxation 2024.xlsx</t>
        </is>
      </c>
      <c r="E794" s="4" t="n"/>
      <c r="F794" s="4" t="inlineStr">
        <is>
          <t>DE, GA, IA, IL, KY, MD, MI, MN, MO, NC, ND, NE, NM, NV, NY, OK, OR, PA, RI, TN, TX, UT, VA, VT, WV, WY</t>
        </is>
      </c>
      <c r="G794" s="4" t="inlineStr">
        <is>
          <t>https://www.lincolninst.edu/app/uploads/2024/10/truth_in_taxation_2024.xlsx</t>
        </is>
      </c>
    </row>
    <row r="795" ht="30" customHeight="1">
      <c r="A795" s="13" t="inlineStr">
        <is>
          <t>Ohio</t>
        </is>
      </c>
      <c r="B795" s="4" t="inlineStr">
        <is>
          <t>Federal government &amp; data</t>
        </is>
      </c>
      <c r="C795" s="4" t="inlineStr">
        <is>
          <t>census.gov</t>
        </is>
      </c>
      <c r="D795" s="15" t="inlineStr">
        <is>
          <t>2022 Census of Governments, Organization Tables</t>
        </is>
      </c>
      <c r="E795" s="4" t="n"/>
      <c r="F795" s="4" t="n"/>
      <c r="G795" s="4" t="inlineStr">
        <is>
          <t>https://www.census.gov/data/tables/2022/econ/gus/2022-governments.html</t>
        </is>
      </c>
    </row>
    <row r="796" ht="30" customHeight="1">
      <c r="A796" s="13" t="inlineStr">
        <is>
          <t>Ohio</t>
        </is>
      </c>
      <c r="B796" s="4" t="inlineStr">
        <is>
          <t>Federal government &amp; data</t>
        </is>
      </c>
      <c r="C796" s="4" t="inlineStr">
        <is>
          <t>www2.census.gov</t>
        </is>
      </c>
      <c r="D796" s="15" t="inlineStr">
        <is>
          <t>22slsstab1.xlsx</t>
        </is>
      </c>
      <c r="E796" s="4" t="n"/>
      <c r="F796" s="4" t="inlineStr">
        <is>
          <t>AL, AR, IA, KS, KY, LA, MA, MD, ME, MI, MN, MO, MS, MT, NC, ND, NE, NH, NJ, NM, NV, NY, OK, OR, PA, RI, SC, SD, TN, TX, UT, VA, VT, WA, WI, WV, WY</t>
        </is>
      </c>
      <c r="G796" s="4" t="inlineStr">
        <is>
          <t>https://www2.census.gov/programs-surveys/gov-finances/tables/2022/22slsstab1.xlsx</t>
        </is>
      </c>
    </row>
    <row r="797" ht="30" customHeight="1">
      <c r="A797" s="13" t="inlineStr">
        <is>
          <t>Ohio</t>
        </is>
      </c>
      <c r="B797" s="4" t="inlineStr">
        <is>
          <t>Free-market groups &amp; GOP caucuses</t>
        </is>
      </c>
      <c r="C797" s="4" t="inlineStr">
        <is>
          <t>buckeyeinstitute.org</t>
        </is>
      </c>
      <c r="D797" s="15" t="inlineStr">
        <is>
          <t>Buckeye Institute Recommended Policies to Lower Property Taxes Signed into Law</t>
        </is>
      </c>
      <c r="E797" s="4" t="inlineStr">
        <is>
          <t>2025-12-19</t>
        </is>
      </c>
      <c r="F797" s="4" t="n"/>
      <c r="G797" s="4" t="inlineStr">
        <is>
          <t>https://www.buckeyeinstitute.org/research/detail/buckeye-institute-recommended-policies-to-lower-property-taxes-signed-into-law</t>
        </is>
      </c>
    </row>
    <row r="798" ht="30" customHeight="1">
      <c r="A798" s="13" t="inlineStr">
        <is>
          <t>Ohio</t>
        </is>
      </c>
      <c r="B798" s="4" t="inlineStr">
        <is>
          <t>Free-market groups &amp; GOP caucuses</t>
        </is>
      </c>
      <c r="C798" s="4" t="inlineStr">
        <is>
          <t>buckeyeinstitute.org</t>
        </is>
      </c>
      <c r="D798" s="15" t="inlineStr">
        <is>
          <t>The Buckeye Institute Offers 10 Specific Recommendations to Lower Property Taxes</t>
        </is>
      </c>
      <c r="E798" s="4" t="inlineStr">
        <is>
          <t>2025-07-23</t>
        </is>
      </c>
      <c r="F798" s="4" t="n"/>
      <c r="G798" s="4" t="inlineStr">
        <is>
          <t>https://www.buckeyeinstitute.org/research/detail/the-buckeye-institute-offers-10-specific-recommendations-to-lower-property-taxes</t>
        </is>
      </c>
    </row>
    <row r="799" ht="34" customHeight="1">
      <c r="A799" s="13" t="inlineStr">
        <is>
          <t>Ohio</t>
        </is>
      </c>
      <c r="B799" s="4" t="inlineStr">
        <is>
          <t>Free-market groups &amp; GOP caucuses</t>
        </is>
      </c>
      <c r="C799" s="4" t="inlineStr">
        <is>
          <t>archive.commonsenseinstituteus.org</t>
        </is>
      </c>
      <c r="D799" s="15" t="inlineStr">
        <is>
          <t>Iowa Leads the Nation in Property Tax Relief: Ranking State Reforms of the Past Decade</t>
        </is>
      </c>
      <c r="E799" s="4" t="n"/>
      <c r="F799" s="4" t="inlineStr">
        <is>
          <t>NE, NJ, SD, TX, WY</t>
        </is>
      </c>
      <c r="G799" s="4" t="inlineStr">
        <is>
          <t>https://archive.commonsenseinstituteus.org/iowa/research/taxes-and-fees/iowa-leads-the-nation-in-property-tax-relief-ranking-state-reforms-of-the-past-decade</t>
        </is>
      </c>
    </row>
    <row r="800" ht="34" customHeight="1">
      <c r="A800" s="13" t="inlineStr">
        <is>
          <t>Ohio</t>
        </is>
      </c>
      <c r="B800" s="4" t="inlineStr">
        <is>
          <t>News</t>
        </is>
      </c>
      <c r="C800" s="4" t="inlineStr">
        <is>
          <t>statenews.org</t>
        </is>
      </c>
      <c r="D800" s="15" t="inlineStr">
        <is>
          <t>Ohio Senate overrides veto, eliminating some kinds of tax levies (ohio-senate-overrides-veto-eliminating-some-kinds-of-tax-levies)</t>
        </is>
      </c>
      <c r="E800" s="4" t="inlineStr">
        <is>
          <t>2025-10-01</t>
        </is>
      </c>
      <c r="F800" s="4" t="n"/>
      <c r="G800" s="4" t="inlineStr">
        <is>
          <t>https://www.statenews.org/government-politics/2025-10-01/ohio-senate-overrides-veto-eliminating-some-kinds-of-tax-levies</t>
        </is>
      </c>
    </row>
    <row r="801" ht="34" customHeight="1">
      <c r="A801" s="13" t="inlineStr">
        <is>
          <t>Ohio</t>
        </is>
      </c>
      <c r="B801" s="4" t="inlineStr">
        <is>
          <t>News</t>
        </is>
      </c>
      <c r="C801" s="4" t="inlineStr">
        <is>
          <t>ohiocapitaljournal.com</t>
        </is>
      </c>
      <c r="D801" s="15" t="inlineStr">
        <is>
          <t>constitutional-amendment-to-eliminate-property-taxes-in-ohio-will-not-appear-on-november-ballot</t>
        </is>
      </c>
      <c r="E801" s="4" t="n"/>
      <c r="F801" s="4" t="n"/>
      <c r="G801" s="4" t="inlineStr">
        <is>
          <t>https://ohiocapitaljournal.com/2026/06/09/constitutional-amendment-to-eliminate-property-taxes-in-ohio-will-not-appear-on-november-ballot/</t>
        </is>
      </c>
    </row>
    <row r="802" ht="34" customHeight="1">
      <c r="A802" s="13" t="inlineStr">
        <is>
          <t>Ohio</t>
        </is>
      </c>
      <c r="B802" s="4" t="inlineStr">
        <is>
          <t>News</t>
        </is>
      </c>
      <c r="C802" s="4" t="inlineStr">
        <is>
          <t>wosu.org</t>
        </is>
      </c>
      <c r="D802" s="15" t="inlineStr">
        <is>
          <t>Development tax breaks increase 140% since 2016 in Franklin Co., new report questions its impact</t>
        </is>
      </c>
      <c r="E802" s="4" t="inlineStr">
        <is>
          <t>2025-12-12</t>
        </is>
      </c>
      <c r="F802" s="4" t="n"/>
      <c r="G802" s="4" t="inlineStr">
        <is>
          <t>https://www.wosu.org/politics-government/2025-12-12/development-tax-breaks-increase-140-since-2016-in-franklin-co-new-report-questions-its-impact</t>
        </is>
      </c>
    </row>
    <row r="803" ht="34" customHeight="1">
      <c r="A803" s="13" t="inlineStr">
        <is>
          <t>Ohio</t>
        </is>
      </c>
      <c r="B803" s="4" t="inlineStr">
        <is>
          <t>News</t>
        </is>
      </c>
      <c r="C803" s="4" t="inlineStr">
        <is>
          <t>wcpo.com</t>
        </is>
      </c>
      <c r="D803" s="15" t="inlineStr">
        <is>
          <t>Cincinnati Public Schools board votes to rescind earned income tax levy, adds property tax levy to ballot</t>
        </is>
      </c>
      <c r="E803" s="4" t="inlineStr">
        <is>
          <t>2026-08-04</t>
        </is>
      </c>
      <c r="F803" s="4" t="n"/>
      <c r="G803" s="4" t="inlineStr">
        <is>
          <t>https://www.wcpo.com/news/local-news/cincinnati-public-schools-board-votes-to-rescind-earned-income-tax-levy</t>
        </is>
      </c>
    </row>
    <row r="804" ht="34" customHeight="1">
      <c r="A804" s="13" t="inlineStr">
        <is>
          <t>Ohio</t>
        </is>
      </c>
      <c r="B804" s="4" t="inlineStr">
        <is>
          <t>News</t>
        </is>
      </c>
      <c r="C804" s="4" t="inlineStr">
        <is>
          <t>fox19.com</t>
        </is>
      </c>
      <c r="D804" s="15" t="inlineStr">
        <is>
          <t>Cincinnati school board rescinds income tax levy vote, seeks property tax hike instead</t>
        </is>
      </c>
      <c r="E804" s="4" t="inlineStr">
        <is>
          <t>2026-08-04</t>
        </is>
      </c>
      <c r="F804" s="4" t="n"/>
      <c r="G804" s="4" t="inlineStr">
        <is>
          <t>https://www.fox19.com/2026/08/04/cincinnati-public-schools-board-puts-earned-income-tax-levy-fall-ballot/</t>
        </is>
      </c>
    </row>
    <row r="805" ht="30" customHeight="1">
      <c r="A805" s="13" t="inlineStr">
        <is>
          <t>Oklahoma</t>
        </is>
      </c>
      <c r="B805" s="4" t="inlineStr">
        <is>
          <t>Constitution &amp; statutes</t>
        </is>
      </c>
      <c r="C805" s="4" t="inlineStr">
        <is>
          <t>oklegislature.gov</t>
        </is>
      </c>
      <c r="D805" s="15" t="inlineStr">
        <is>
          <t>oc10.rtf</t>
        </is>
      </c>
      <c r="E805" s="4" t="n"/>
      <c r="F805" s="4" t="n"/>
      <c r="G805" s="4" t="inlineStr">
        <is>
          <t>https://www.oklegislature.gov/OKStatutes/CompleteTitles/oc10.rtf</t>
        </is>
      </c>
    </row>
    <row r="806" ht="30" customHeight="1">
      <c r="A806" s="13" t="inlineStr">
        <is>
          <t>Oklahoma</t>
        </is>
      </c>
      <c r="B806" s="4" t="inlineStr">
        <is>
          <t>Constitution &amp; statutes</t>
        </is>
      </c>
      <c r="C806" s="4" t="inlineStr">
        <is>
          <t>oklegislature.gov</t>
        </is>
      </c>
      <c r="D806" s="15" t="inlineStr">
        <is>
          <t>os68.rtf</t>
        </is>
      </c>
      <c r="E806" s="4" t="n"/>
      <c r="F806" s="4" t="n"/>
      <c r="G806" s="4" t="inlineStr">
        <is>
          <t>https://www.oklegislature.gov/OK_Statutes/CompleteTitles/os68.rtf</t>
        </is>
      </c>
    </row>
    <row r="807" ht="30" customHeight="1">
      <c r="A807" s="13" t="inlineStr">
        <is>
          <t>Oklahoma</t>
        </is>
      </c>
      <c r="B807" s="4" t="inlineStr">
        <is>
          <t>Constitution &amp; statutes</t>
        </is>
      </c>
      <c r="C807" s="4" t="inlineStr">
        <is>
          <t>oklegislature.gov</t>
        </is>
      </c>
      <c r="D807" s="15" t="inlineStr">
        <is>
          <t>os62.rtf</t>
        </is>
      </c>
      <c r="E807" s="4" t="n"/>
      <c r="F807" s="4" t="n"/>
      <c r="G807" s="4" t="inlineStr">
        <is>
          <t>https://www.oklegislature.gov/OK_Statutes/CompleteTitles/os62.rtf</t>
        </is>
      </c>
    </row>
    <row r="808" ht="30" customHeight="1">
      <c r="A808" s="13" t="inlineStr">
        <is>
          <t>Oklahoma</t>
        </is>
      </c>
      <c r="B808" s="4" t="inlineStr">
        <is>
          <t>Constitution &amp; statutes</t>
        </is>
      </c>
      <c r="C808" s="4" t="inlineStr">
        <is>
          <t>oklegislature.gov</t>
        </is>
      </c>
      <c r="D808" s="15" t="inlineStr">
        <is>
          <t>os70.rtf</t>
        </is>
      </c>
      <c r="E808" s="4" t="n"/>
      <c r="F808" s="4" t="n"/>
      <c r="G808" s="4" t="inlineStr">
        <is>
          <t>https://www.oklegislature.gov/OK_Statutes/CompleteTitles/os70.rtf</t>
        </is>
      </c>
    </row>
    <row r="809" ht="30" customHeight="1">
      <c r="A809" s="13" t="inlineStr">
        <is>
          <t>Oklahoma</t>
        </is>
      </c>
      <c r="B809" s="4" t="inlineStr">
        <is>
          <t>Constitution &amp; statutes</t>
        </is>
      </c>
      <c r="C809" s="4" t="inlineStr">
        <is>
          <t>oklegislature.gov</t>
        </is>
      </c>
      <c r="D809" s="15" t="inlineStr">
        <is>
          <t>os26.rtf</t>
        </is>
      </c>
      <c r="E809" s="4" t="n"/>
      <c r="F809" s="4" t="n"/>
      <c r="G809" s="4" t="inlineStr">
        <is>
          <t>https://www.oklegislature.gov/OK_Statutes/CompleteTitles/os26.rtf</t>
        </is>
      </c>
    </row>
    <row r="810" ht="30" customHeight="1">
      <c r="A810" s="13" t="inlineStr">
        <is>
          <t>Oklahoma</t>
        </is>
      </c>
      <c r="B810" s="4" t="inlineStr">
        <is>
          <t>Constitution &amp; statutes</t>
        </is>
      </c>
      <c r="C810" s="4" t="inlineStr">
        <is>
          <t>oklegislature.gov</t>
        </is>
      </c>
      <c r="D810" s="15" t="inlineStr">
        <is>
          <t>os31.rtf</t>
        </is>
      </c>
      <c r="E810" s="4" t="n"/>
      <c r="F810" s="4" t="n"/>
      <c r="G810" s="4" t="inlineStr">
        <is>
          <t>https://www.oklegislature.gov/OK_Statutes/CompleteTitles/os31.rtf</t>
        </is>
      </c>
    </row>
    <row r="811" ht="30" customHeight="1">
      <c r="A811" s="13" t="inlineStr">
        <is>
          <t>Oklahoma</t>
        </is>
      </c>
      <c r="B811" s="4" t="inlineStr">
        <is>
          <t>Bills &amp; legislative documents</t>
        </is>
      </c>
      <c r="C811" s="4" t="inlineStr">
        <is>
          <t>oklegislature.gov</t>
        </is>
      </c>
      <c r="D811" s="15" t="inlineStr">
        <is>
          <t>Resolution ENROLLED SENATE</t>
        </is>
      </c>
      <c r="E811" s="4" t="inlineStr">
        <is>
          <t>2026</t>
        </is>
      </c>
      <c r="F811" s="4" t="n"/>
      <c r="G811" s="4" t="inlineStr">
        <is>
          <t>https://www.oklegislature.gov/cf_pdf/2025-26%20ENR/sres/SJR39%20ENR.PDF</t>
        </is>
      </c>
    </row>
    <row r="812" ht="30" customHeight="1">
      <c r="A812" s="13" t="inlineStr">
        <is>
          <t>Oklahoma</t>
        </is>
      </c>
      <c r="B812" s="4" t="inlineStr">
        <is>
          <t>Bills &amp; legislative documents</t>
        </is>
      </c>
      <c r="C812" s="4" t="inlineStr">
        <is>
          <t>oklegislature.gov</t>
        </is>
      </c>
      <c r="D812" s="15" t="inlineStr">
        <is>
          <t>Resolution ENROLLED HOUSE</t>
        </is>
      </c>
      <c r="E812" s="4" t="inlineStr">
        <is>
          <t>2026</t>
        </is>
      </c>
      <c r="F812" s="4" t="n"/>
      <c r="G812" s="4" t="inlineStr">
        <is>
          <t>https://www.oklegislature.gov/cf_pdf/2025-26%20ENR/hres/HJR1087%20ENR.PDF</t>
        </is>
      </c>
    </row>
    <row r="813" ht="30" customHeight="1">
      <c r="A813" s="13" t="inlineStr">
        <is>
          <t>Oklahoma</t>
        </is>
      </c>
      <c r="B813" s="4" t="inlineStr">
        <is>
          <t>Bills &amp; legislative documents</t>
        </is>
      </c>
      <c r="C813" s="4" t="inlineStr">
        <is>
          <t>oklegislature.gov</t>
        </is>
      </c>
      <c r="D813" s="15" t="inlineStr">
        <is>
          <t>Bill Information (BillInfo (Bill SJR39))</t>
        </is>
      </c>
      <c r="E813" s="4" t="n"/>
      <c r="F813" s="4" t="n"/>
      <c r="G813" s="4" t="inlineStr">
        <is>
          <t>https://www.oklegislature.gov/BillInfo.aspx?Bill=SJR39&amp;Session=2600</t>
        </is>
      </c>
    </row>
    <row r="814" ht="30" customHeight="1">
      <c r="A814" s="13" t="inlineStr">
        <is>
          <t>Oklahoma</t>
        </is>
      </c>
      <c r="B814" s="4" t="inlineStr">
        <is>
          <t>Bills &amp; legislative documents</t>
        </is>
      </c>
      <c r="C814" s="4" t="inlineStr">
        <is>
          <t>oklegislature.gov</t>
        </is>
      </c>
      <c r="D814" s="15" t="inlineStr">
        <is>
          <t>Bill Information (BillInfo (Bill HJR1087))</t>
        </is>
      </c>
      <c r="E814" s="4" t="n"/>
      <c r="F814" s="4" t="n"/>
      <c r="G814" s="4" t="inlineStr">
        <is>
          <t>https://www.oklegislature.gov/BillInfo.aspx?Bill=HJR1087&amp;Session=2600</t>
        </is>
      </c>
    </row>
    <row r="815" ht="30" customHeight="1">
      <c r="A815" s="13" t="inlineStr">
        <is>
          <t>Oklahoma</t>
        </is>
      </c>
      <c r="B815" s="4" t="inlineStr">
        <is>
          <t>State government</t>
        </is>
      </c>
      <c r="C815" s="4" t="inlineStr">
        <is>
          <t>sos.ok.gov</t>
        </is>
      </c>
      <c r="D815" s="15" t="inlineStr">
        <is>
          <t>questions</t>
        </is>
      </c>
      <c r="E815" s="4" t="n"/>
      <c r="F815" s="4" t="n"/>
      <c r="G815" s="4" t="inlineStr">
        <is>
          <t>https://www.sos.ok.gov/gov/questions.aspx</t>
        </is>
      </c>
    </row>
    <row r="816" ht="30" customHeight="1">
      <c r="A816" s="13" t="inlineStr">
        <is>
          <t>Oklahoma</t>
        </is>
      </c>
      <c r="B816" s="4" t="inlineStr">
        <is>
          <t>Research &amp; associations</t>
        </is>
      </c>
      <c r="C816" s="4" t="inlineStr">
        <is>
          <t>okpolicy.org</t>
        </is>
      </c>
      <c r="D816" s="15" t="inlineStr">
        <is>
          <t>State Question 847 – Changing assessment caps for property tax</t>
        </is>
      </c>
      <c r="E816" s="4" t="inlineStr">
        <is>
          <t>2026-09-08</t>
        </is>
      </c>
      <c r="F816" s="4" t="n"/>
      <c r="G816" s="4" t="inlineStr">
        <is>
          <t>https://okpolicy.org/state-question-847-changing-assessment-caps-for-property-tax/</t>
        </is>
      </c>
    </row>
    <row r="817" ht="30" customHeight="1">
      <c r="A817" s="13" t="inlineStr">
        <is>
          <t>Oklahoma</t>
        </is>
      </c>
      <c r="B817" s="4" t="inlineStr">
        <is>
          <t>Research &amp; associations</t>
        </is>
      </c>
      <c r="C817" s="4" t="inlineStr">
        <is>
          <t>okpolicy.org</t>
        </is>
      </c>
      <c r="D817" s="15" t="inlineStr">
        <is>
          <t>What’s on the ballot for the November 3, 2026 elections in Oklahoma?</t>
        </is>
      </c>
      <c r="E817" s="4" t="inlineStr">
        <is>
          <t>2026-09-09</t>
        </is>
      </c>
      <c r="F817" s="4" t="n"/>
      <c r="G817" s="4" t="inlineStr">
        <is>
          <t>https://okpolicy.org/november2026elections/</t>
        </is>
      </c>
    </row>
    <row r="818" ht="30" customHeight="1">
      <c r="A818" s="13" t="inlineStr">
        <is>
          <t>Oklahoma</t>
        </is>
      </c>
      <c r="B818" s="4" t="inlineStr">
        <is>
          <t>Research &amp; associations</t>
        </is>
      </c>
      <c r="C818" s="4" t="inlineStr">
        <is>
          <t>okpolicy.org</t>
        </is>
      </c>
      <c r="D818" s="15" t="inlineStr">
        <is>
          <t>2026 FACT SHEET SQ 844: AMENDING CERTAIN TAX REVENUE</t>
        </is>
      </c>
      <c r="E818" s="4" t="inlineStr">
        <is>
          <t>2026</t>
        </is>
      </c>
      <c r="F818" s="4" t="n"/>
      <c r="G818" s="4" t="inlineStr">
        <is>
          <t>https://okpolicy.org/wp-content/uploads/UPDATED-2026-SQ-844-Factsheet.pdf</t>
        </is>
      </c>
    </row>
    <row r="819" ht="30" customHeight="1">
      <c r="A819" s="13" t="inlineStr">
        <is>
          <t>Oklahoma</t>
        </is>
      </c>
      <c r="B819" s="4" t="inlineStr">
        <is>
          <t>News</t>
        </is>
      </c>
      <c r="C819" s="4" t="inlineStr">
        <is>
          <t>tulsaflyer.org</t>
        </is>
      </c>
      <c r="D819" s="15" t="inlineStr">
        <is>
          <t>Oklahoma voters say no to State Question 844</t>
        </is>
      </c>
      <c r="E819" s="4" t="inlineStr">
        <is>
          <t>2026-08-26</t>
        </is>
      </c>
      <c r="F819" s="4" t="n"/>
      <c r="G819" s="4" t="inlineStr">
        <is>
          <t>https://tulsaflyer.org/2026/08/25/schools-families/post/oklahoma-voters-say-no-to-sq-844/</t>
        </is>
      </c>
    </row>
    <row r="820" ht="30" customHeight="1">
      <c r="A820" s="13" t="inlineStr">
        <is>
          <t>Oklahoma</t>
        </is>
      </c>
      <c r="B820" s="4" t="inlineStr">
        <is>
          <t>News</t>
        </is>
      </c>
      <c r="C820" s="4" t="inlineStr">
        <is>
          <t>oklahomavoice.com</t>
        </is>
      </c>
      <c r="D820" s="15" t="inlineStr">
        <is>
          <t>measure-heading-to-august-ballot-could-cost-counties-oklahoma-schools-millions</t>
        </is>
      </c>
      <c r="E820" s="4" t="n"/>
      <c r="F820" s="4" t="n"/>
      <c r="G820" s="4" t="inlineStr">
        <is>
          <t>https://oklahomavoice.com/2026/04/13/measure-heading-to-august-ballot-could-cost-counties-oklahoma-schools-millions/</t>
        </is>
      </c>
    </row>
    <row r="821" ht="30" customHeight="1">
      <c r="A821" s="13" t="inlineStr">
        <is>
          <t>Oklahoma</t>
        </is>
      </c>
      <c r="B821" s="4" t="inlineStr">
        <is>
          <t>News</t>
        </is>
      </c>
      <c r="C821" s="4" t="inlineStr">
        <is>
          <t>newsfromthestates.com</t>
        </is>
      </c>
      <c r="D821" s="15" t="inlineStr">
        <is>
          <t>oklahoma-high-court-hears-challenge-property-tax-initiative-petition</t>
        </is>
      </c>
      <c r="E821" s="4" t="n"/>
      <c r="F821" s="4" t="n"/>
      <c r="G821" s="4" t="inlineStr">
        <is>
          <t>https://www.newsfromthestates.com/article/oklahoma-high-court-hears-challenge-property-tax-initiative-petition</t>
        </is>
      </c>
    </row>
    <row r="822" ht="30" customHeight="1">
      <c r="A822" s="13" t="inlineStr">
        <is>
          <t>Oklahoma</t>
        </is>
      </c>
      <c r="B822" s="4" t="inlineStr">
        <is>
          <t>Research &amp; associations</t>
        </is>
      </c>
      <c r="C822" s="4" t="inlineStr">
        <is>
          <t>lincolninst.edu</t>
        </is>
      </c>
      <c r="D822" s="15" t="inlineStr">
        <is>
          <t>Significant Features of the Property Tax®</t>
        </is>
      </c>
      <c r="E822" s="4" t="inlineStr">
        <is>
          <t>2023-10-18</t>
        </is>
      </c>
      <c r="F822" s="4" t="n"/>
      <c r="G822" s="4" t="inlineStr">
        <is>
          <t>https://www.lincolninst.edu/data/significant-features-property-tax/access-database/</t>
        </is>
      </c>
    </row>
    <row r="823" ht="30" customHeight="1">
      <c r="A823" s="13" t="inlineStr">
        <is>
          <t>Oklahoma</t>
        </is>
      </c>
      <c r="B823" s="4" t="inlineStr">
        <is>
          <t>Research &amp; associations</t>
        </is>
      </c>
      <c r="C823" s="4" t="inlineStr">
        <is>
          <t>lincolninst.edu</t>
        </is>
      </c>
      <c r="D823" s="15" t="inlineStr">
        <is>
          <t>truth in taxation 2024.xlsx</t>
        </is>
      </c>
      <c r="E823" s="4" t="n"/>
      <c r="F823" s="4" t="inlineStr">
        <is>
          <t>DE, GA, IA, IL, KY, MD, MI, MN, MO, NC, ND, NE, NM, NV, NY, OH, OR, PA, RI, TN, TX, UT, VA, VT, WV, WY</t>
        </is>
      </c>
      <c r="G823" s="4" t="inlineStr">
        <is>
          <t>https://www.lincolninst.edu/app/uploads/2024/10/truth_in_taxation_2024.xlsx</t>
        </is>
      </c>
    </row>
    <row r="824" ht="30" customHeight="1">
      <c r="A824" s="13" t="inlineStr">
        <is>
          <t>Oklahoma</t>
        </is>
      </c>
      <c r="B824" s="4" t="inlineStr">
        <is>
          <t>Federal government &amp; data</t>
        </is>
      </c>
      <c r="C824" s="4" t="inlineStr">
        <is>
          <t>www2.census.gov</t>
        </is>
      </c>
      <c r="D824" s="15" t="inlineStr">
        <is>
          <t>22slsstab1.xlsx</t>
        </is>
      </c>
      <c r="E824" s="4" t="n"/>
      <c r="F824" s="4" t="inlineStr">
        <is>
          <t>AL, AR, IA, KS, KY, LA, MA, MD, ME, MI, MN, MO, MS, MT, NC, ND, NE, NH, NJ, NM, NV, NY, OH, OR, PA, RI, SC, SD, TN, TX, UT, VA, VT, WA, WI, WV, WY</t>
        </is>
      </c>
      <c r="G824" s="4" t="inlineStr">
        <is>
          <t>https://www2.census.gov/programs-surveys/gov-finances/tables/2022/22slsstab1.xlsx</t>
        </is>
      </c>
    </row>
    <row r="825" ht="30" customHeight="1">
      <c r="A825" s="13" t="inlineStr">
        <is>
          <t>Oklahoma</t>
        </is>
      </c>
      <c r="B825" s="4" t="inlineStr">
        <is>
          <t>News</t>
        </is>
      </c>
      <c r="C825" s="4" t="inlineStr">
        <is>
          <t>hppr.org</t>
        </is>
      </c>
      <c r="D825" s="15" t="inlineStr">
        <is>
          <t>Oklahoma Supreme Court declares property tax state question unconstitutional</t>
        </is>
      </c>
      <c r="E825" s="4" t="inlineStr">
        <is>
          <t>2026-10-08</t>
        </is>
      </c>
      <c r="F825" s="4" t="n"/>
      <c r="G825" s="4" t="inlineStr">
        <is>
          <t>https://www.hppr.org/hppr-news/2026-10-08/oklahoma-supreme-court-declares-property-tax-state-question-unconstitutional</t>
        </is>
      </c>
    </row>
    <row r="826" ht="34" customHeight="1">
      <c r="A826" s="13" t="inlineStr">
        <is>
          <t>Oklahoma</t>
        </is>
      </c>
      <c r="B826" s="4" t="inlineStr">
        <is>
          <t>News</t>
        </is>
      </c>
      <c r="C826" s="4" t="inlineStr">
        <is>
          <t>nondoc.com</t>
        </is>
      </c>
      <c r="D826" s="15" t="inlineStr">
        <is>
          <t>state-questions-sq-833s-public-infrastructure-districts-rejected-while-sq-834-passes</t>
        </is>
      </c>
      <c r="E826" s="4" t="n"/>
      <c r="F826" s="4" t="n"/>
      <c r="G826" s="4" t="inlineStr">
        <is>
          <t>https://nondoc.com/2024/11/05/state-questions-sq-833s-public-infrastructure-districts-rejected-while-sq-834-passes/</t>
        </is>
      </c>
    </row>
    <row r="827" ht="30" customHeight="1">
      <c r="A827" s="13" t="inlineStr">
        <is>
          <t>Oklahoma</t>
        </is>
      </c>
      <c r="B827" s="4" t="inlineStr">
        <is>
          <t>State government</t>
        </is>
      </c>
      <c r="C827" s="4" t="inlineStr">
        <is>
          <t>oklahoma.gov</t>
        </is>
      </c>
      <c r="D827" s="15" t="inlineStr">
        <is>
          <t>GOVERNOR STITT SIGNS 2 BILLS INTO LAW</t>
        </is>
      </c>
      <c r="E827" s="4" t="n"/>
      <c r="F827" s="4" t="n"/>
      <c r="G827" s="4" t="inlineStr">
        <is>
          <t>https://oklahoma.gov/governor/newsroom/newsroom/2026/governor-stitt-signs-2-bills-into-law1.html</t>
        </is>
      </c>
    </row>
    <row r="828" ht="30" customHeight="1">
      <c r="A828" s="13" t="inlineStr">
        <is>
          <t>Oklahoma</t>
        </is>
      </c>
      <c r="B828" s="4" t="inlineStr">
        <is>
          <t>Free-market groups &amp; GOP caucuses</t>
        </is>
      </c>
      <c r="C828" s="4" t="inlineStr">
        <is>
          <t>ocpathink.org</t>
        </is>
      </c>
      <c r="D828" s="15" t="inlineStr">
        <is>
          <t>How Oklahoma can deliver property-tax relief the smart way</t>
        </is>
      </c>
      <c r="E828" s="4" t="inlineStr">
        <is>
          <t>2025-11-11</t>
        </is>
      </c>
      <c r="F828" s="4" t="n"/>
      <c r="G828" s="4" t="inlineStr">
        <is>
          <t>https://ocpathink.org/post/analysis/how-oklahoma-can-deliver-property-tax-relief-the-smart-way</t>
        </is>
      </c>
    </row>
    <row r="829" ht="30" customHeight="1">
      <c r="A829" s="13" t="inlineStr">
        <is>
          <t>Oklahoma</t>
        </is>
      </c>
      <c r="B829" s="4" t="inlineStr">
        <is>
          <t>News</t>
        </is>
      </c>
      <c r="C829" s="4" t="inlineStr">
        <is>
          <t>thewatongarepublican.com</t>
        </is>
      </c>
      <c r="D829" s="15" t="inlineStr">
        <is>
          <t>Property Tax Relief the Smart Way</t>
        </is>
      </c>
      <c r="E829" s="4" t="inlineStr">
        <is>
          <t>2026-01-27</t>
        </is>
      </c>
      <c r="F829" s="4" t="n"/>
      <c r="G829" s="4" t="inlineStr">
        <is>
          <t>https://www.thewatongarepublican.com/node/10012</t>
        </is>
      </c>
    </row>
    <row r="830" ht="30" customHeight="1">
      <c r="A830" s="13" t="inlineStr">
        <is>
          <t>Oklahoma</t>
        </is>
      </c>
      <c r="B830" s="4" t="inlineStr">
        <is>
          <t>Bills &amp; legislative documents</t>
        </is>
      </c>
      <c r="C830" s="4" t="inlineStr">
        <is>
          <t>oksenate.gov</t>
        </is>
      </c>
      <c r="D830" s="15" t="inlineStr">
        <is>
          <t>Standridge Champions Bills to Lower Property Taxes</t>
        </is>
      </c>
      <c r="E830" s="4" t="n"/>
      <c r="F830" s="4" t="n"/>
      <c r="G830" s="4" t="inlineStr">
        <is>
          <t>https://www.oksenate.gov/press-releases/standridge-champions-bills-lower-property-taxes</t>
        </is>
      </c>
    </row>
    <row r="831" ht="30" customHeight="1">
      <c r="A831" s="13" t="inlineStr">
        <is>
          <t>Oklahoma</t>
        </is>
      </c>
      <c r="B831" s="4" t="inlineStr">
        <is>
          <t>Bills &amp; legislative documents</t>
        </is>
      </c>
      <c r="C831" s="4" t="inlineStr">
        <is>
          <t>oklegislature.gov</t>
        </is>
      </c>
      <c r="D831" s="15" t="inlineStr">
        <is>
          <t>Bill Information (BillInfo (Bill SB2000))</t>
        </is>
      </c>
      <c r="E831" s="4" t="n"/>
      <c r="F831" s="4" t="n"/>
      <c r="G831" s="4" t="inlineStr">
        <is>
          <t>https://www.oklegislature.gov/BillInfo.aspx?Bill=SB2000&amp;Session=2600</t>
        </is>
      </c>
    </row>
    <row r="832" ht="30" customHeight="1">
      <c r="A832" s="13" t="inlineStr">
        <is>
          <t>Oklahoma</t>
        </is>
      </c>
      <c r="B832" s="4" t="inlineStr">
        <is>
          <t>Bills &amp; legislative documents</t>
        </is>
      </c>
      <c r="C832" s="4" t="inlineStr">
        <is>
          <t>oklegislature.gov</t>
        </is>
      </c>
      <c r="D832" s="15" t="inlineStr">
        <is>
          <t>Bill Information (BillInfo (Bill SB1993))</t>
        </is>
      </c>
      <c r="E832" s="4" t="n"/>
      <c r="F832" s="4" t="n"/>
      <c r="G832" s="4" t="inlineStr">
        <is>
          <t>https://www.oklegislature.gov/BillInfo.aspx?Bill=SB1993&amp;Session=2600</t>
        </is>
      </c>
    </row>
    <row r="833" ht="30" customHeight="1">
      <c r="A833" s="13" t="inlineStr">
        <is>
          <t>Oklahoma</t>
        </is>
      </c>
      <c r="B833" s="4" t="inlineStr">
        <is>
          <t>News</t>
        </is>
      </c>
      <c r="C833" s="4" t="inlineStr">
        <is>
          <t>kjrh.com</t>
        </is>
      </c>
      <c r="D833" s="15" t="inlineStr">
        <is>
          <t>PASSED: Voters approve TPS $609M bond package</t>
        </is>
      </c>
      <c r="E833" s="4" t="inlineStr">
        <is>
          <t>2026-04-08</t>
        </is>
      </c>
      <c r="F833" s="4" t="n"/>
      <c r="G833" s="4" t="inlineStr">
        <is>
          <t>https://www.kjrh.com/news/local-news/passed-voters-approve-tps-609m-bond-package</t>
        </is>
      </c>
    </row>
    <row r="834" ht="30" customHeight="1">
      <c r="A834" s="13" t="inlineStr">
        <is>
          <t>Oregon</t>
        </is>
      </c>
      <c r="B834" s="4" t="inlineStr">
        <is>
          <t>Constitution &amp; statutes</t>
        </is>
      </c>
      <c r="C834" s="4" t="inlineStr">
        <is>
          <t>oregonlegislature.gov</t>
        </is>
      </c>
      <c r="D834" s="15" t="inlineStr">
        <is>
          <t>Bills and Laws OrConst</t>
        </is>
      </c>
      <c r="E834" s="4" t="n"/>
      <c r="F834" s="4" t="n"/>
      <c r="G834" s="4" t="inlineStr">
        <is>
          <t>https://www.oregonlegislature.gov/bills_laws/Pages/OrConst.aspx</t>
        </is>
      </c>
    </row>
    <row r="835" ht="30" customHeight="1">
      <c r="A835" s="13" t="inlineStr">
        <is>
          <t>Oregon</t>
        </is>
      </c>
      <c r="B835" s="4" t="inlineStr">
        <is>
          <t>Constitution &amp; statutes</t>
        </is>
      </c>
      <c r="C835" s="4" t="inlineStr">
        <is>
          <t>oregonlegislature.gov</t>
        </is>
      </c>
      <c r="D835" s="15" t="inlineStr">
        <is>
          <t>Oregon Revised Statutes (ors308)</t>
        </is>
      </c>
      <c r="E835" s="4" t="n"/>
      <c r="F835" s="4" t="n"/>
      <c r="G835" s="4" t="inlineStr">
        <is>
          <t>https://www.oregonlegislature.gov/bills_laws/ors/ors308.html</t>
        </is>
      </c>
    </row>
    <row r="836" ht="30" customHeight="1">
      <c r="A836" s="13" t="inlineStr">
        <is>
          <t>Oregon</t>
        </is>
      </c>
      <c r="B836" s="4" t="inlineStr">
        <is>
          <t>Constitution &amp; statutes</t>
        </is>
      </c>
      <c r="C836" s="4" t="inlineStr">
        <is>
          <t>oregonlegislature.gov</t>
        </is>
      </c>
      <c r="D836" s="15" t="inlineStr">
        <is>
          <t>Oregon Revised Statutes (ors310)</t>
        </is>
      </c>
      <c r="E836" s="4" t="n"/>
      <c r="F836" s="4" t="n"/>
      <c r="G836" s="4" t="inlineStr">
        <is>
          <t>https://www.oregonlegislature.gov/bills_laws/ors/ors310.html</t>
        </is>
      </c>
    </row>
    <row r="837" ht="30" customHeight="1">
      <c r="A837" s="13" t="inlineStr">
        <is>
          <t>Oregon</t>
        </is>
      </c>
      <c r="B837" s="4" t="inlineStr">
        <is>
          <t>Constitution &amp; statutes</t>
        </is>
      </c>
      <c r="C837" s="4" t="inlineStr">
        <is>
          <t>oregonlegislature.gov</t>
        </is>
      </c>
      <c r="D837" s="15" t="inlineStr">
        <is>
          <t>Oregon Revised Statutes (ors280)</t>
        </is>
      </c>
      <c r="E837" s="4" t="n"/>
      <c r="F837" s="4" t="n"/>
      <c r="G837" s="4" t="inlineStr">
        <is>
          <t>https://www.oregonlegislature.gov/bills_laws/ors/ors280.html</t>
        </is>
      </c>
    </row>
    <row r="838" ht="30" customHeight="1">
      <c r="A838" s="13" t="inlineStr">
        <is>
          <t>Oregon</t>
        </is>
      </c>
      <c r="B838" s="4" t="inlineStr">
        <is>
          <t>Constitution &amp; statutes</t>
        </is>
      </c>
      <c r="C838" s="4" t="inlineStr">
        <is>
          <t>oregonlegislature.gov</t>
        </is>
      </c>
      <c r="D838" s="15" t="inlineStr">
        <is>
          <t>Oregon Revised Statutes (ors294)</t>
        </is>
      </c>
      <c r="E838" s="4" t="n"/>
      <c r="F838" s="4" t="n"/>
      <c r="G838" s="4" t="inlineStr">
        <is>
          <t>https://www.oregonlegislature.gov/bills_laws/ors/ors294.html</t>
        </is>
      </c>
    </row>
    <row r="839" ht="30" customHeight="1">
      <c r="A839" s="13" t="inlineStr">
        <is>
          <t>Oregon</t>
        </is>
      </c>
      <c r="B839" s="4" t="inlineStr">
        <is>
          <t>Constitution &amp; statutes</t>
        </is>
      </c>
      <c r="C839" s="4" t="inlineStr">
        <is>
          <t>oregonlegislature.gov</t>
        </is>
      </c>
      <c r="D839" s="15" t="inlineStr">
        <is>
          <t>Oregon Revised Statutes (ors255)</t>
        </is>
      </c>
      <c r="E839" s="4" t="n"/>
      <c r="F839" s="4" t="n"/>
      <c r="G839" s="4" t="inlineStr">
        <is>
          <t>https://www.oregonlegislature.gov/bills_laws/ors/ors255.html</t>
        </is>
      </c>
    </row>
    <row r="840" ht="30" customHeight="1">
      <c r="A840" s="13" t="inlineStr">
        <is>
          <t>Oregon</t>
        </is>
      </c>
      <c r="B840" s="4" t="inlineStr">
        <is>
          <t>Constitution &amp; statutes</t>
        </is>
      </c>
      <c r="C840" s="4" t="inlineStr">
        <is>
          <t>oregonlegislature.gov</t>
        </is>
      </c>
      <c r="D840" s="15" t="inlineStr">
        <is>
          <t>Oregon Revised Statutes (ors221)</t>
        </is>
      </c>
      <c r="E840" s="4" t="n"/>
      <c r="F840" s="4" t="n"/>
      <c r="G840" s="4" t="inlineStr">
        <is>
          <t>https://www.oregonlegislature.gov/bills_laws/ors/ors221.html</t>
        </is>
      </c>
    </row>
    <row r="841" ht="30" customHeight="1">
      <c r="A841" s="13" t="inlineStr">
        <is>
          <t>Oregon</t>
        </is>
      </c>
      <c r="B841" s="4" t="inlineStr">
        <is>
          <t>Constitution &amp; statutes</t>
        </is>
      </c>
      <c r="C841" s="4" t="inlineStr">
        <is>
          <t>oregonlegislature.gov</t>
        </is>
      </c>
      <c r="D841" s="15" t="inlineStr">
        <is>
          <t>Oregon Revised Statutes (ors203)</t>
        </is>
      </c>
      <c r="E841" s="4" t="n"/>
      <c r="F841" s="4" t="n"/>
      <c r="G841" s="4" t="inlineStr">
        <is>
          <t>https://www.oregonlegislature.gov/bills_laws/ors/ors203.html</t>
        </is>
      </c>
    </row>
    <row r="842" ht="30" customHeight="1">
      <c r="A842" s="13" t="inlineStr">
        <is>
          <t>Oregon</t>
        </is>
      </c>
      <c r="B842" s="4" t="inlineStr">
        <is>
          <t>Constitution &amp; statutes</t>
        </is>
      </c>
      <c r="C842" s="4" t="inlineStr">
        <is>
          <t>oregonlegislature.gov</t>
        </is>
      </c>
      <c r="D842" s="15" t="inlineStr">
        <is>
          <t>Oregon Revised Statutes (ors457)</t>
        </is>
      </c>
      <c r="E842" s="4" t="n"/>
      <c r="F842" s="4" t="n"/>
      <c r="G842" s="4" t="inlineStr">
        <is>
          <t>https://www.oregonlegislature.gov/bills_laws/ors/ors457.html</t>
        </is>
      </c>
    </row>
    <row r="843" ht="30" customHeight="1">
      <c r="A843" s="13" t="inlineStr">
        <is>
          <t>Oregon</t>
        </is>
      </c>
      <c r="B843" s="4" t="inlineStr">
        <is>
          <t>Constitution &amp; statutes</t>
        </is>
      </c>
      <c r="C843" s="4" t="inlineStr">
        <is>
          <t>oregonlegislature.gov</t>
        </is>
      </c>
      <c r="D843" s="15" t="inlineStr">
        <is>
          <t>Oregon Revised Statutes (ors311)</t>
        </is>
      </c>
      <c r="E843" s="4" t="n"/>
      <c r="F843" s="4" t="n"/>
      <c r="G843" s="4" t="inlineStr">
        <is>
          <t>https://www.oregonlegislature.gov/bills_laws/ors/ors311.html</t>
        </is>
      </c>
    </row>
    <row r="844" ht="30" customHeight="1">
      <c r="A844" s="13" t="inlineStr">
        <is>
          <t>Oregon</t>
        </is>
      </c>
      <c r="B844" s="4" t="inlineStr">
        <is>
          <t>Constitution &amp; statutes</t>
        </is>
      </c>
      <c r="C844" s="4" t="inlineStr">
        <is>
          <t>oregonlegislature.gov</t>
        </is>
      </c>
      <c r="D844" s="15" t="inlineStr">
        <is>
          <t>Oregon Revised Statutes (ors307)</t>
        </is>
      </c>
      <c r="E844" s="4" t="n"/>
      <c r="F844" s="4" t="n"/>
      <c r="G844" s="4" t="inlineStr">
        <is>
          <t>https://www.oregonlegislature.gov/bills_laws/ors/ors307.html</t>
        </is>
      </c>
    </row>
    <row r="845" ht="30" customHeight="1">
      <c r="A845" s="13" t="inlineStr">
        <is>
          <t>Oregon</t>
        </is>
      </c>
      <c r="B845" s="4" t="inlineStr">
        <is>
          <t>Constitution &amp; statutes</t>
        </is>
      </c>
      <c r="C845" s="4" t="inlineStr">
        <is>
          <t>oregonlegislature.gov</t>
        </is>
      </c>
      <c r="D845" s="15" t="inlineStr">
        <is>
          <t>bills laws ors ors327</t>
        </is>
      </c>
      <c r="E845" s="4" t="n"/>
      <c r="F845" s="4" t="n"/>
      <c r="G845" s="4" t="inlineStr">
        <is>
          <t>https://www.oregonlegislature.gov/bills_laws/ors/ors327.html</t>
        </is>
      </c>
    </row>
    <row r="846" ht="30" customHeight="1">
      <c r="A846" s="13" t="inlineStr">
        <is>
          <t>Oregon</t>
        </is>
      </c>
      <c r="B846" s="4" t="inlineStr">
        <is>
          <t>State government</t>
        </is>
      </c>
      <c r="C846" s="4" t="inlineStr">
        <is>
          <t>oregon.gov</t>
        </is>
      </c>
      <c r="D846" s="15" t="inlineStr">
        <is>
          <t>FY 2025-26 Oregon Property Tax Statistics Report</t>
        </is>
      </c>
      <c r="E846" s="4" t="inlineStr">
        <is>
          <t>2026</t>
        </is>
      </c>
      <c r="F846" s="4" t="n"/>
      <c r="G846" s="4" t="inlineStr">
        <is>
          <t>https://www.oregon.gov/dor/programs/gov-research/Documents/FY%202025-26%20Oregon%20Property%20Tax%20Statistics%20Report-UA.pdf</t>
        </is>
      </c>
    </row>
    <row r="847" ht="30" customHeight="1">
      <c r="A847" s="13" t="inlineStr">
        <is>
          <t>Oregon</t>
        </is>
      </c>
      <c r="B847" s="4" t="inlineStr">
        <is>
          <t>State government</t>
        </is>
      </c>
      <c r="C847" s="4" t="inlineStr">
        <is>
          <t>oregon.gov</t>
        </is>
      </c>
      <c r="D847" s="15" t="inlineStr">
        <is>
          <t>Oregon Property Tax Deferral for Disabled and Senior Homeowners Program</t>
        </is>
      </c>
      <c r="E847" s="4" t="n"/>
      <c r="F847" s="4" t="n"/>
      <c r="G847" s="4" t="inlineStr">
        <is>
          <t>https://www.oregon.gov/dor/programs/property/Pages/deferral.aspx</t>
        </is>
      </c>
    </row>
    <row r="848" ht="30" customHeight="1">
      <c r="A848" s="13" t="inlineStr">
        <is>
          <t>Oregon</t>
        </is>
      </c>
      <c r="B848" s="4" t="inlineStr">
        <is>
          <t>State government</t>
        </is>
      </c>
      <c r="C848" s="4" t="inlineStr">
        <is>
          <t>oregon.gov</t>
        </is>
      </c>
      <c r="D848" s="15" t="inlineStr">
        <is>
          <t>Oregon Active Duty Military Service Member•s Exemption Claim, 150-303-084</t>
        </is>
      </c>
      <c r="E848" s="4" t="inlineStr">
        <is>
          <t>2007</t>
        </is>
      </c>
      <c r="F848" s="4" t="n"/>
      <c r="G848" s="4" t="inlineStr">
        <is>
          <t>https://www.oregon.gov/dor/forms/FormsPubs/active-military-exemption_303-084.pdf</t>
        </is>
      </c>
    </row>
    <row r="849" ht="30" customHeight="1">
      <c r="A849" s="13" t="inlineStr">
        <is>
          <t>Oregon</t>
        </is>
      </c>
      <c r="B849" s="4" t="inlineStr">
        <is>
          <t>Bills &amp; legislative documents</t>
        </is>
      </c>
      <c r="C849" s="4" t="inlineStr">
        <is>
          <t>apps.oregonlegislature.gov</t>
        </is>
      </c>
      <c r="D849" s="15" t="inlineStr">
        <is>
          <t>83rd Oregon Legislative Assembly</t>
        </is>
      </c>
      <c r="E849" s="4" t="inlineStr">
        <is>
          <t>2025</t>
        </is>
      </c>
      <c r="F849" s="4" t="n"/>
      <c r="G849" s="4" t="inlineStr">
        <is>
          <t>https://apps.oregonlegislature.gov/liz/2025R1/Downloads/MeasureAnalysisDocument/92874</t>
        </is>
      </c>
    </row>
    <row r="850" ht="30" customHeight="1">
      <c r="A850" s="13" t="inlineStr">
        <is>
          <t>Oregon</t>
        </is>
      </c>
      <c r="B850" s="4" t="inlineStr">
        <is>
          <t>Bills &amp; legislative documents</t>
        </is>
      </c>
      <c r="C850" s="4" t="inlineStr">
        <is>
          <t>olis.oregonlegislature.gov</t>
        </is>
      </c>
      <c r="D850" s="15" t="inlineStr">
        <is>
          <t>HB2321 2025 Regular Session</t>
        </is>
      </c>
      <c r="E850" s="4" t="n"/>
      <c r="F850" s="4" t="n"/>
      <c r="G850" s="4" t="inlineStr">
        <is>
          <t>https://olis.oregonlegislature.gov/liz/2025R1/Measures/Overview/HB2321</t>
        </is>
      </c>
    </row>
    <row r="851" ht="30" customHeight="1">
      <c r="A851" s="13" t="inlineStr">
        <is>
          <t>Oregon</t>
        </is>
      </c>
      <c r="B851" s="4" t="inlineStr">
        <is>
          <t>Bills &amp; legislative documents</t>
        </is>
      </c>
      <c r="C851" s="4" t="inlineStr">
        <is>
          <t>apps.oregonlegislature.gov</t>
        </is>
      </c>
      <c r="D851" s="15" t="inlineStr">
        <is>
          <t>Downloads MeasureDocument SJR3</t>
        </is>
      </c>
      <c r="E851" s="4" t="inlineStr">
        <is>
          <t>2025</t>
        </is>
      </c>
      <c r="F851" s="4" t="n"/>
      <c r="G851" s="4" t="inlineStr">
        <is>
          <t>https://apps.oregonlegislature.gov/liz/2025R1/Downloads/MeasureDocument/SJR3</t>
        </is>
      </c>
    </row>
    <row r="852" ht="30" customHeight="1">
      <c r="A852" s="13" t="inlineStr">
        <is>
          <t>Oregon</t>
        </is>
      </c>
      <c r="B852" s="4" t="inlineStr">
        <is>
          <t>Bills &amp; legislative documents</t>
        </is>
      </c>
      <c r="C852" s="4" t="inlineStr">
        <is>
          <t>olis.oregonlegislature.gov</t>
        </is>
      </c>
      <c r="D852" s="15" t="inlineStr">
        <is>
          <t>SJR3 2025 Regular Session</t>
        </is>
      </c>
      <c r="E852" s="4" t="n"/>
      <c r="F852" s="4" t="n"/>
      <c r="G852" s="4" t="inlineStr">
        <is>
          <t>https://olis.oregonlegislature.gov/liz/2025R1/Measures/Overview/SJR3</t>
        </is>
      </c>
    </row>
    <row r="853" ht="30" customHeight="1">
      <c r="A853" s="13" t="inlineStr">
        <is>
          <t>Oregon</t>
        </is>
      </c>
      <c r="B853" s="4" t="inlineStr">
        <is>
          <t>Bills &amp; legislative documents</t>
        </is>
      </c>
      <c r="C853" s="4" t="inlineStr">
        <is>
          <t>apps.oregonlegislature.gov</t>
        </is>
      </c>
      <c r="D853" s="15" t="inlineStr">
        <is>
          <t>JOINT COMMITTEE ON WAYS AND MEANS</t>
        </is>
      </c>
      <c r="E853" s="4" t="inlineStr">
        <is>
          <t>2025</t>
        </is>
      </c>
      <c r="F853" s="4" t="n"/>
      <c r="G853" s="4" t="inlineStr">
        <is>
          <t>https://apps.oregonlegislature.gov/liz/2025R1/Downloads/CommitteeMeetingDocument/307212</t>
        </is>
      </c>
    </row>
    <row r="854" ht="30" customHeight="1">
      <c r="A854" s="13" t="inlineStr">
        <is>
          <t>Oregon</t>
        </is>
      </c>
      <c r="B854" s="4" t="inlineStr">
        <is>
          <t>Bills &amp; legislative documents</t>
        </is>
      </c>
      <c r="C854" s="4" t="inlineStr">
        <is>
          <t>olis.oregonlegislature.gov</t>
        </is>
      </c>
      <c r="D854" s="15" t="inlineStr">
        <is>
          <t>SB5516 2025 Regular Session</t>
        </is>
      </c>
      <c r="E854" s="4" t="n"/>
      <c r="F854" s="4" t="n"/>
      <c r="G854" s="4" t="inlineStr">
        <is>
          <t>https://olis.oregonlegislature.gov/liz/2025R1/Measures/Overview/SB5516</t>
        </is>
      </c>
    </row>
    <row r="855" ht="30" customHeight="1">
      <c r="A855" s="13" t="inlineStr">
        <is>
          <t>Oregon</t>
        </is>
      </c>
      <c r="B855" s="4" t="inlineStr">
        <is>
          <t>Research &amp; associations</t>
        </is>
      </c>
      <c r="C855" s="4" t="inlineStr">
        <is>
          <t>oregonrealtors.org</t>
        </is>
      </c>
      <c r="D855" s="15" t="inlineStr">
        <is>
          <t>2026-Legislative-Report-3.16.2026-FINAL.pdf</t>
        </is>
      </c>
      <c r="E855" s="4" t="inlineStr">
        <is>
          <t>2026</t>
        </is>
      </c>
      <c r="F855" s="4" t="n"/>
      <c r="G855" s="4" t="inlineStr">
        <is>
          <t>https://oregonrealtors.org/wp-content/uploads/2026-Legislative-Report-3.16.2026-FINAL.pdf</t>
        </is>
      </c>
    </row>
    <row r="856" ht="30" customHeight="1">
      <c r="A856" s="13" t="inlineStr">
        <is>
          <t>Oregon</t>
        </is>
      </c>
      <c r="B856" s="4" t="inlineStr">
        <is>
          <t>Local government</t>
        </is>
      </c>
      <c r="C856" s="4" t="inlineStr">
        <is>
          <t>clackamas.us</t>
        </is>
      </c>
      <c r="D856" s="15" t="inlineStr">
        <is>
          <t>A Voter’s Guide to the November 3, 2026 General Election</t>
        </is>
      </c>
      <c r="E856" s="4" t="n"/>
      <c r="F856" s="4" t="n"/>
      <c r="G856" s="4" t="inlineStr">
        <is>
          <t>https://www.clackamas.us/elections/a-voters-guide-to-the-november-3-2026-general-election</t>
        </is>
      </c>
    </row>
    <row r="857" ht="30" customHeight="1">
      <c r="A857" s="13" t="inlineStr">
        <is>
          <t>Oregon</t>
        </is>
      </c>
      <c r="B857" s="4" t="inlineStr">
        <is>
          <t>Ballot information</t>
        </is>
      </c>
      <c r="C857" s="4" t="inlineStr">
        <is>
          <t>ballotpedia.org</t>
        </is>
      </c>
      <c r="D857" s="15" t="inlineStr">
        <is>
          <t>Oregon 2026 ballot measures</t>
        </is>
      </c>
      <c r="E857" s="4" t="n"/>
      <c r="F857" s="4" t="n"/>
      <c r="G857" s="4" t="inlineStr">
        <is>
          <t>https://ballotpedia.org/Oregon_2026_ballot_measures</t>
        </is>
      </c>
    </row>
    <row r="858" ht="30" customHeight="1">
      <c r="A858" s="13" t="inlineStr">
        <is>
          <t>Oregon</t>
        </is>
      </c>
      <c r="B858" s="4" t="inlineStr">
        <is>
          <t>Research &amp; associations</t>
        </is>
      </c>
      <c r="C858" s="4" t="inlineStr">
        <is>
          <t>lincolninst.edu</t>
        </is>
      </c>
      <c r="D858" s="15" t="inlineStr">
        <is>
          <t>truth in taxation 2024.xlsx</t>
        </is>
      </c>
      <c r="E858" s="4" t="n"/>
      <c r="F858" s="4" t="inlineStr">
        <is>
          <t>DE, GA, IA, IL, KY, MD, MI, MN, MO, NC, ND, NE, NM, NV, NY, OH, OK, PA, RI, TN, TX, UT, VA, VT, WV, WY</t>
        </is>
      </c>
      <c r="G858" s="4" t="inlineStr">
        <is>
          <t>https://www.lincolninst.edu/app/uploads/2024/10/truth_in_taxation_2024.xlsx</t>
        </is>
      </c>
    </row>
    <row r="859" ht="30" customHeight="1">
      <c r="A859" s="13" t="inlineStr">
        <is>
          <t>Oregon</t>
        </is>
      </c>
      <c r="B859" s="4" t="inlineStr">
        <is>
          <t>Federal government &amp; data</t>
        </is>
      </c>
      <c r="C859" s="4" t="inlineStr">
        <is>
          <t>www2.census.gov</t>
        </is>
      </c>
      <c r="D859" s="15" t="inlineStr">
        <is>
          <t>22slsstab1.xlsx</t>
        </is>
      </c>
      <c r="E859" s="4" t="n"/>
      <c r="F859" s="4" t="inlineStr">
        <is>
          <t>AL, AR, IA, KS, KY, LA, MA, MD, ME, MI, MN, MO, MS, MT, NC, ND, NE, NH, NJ, NM, NV, NY, OH, OK, PA, RI, SC, SD, TN, TX, UT, VA, VT, WA, WI, WV, WY</t>
        </is>
      </c>
      <c r="G859" s="4" t="inlineStr">
        <is>
          <t>https://www2.census.gov/programs-surveys/gov-finances/tables/2022/22slsstab1.xlsx</t>
        </is>
      </c>
    </row>
    <row r="860" ht="30" customHeight="1">
      <c r="A860" s="13" t="inlineStr">
        <is>
          <t>Oregon</t>
        </is>
      </c>
      <c r="B860" s="4" t="inlineStr">
        <is>
          <t>News</t>
        </is>
      </c>
      <c r="C860" s="4" t="inlineStr">
        <is>
          <t>portlandtribune.com</t>
        </is>
      </c>
      <c r="D860" s="15" t="inlineStr">
        <is>
          <t>Portland Public Schools extends its lead in passage of bond measure</t>
        </is>
      </c>
      <c r="E860" s="4" t="inlineStr">
        <is>
          <t>2025-05-23</t>
        </is>
      </c>
      <c r="F860" s="4" t="n"/>
      <c r="G860" s="4" t="inlineStr">
        <is>
          <t>https://portlandtribune.com/?p=2506</t>
        </is>
      </c>
    </row>
    <row r="861" ht="34" customHeight="1">
      <c r="A861" s="13" t="inlineStr">
        <is>
          <t>Oregon</t>
        </is>
      </c>
      <c r="B861" s="4" t="inlineStr">
        <is>
          <t>News</t>
        </is>
      </c>
      <c r="C861" s="4" t="inlineStr">
        <is>
          <t>opb.org</t>
        </is>
      </c>
      <c r="D861" s="15" t="inlineStr">
        <is>
          <t>Late to the party? Here’s what you need to know about Portland Public Schools’ 2025 bond</t>
        </is>
      </c>
      <c r="E861" s="4" t="inlineStr">
        <is>
          <t>2025-05-11</t>
        </is>
      </c>
      <c r="F861" s="4" t="n"/>
      <c r="G861" s="4" t="inlineStr">
        <is>
          <t>https://www.opb.org/article/2025/05/11/oregon-education-portland-public-schools-2025-bond-budget-building-improvements/</t>
        </is>
      </c>
    </row>
    <row r="862" ht="30" customHeight="1">
      <c r="A862" s="13" t="inlineStr">
        <is>
          <t>Oregon</t>
        </is>
      </c>
      <c r="B862" s="4" t="inlineStr">
        <is>
          <t>News</t>
        </is>
      </c>
      <c r="C862" s="4" t="inlineStr">
        <is>
          <t>opb.org</t>
        </is>
      </c>
      <c r="D862" s="15" t="inlineStr">
        <is>
          <t>Portland’s parks levy passage favored in early returns on election night</t>
        </is>
      </c>
      <c r="E862" s="4" t="inlineStr">
        <is>
          <t>2025-11-04</t>
        </is>
      </c>
      <c r="F862" s="4" t="n"/>
      <c r="G862" s="4" t="inlineStr">
        <is>
          <t>https://www.opb.org/article/2025/11/04/portland-parks-levy-ballot-measure-renew-appears-approved/</t>
        </is>
      </c>
    </row>
    <row r="863" ht="30" customHeight="1">
      <c r="A863" s="13" t="inlineStr">
        <is>
          <t>Oregon</t>
        </is>
      </c>
      <c r="B863" s="4" t="inlineStr">
        <is>
          <t>News</t>
        </is>
      </c>
      <c r="C863" s="4" t="inlineStr">
        <is>
          <t>digital-release.koin.com</t>
        </is>
      </c>
      <c r="D863" s="15" t="inlineStr">
        <is>
          <t>Metro OKs $250M homeless tax measure for ballot</t>
        </is>
      </c>
      <c r="E863" s="4" t="inlineStr">
        <is>
          <t>2020-02-26</t>
        </is>
      </c>
      <c r="F863" s="4" t="n"/>
      <c r="G863" s="4" t="inlineStr">
        <is>
          <t>https://digital-release.koin.com/news/civic-affairs/metro-oks-250m-homeless-tax-measure-for-ballot/amp/</t>
        </is>
      </c>
    </row>
    <row r="864" ht="34" customHeight="1">
      <c r="A864" s="13" t="inlineStr">
        <is>
          <t>Oregon</t>
        </is>
      </c>
      <c r="B864" s="4" t="inlineStr">
        <is>
          <t>Local government</t>
        </is>
      </c>
      <c r="C864" s="4" t="inlineStr">
        <is>
          <t>portland.gov</t>
        </is>
      </c>
      <c r="D864" s="15" t="inlineStr">
        <is>
          <t>City of Portland, Metro and Multnomah County remind residents: File and pay your taxes by April 15</t>
        </is>
      </c>
      <c r="E864" s="4" t="inlineStr">
        <is>
          <t>2026-03-15</t>
        </is>
      </c>
      <c r="F864" s="4" t="n"/>
      <c r="G864" s="4" t="inlineStr">
        <is>
          <t>https://www.portland.gov/revenue/news/2026/3/15/city-portland-metro-and-multnomah-county-remind-residents-file-and-pay-your</t>
        </is>
      </c>
    </row>
    <row r="865" ht="30" customHeight="1">
      <c r="A865" s="13" t="inlineStr">
        <is>
          <t>Oregon</t>
        </is>
      </c>
      <c r="B865" s="4" t="inlineStr">
        <is>
          <t>Research &amp; associations</t>
        </is>
      </c>
      <c r="C865" s="4" t="inlineStr">
        <is>
          <t>tonkon.com</t>
        </is>
      </c>
      <c r="D865" s="15" t="inlineStr">
        <is>
          <t>Oregon’s Property Tax Compression Problem Is Back in Spotlight</t>
        </is>
      </c>
      <c r="E865" s="4" t="inlineStr">
        <is>
          <t>2025-12-15</t>
        </is>
      </c>
      <c r="F865" s="4" t="n"/>
      <c r="G865" s="4" t="inlineStr">
        <is>
          <t>https://tonkon.com/ear-to-the-ground-blog/oregons-property-tax-compression-problem-is-back-in-spotlight/</t>
        </is>
      </c>
    </row>
    <row r="866" ht="30" customHeight="1">
      <c r="A866" s="13" t="inlineStr">
        <is>
          <t>Oregon</t>
        </is>
      </c>
      <c r="B866" s="4" t="inlineStr">
        <is>
          <t>Free-market groups &amp; GOP caucuses</t>
        </is>
      </c>
      <c r="C866" s="4" t="inlineStr">
        <is>
          <t>cascadepolicy.org</t>
        </is>
      </c>
      <c r="D866" s="15" t="inlineStr">
        <is>
          <t>We Can’t Afford Metro’s Affordable Housing</t>
        </is>
      </c>
      <c r="E866" s="4" t="inlineStr">
        <is>
          <t>2026-06-25</t>
        </is>
      </c>
      <c r="F866" s="4" t="n"/>
      <c r="G866" s="4" t="inlineStr">
        <is>
          <t>https://cascadepolicy.org/tax-and-budget/we-cant-afford-metros-affordable-housing/</t>
        </is>
      </c>
    </row>
    <row r="867" ht="34" customHeight="1">
      <c r="A867" s="13" t="inlineStr">
        <is>
          <t>Oregon</t>
        </is>
      </c>
      <c r="B867" s="4" t="inlineStr">
        <is>
          <t>Free-market groups &amp; GOP caucuses</t>
        </is>
      </c>
      <c r="C867" s="4" t="inlineStr">
        <is>
          <t>cascadepolicy.org</t>
        </is>
      </c>
      <c r="D867" s="15" t="inlineStr">
        <is>
          <t>Testimony before the Multnomah County Tax Supervising and Conservation Commission regarding the PPS general obligation bond budget</t>
        </is>
      </c>
      <c r="E867" s="4" t="inlineStr">
        <is>
          <t>2025-05-05</t>
        </is>
      </c>
      <c r="F867" s="4" t="n"/>
      <c r="G867" s="4" t="inlineStr">
        <is>
          <t>https://cascadepolicy.org/tax-and-budget/testimony-before-the-multnomah-county-tax-supervising-and-conservation-commission-regarding-the-pps-general-obligation-bond-budget/</t>
        </is>
      </c>
    </row>
    <row r="868" ht="30" customHeight="1">
      <c r="A868" s="13" t="inlineStr">
        <is>
          <t>Oregon</t>
        </is>
      </c>
      <c r="B868" s="4" t="inlineStr">
        <is>
          <t>Free-market groups &amp; GOP caucuses</t>
        </is>
      </c>
      <c r="C868" s="4" t="inlineStr">
        <is>
          <t>commonsenseinstituteus.org</t>
        </is>
      </c>
      <c r="D868" s="15" t="inlineStr">
        <is>
          <t>Oregon – Common Sense Institute</t>
        </is>
      </c>
      <c r="E868" s="4" t="n"/>
      <c r="F868" s="4" t="n"/>
      <c r="G868" s="4" t="inlineStr">
        <is>
          <t>https://commonsenseinstituteus.org/oregon/research/?topic=taxes-and-fees</t>
        </is>
      </c>
    </row>
    <row r="869" ht="30" customHeight="1">
      <c r="A869" s="13" t="inlineStr">
        <is>
          <t>Pennsylvania</t>
        </is>
      </c>
      <c r="B869" s="4" t="inlineStr">
        <is>
          <t>Constitution &amp; statutes</t>
        </is>
      </c>
      <c r="C869" s="4" t="inlineStr">
        <is>
          <t>palegis.us</t>
        </is>
      </c>
      <c r="D869" s="15" t="inlineStr">
        <is>
          <t>2006 Special Session #1 Act 1.pdf</t>
        </is>
      </c>
      <c r="E869" s="4" t="inlineStr">
        <is>
          <t>2025</t>
        </is>
      </c>
      <c r="F869" s="4" t="n"/>
      <c r="G869" s="4" t="inlineStr">
        <is>
          <t>https://www.palegis.us/statutes/unconsolidated/law-information/view-statute?txtType=PDF&amp;SessYr=2006&amp;SessInd=1&amp;ActNum=0001</t>
        </is>
      </c>
    </row>
    <row r="870" ht="30" customHeight="1">
      <c r="A870" s="13" t="inlineStr">
        <is>
          <t>Pennsylvania</t>
        </is>
      </c>
      <c r="B870" s="4" t="inlineStr">
        <is>
          <t>Constitution &amp; statutes</t>
        </is>
      </c>
      <c r="C870" s="4" t="inlineStr">
        <is>
          <t>palegis.us</t>
        </is>
      </c>
      <c r="D870" s="15" t="inlineStr">
        <is>
          <t>Title 53.pdf (view-statute)</t>
        </is>
      </c>
      <c r="E870" s="4" t="inlineStr">
        <is>
          <t>2024</t>
        </is>
      </c>
      <c r="F870" s="4" t="n"/>
      <c r="G870" s="4" t="inlineStr">
        <is>
          <t>https://www.palegis.us/statutes/consolidated/view-statute?txtType=PDF&amp;ttl=53&amp;div=0&amp;chapter=88&amp;section=23&amp;subsctn=0</t>
        </is>
      </c>
    </row>
    <row r="871" ht="30" customHeight="1">
      <c r="A871" s="13" t="inlineStr">
        <is>
          <t>Pennsylvania</t>
        </is>
      </c>
      <c r="B871" s="4" t="inlineStr">
        <is>
          <t>Constitution &amp; statutes</t>
        </is>
      </c>
      <c r="C871" s="4" t="inlineStr">
        <is>
          <t>palegis.us</t>
        </is>
      </c>
      <c r="D871" s="15" t="inlineStr">
        <is>
          <t>Title 53.pdf (view-statute)</t>
        </is>
      </c>
      <c r="E871" s="4" t="inlineStr">
        <is>
          <t>2024</t>
        </is>
      </c>
      <c r="F871" s="4" t="n"/>
      <c r="G871" s="4" t="inlineStr">
        <is>
          <t>https://www.palegis.us/statutes/consolidated/view-statute?txtType=PDF&amp;ttl=53&amp;div=0&amp;chapter=88&amp;section=1&amp;subsctn=0</t>
        </is>
      </c>
    </row>
    <row r="872" ht="30" customHeight="1">
      <c r="A872" s="13" t="inlineStr">
        <is>
          <t>Pennsylvania</t>
        </is>
      </c>
      <c r="B872" s="4" t="inlineStr">
        <is>
          <t>Constitution &amp; statutes</t>
        </is>
      </c>
      <c r="C872" s="4" t="inlineStr">
        <is>
          <t>palegis.us</t>
        </is>
      </c>
      <c r="D872" s="15" t="inlineStr">
        <is>
          <t>Title 53.pdf (view-statute)</t>
        </is>
      </c>
      <c r="E872" s="4" t="inlineStr">
        <is>
          <t>2024</t>
        </is>
      </c>
      <c r="F872" s="4" t="n"/>
      <c r="G872" s="4" t="inlineStr">
        <is>
          <t>https://www.palegis.us/statutes/consolidated/view-statute?txtType=PDF&amp;ttl=53&amp;div=0&amp;chapter=85&amp;section=86&amp;subsctn=0</t>
        </is>
      </c>
    </row>
    <row r="873" ht="30" customHeight="1">
      <c r="A873" s="13" t="inlineStr">
        <is>
          <t>Pennsylvania</t>
        </is>
      </c>
      <c r="B873" s="4" t="inlineStr">
        <is>
          <t>Constitution &amp; statutes</t>
        </is>
      </c>
      <c r="C873" s="4" t="inlineStr">
        <is>
          <t>palegis.us</t>
        </is>
      </c>
      <c r="D873" s="15" t="inlineStr">
        <is>
          <t>Title 53.pdf (view-statute)</t>
        </is>
      </c>
      <c r="E873" s="4" t="inlineStr">
        <is>
          <t>2024</t>
        </is>
      </c>
      <c r="F873" s="4" t="n"/>
      <c r="G873" s="4" t="inlineStr">
        <is>
          <t>https://www.palegis.us/statutes/consolidated/view-statute?txtType=PDF&amp;ttl=53&amp;div=0&amp;chapter=29&amp;section=62&amp;subsctn=0</t>
        </is>
      </c>
    </row>
    <row r="874" ht="30" customHeight="1">
      <c r="A874" s="13" t="inlineStr">
        <is>
          <t>Pennsylvania</t>
        </is>
      </c>
      <c r="B874" s="4" t="inlineStr">
        <is>
          <t>Constitution &amp; statutes</t>
        </is>
      </c>
      <c r="C874" s="4" t="inlineStr">
        <is>
          <t>palegis.us</t>
        </is>
      </c>
      <c r="D874" s="15" t="inlineStr">
        <is>
          <t>Title 8.pdf</t>
        </is>
      </c>
      <c r="E874" s="4" t="inlineStr">
        <is>
          <t>2024</t>
        </is>
      </c>
      <c r="F874" s="4" t="n"/>
      <c r="G874" s="4" t="inlineStr">
        <is>
          <t>https://www.palegis.us/statutes/consolidated/view-statute?txtType=PDF&amp;ttl=8&amp;div=0&amp;chapter=13&amp;section=2&amp;subsctn=0</t>
        </is>
      </c>
    </row>
    <row r="875" ht="30" customHeight="1">
      <c r="A875" s="13" t="inlineStr">
        <is>
          <t>Pennsylvania</t>
        </is>
      </c>
      <c r="B875" s="4" t="inlineStr">
        <is>
          <t>Constitution &amp; statutes</t>
        </is>
      </c>
      <c r="C875" s="4" t="inlineStr">
        <is>
          <t>palegis.us</t>
        </is>
      </c>
      <c r="D875" s="15" t="inlineStr">
        <is>
          <t>The Constitution of Pennsylvania.pdf</t>
        </is>
      </c>
      <c r="E875" s="4" t="inlineStr">
        <is>
          <t>2019</t>
        </is>
      </c>
      <c r="F875" s="4" t="n"/>
      <c r="G875" s="4" t="inlineStr">
        <is>
          <t>https://www.palegis.us/statutes/consolidated/view-statute?txtType=PDF&amp;ttl=00&amp;div=0&amp;chapter=8&amp;section=2&amp;subsctn=0</t>
        </is>
      </c>
    </row>
    <row r="876" ht="30" customHeight="1">
      <c r="A876" s="13" t="inlineStr">
        <is>
          <t>Pennsylvania</t>
        </is>
      </c>
      <c r="B876" s="4" t="inlineStr">
        <is>
          <t>Constitution &amp; statutes</t>
        </is>
      </c>
      <c r="C876" s="4" t="inlineStr">
        <is>
          <t>palegis.us</t>
        </is>
      </c>
      <c r="D876" s="15" t="inlineStr">
        <is>
          <t>2024 Act 14.pdf</t>
        </is>
      </c>
      <c r="E876" s="4" t="inlineStr">
        <is>
          <t>2024</t>
        </is>
      </c>
      <c r="F876" s="4" t="n"/>
      <c r="G876" s="4" t="inlineStr">
        <is>
          <t>https://www.palegis.us/statutes/unconsolidated/law-information/view-statute?txtType=PDF&amp;SessYr=2024&amp;SessInd=0&amp;ActNum=0014</t>
        </is>
      </c>
    </row>
    <row r="877" ht="30" customHeight="1">
      <c r="A877" s="13" t="inlineStr">
        <is>
          <t>Pennsylvania</t>
        </is>
      </c>
      <c r="B877" s="4" t="inlineStr">
        <is>
          <t>Constitution &amp; statutes</t>
        </is>
      </c>
      <c r="C877" s="4" t="inlineStr">
        <is>
          <t>palegis.us</t>
        </is>
      </c>
      <c r="D877" s="15" t="inlineStr">
        <is>
          <t>2026 Act 7.pdf</t>
        </is>
      </c>
      <c r="E877" s="4" t="inlineStr">
        <is>
          <t>2026</t>
        </is>
      </c>
      <c r="F877" s="4" t="n"/>
      <c r="G877" s="4" t="inlineStr">
        <is>
          <t>https://www.palegis.us/statutes/unconsolidated/law-information/view-statute?txtType=PDF&amp;SessYr=2026&amp;SessInd=0&amp;ActNum=0007</t>
        </is>
      </c>
    </row>
    <row r="878" ht="30" customHeight="1">
      <c r="A878" s="13" t="inlineStr">
        <is>
          <t>Pennsylvania</t>
        </is>
      </c>
      <c r="B878" s="4" t="inlineStr">
        <is>
          <t>Constitution &amp; statutes</t>
        </is>
      </c>
      <c r="C878" s="4" t="inlineStr">
        <is>
          <t>palegis.us</t>
        </is>
      </c>
      <c r="D878" s="15" t="inlineStr">
        <is>
          <t>2015 Act 67.pdf</t>
        </is>
      </c>
      <c r="E878" s="4" t="inlineStr">
        <is>
          <t>2016</t>
        </is>
      </c>
      <c r="F878" s="4" t="n"/>
      <c r="G878" s="4" t="inlineStr">
        <is>
          <t>https://www.palegis.us/statutes/unconsolidated/law-information/view-statute?txtType=PDF&amp;SessYr=2015&amp;SessInd=0&amp;ActNum=0067</t>
        </is>
      </c>
    </row>
    <row r="879" ht="30" customHeight="1">
      <c r="A879" s="13" t="inlineStr">
        <is>
          <t>Pennsylvania</t>
        </is>
      </c>
      <c r="B879" s="4" t="inlineStr">
        <is>
          <t>Constitution &amp; statutes</t>
        </is>
      </c>
      <c r="C879" s="4" t="inlineStr">
        <is>
          <t>palegis.us</t>
        </is>
      </c>
      <c r="D879" s="15" t="inlineStr">
        <is>
          <t>1933 Act 69.pdf</t>
        </is>
      </c>
      <c r="E879" s="4" t="inlineStr">
        <is>
          <t>2026</t>
        </is>
      </c>
      <c r="F879" s="4" t="n"/>
      <c r="G879" s="4" t="inlineStr">
        <is>
          <t>https://www.palegis.us/statutes/unconsolidated/law-information/view-statute?txtType=PDF&amp;SessYr=1933&amp;SessInd=0&amp;ActNum=0069</t>
        </is>
      </c>
    </row>
    <row r="880" ht="30" customHeight="1">
      <c r="A880" s="13" t="inlineStr">
        <is>
          <t>Pennsylvania</t>
        </is>
      </c>
      <c r="B880" s="4" t="inlineStr">
        <is>
          <t>Constitution &amp; statutes</t>
        </is>
      </c>
      <c r="C880" s="4" t="inlineStr">
        <is>
          <t>palegis.us</t>
        </is>
      </c>
      <c r="D880" s="15" t="inlineStr">
        <is>
          <t>1949 Act 14.pdf</t>
        </is>
      </c>
      <c r="E880" s="4" t="inlineStr">
        <is>
          <t>2026</t>
        </is>
      </c>
      <c r="F880" s="4" t="n"/>
      <c r="G880" s="4" t="inlineStr">
        <is>
          <t>https://www.palegis.us/statutes/unconsolidated/law-information/view-statute?txtType=PDF&amp;SessYr=1949&amp;SessInd=0&amp;ActNum=0014</t>
        </is>
      </c>
    </row>
    <row r="881" ht="30" customHeight="1">
      <c r="A881" s="13" t="inlineStr">
        <is>
          <t>Pennsylvania</t>
        </is>
      </c>
      <c r="B881" s="4" t="inlineStr">
        <is>
          <t>Constitution &amp; statutes</t>
        </is>
      </c>
      <c r="C881" s="4" t="inlineStr">
        <is>
          <t>palegis.us</t>
        </is>
      </c>
      <c r="D881" s="15" t="inlineStr">
        <is>
          <t>1965 Act 511.pdf</t>
        </is>
      </c>
      <c r="E881" s="4" t="inlineStr">
        <is>
          <t>2022</t>
        </is>
      </c>
      <c r="F881" s="4" t="n"/>
      <c r="G881" s="4" t="inlineStr">
        <is>
          <t>https://www.palegis.us/statutes/unconsolidated/law-information/view-statute?txtType=PDF&amp;SessYr=1965&amp;SessInd=0&amp;ActNum=0511</t>
        </is>
      </c>
    </row>
    <row r="882" ht="30" customHeight="1">
      <c r="A882" s="13" t="inlineStr">
        <is>
          <t>Pennsylvania</t>
        </is>
      </c>
      <c r="B882" s="4" t="inlineStr">
        <is>
          <t>Constitution &amp; statutes</t>
        </is>
      </c>
      <c r="C882" s="4" t="inlineStr">
        <is>
          <t>palegis.us</t>
        </is>
      </c>
      <c r="D882" s="15" t="inlineStr">
        <is>
          <t>1971 Act 2.pdf</t>
        </is>
      </c>
      <c r="E882" s="4" t="inlineStr">
        <is>
          <t>2026</t>
        </is>
      </c>
      <c r="F882" s="4" t="n"/>
      <c r="G882" s="4" t="inlineStr">
        <is>
          <t>https://www.palegis.us/statutes/unconsolidated/law-information/view-statute?txtType=PDF&amp;SessYr=1971&amp;SessInd=0&amp;ActNum=0002</t>
        </is>
      </c>
    </row>
    <row r="883" ht="34" customHeight="1">
      <c r="A883" s="13" t="inlineStr">
        <is>
          <t>Pennsylvania</t>
        </is>
      </c>
      <c r="B883" s="4" t="inlineStr">
        <is>
          <t>Bills &amp; legislative documents</t>
        </is>
      </c>
      <c r="C883" s="4" t="inlineStr">
        <is>
          <t>palegis.us</t>
        </is>
      </c>
      <c r="D883" s="15" t="inlineStr">
        <is>
          <t>Senate Bill 962 Information; 2025-2026 Regular Session - The Official Website of the Pennsylvania General Assembly</t>
        </is>
      </c>
      <c r="E883" s="4" t="n"/>
      <c r="F883" s="4" t="n"/>
      <c r="G883" s="4" t="inlineStr">
        <is>
          <t>https://www.palegis.us/legislation/bills/2025/sb962</t>
        </is>
      </c>
    </row>
    <row r="884" ht="34" customHeight="1">
      <c r="A884" s="13" t="inlineStr">
        <is>
          <t>Pennsylvania</t>
        </is>
      </c>
      <c r="B884" s="4" t="inlineStr">
        <is>
          <t>Bills &amp; legislative documents</t>
        </is>
      </c>
      <c r="C884" s="4" t="inlineStr">
        <is>
          <t>palegis.us</t>
        </is>
      </c>
      <c r="D884" s="15" t="inlineStr">
        <is>
          <t>House Bill 1649 Information; 2025-2026 Regular Session - The Official Website of the Pennsylvania General Assembly</t>
        </is>
      </c>
      <c r="E884" s="4" t="n"/>
      <c r="F884" s="4" t="n"/>
      <c r="G884" s="4" t="inlineStr">
        <is>
          <t>https://www.palegis.us/legislation/bills/2025/hb1649</t>
        </is>
      </c>
    </row>
    <row r="885" ht="34" customHeight="1">
      <c r="A885" s="13" t="inlineStr">
        <is>
          <t>Pennsylvania</t>
        </is>
      </c>
      <c r="B885" s="4" t="inlineStr">
        <is>
          <t>Bills &amp; legislative documents</t>
        </is>
      </c>
      <c r="C885" s="4" t="inlineStr">
        <is>
          <t>palegis.us</t>
        </is>
      </c>
      <c r="D885" s="15" t="inlineStr">
        <is>
          <t>House Bill 310 Information; 2025-2026 Regular Session - The Official Website of the Pennsylvania General Assembly</t>
        </is>
      </c>
      <c r="E885" s="4" t="n"/>
      <c r="F885" s="4" t="n"/>
      <c r="G885" s="4" t="inlineStr">
        <is>
          <t>https://www.palegis.us/legislation/bills/2025/hb310</t>
        </is>
      </c>
    </row>
    <row r="886" ht="30" customHeight="1">
      <c r="A886" s="13" t="inlineStr">
        <is>
          <t>Pennsylvania</t>
        </is>
      </c>
      <c r="B886" s="4" t="inlineStr">
        <is>
          <t>State government</t>
        </is>
      </c>
      <c r="C886" s="4" t="inlineStr">
        <is>
          <t>pa.gov</t>
        </is>
      </c>
      <c r="D886" s="15" t="inlineStr">
        <is>
          <t>Property Tax Relief</t>
        </is>
      </c>
      <c r="E886" s="4" t="n"/>
      <c r="F886" s="4" t="n"/>
      <c r="G886" s="4" t="inlineStr">
        <is>
          <t>https://www.pa.gov/agencies/education/programs-and-services/schools/grants-and-funding/property-tax-relief</t>
        </is>
      </c>
    </row>
    <row r="887" ht="30" customHeight="1">
      <c r="A887" s="13" t="inlineStr">
        <is>
          <t>Pennsylvania</t>
        </is>
      </c>
      <c r="B887" s="4" t="inlineStr">
        <is>
          <t>State government</t>
        </is>
      </c>
      <c r="C887" s="4" t="inlineStr">
        <is>
          <t>pa.gov</t>
        </is>
      </c>
      <c r="D887" s="15" t="inlineStr">
        <is>
          <t>Act 1 Index</t>
        </is>
      </c>
      <c r="E887" s="4" t="n"/>
      <c r="F887" s="4" t="n"/>
      <c r="G887" s="4" t="inlineStr">
        <is>
          <t>https://www.pa.gov/agencies/education/programs-and-services/schools/grants-and-funding/property-tax-relief/act-1-index</t>
        </is>
      </c>
    </row>
    <row r="888" ht="30" customHeight="1">
      <c r="A888" s="13" t="inlineStr">
        <is>
          <t>Pennsylvania</t>
        </is>
      </c>
      <c r="B888" s="4" t="inlineStr">
        <is>
          <t>State government</t>
        </is>
      </c>
      <c r="C888" s="4" t="inlineStr">
        <is>
          <t>pa.gov</t>
        </is>
      </c>
      <c r="D888" s="15" t="inlineStr">
        <is>
          <t>Base Index History (updated for 2027-28)</t>
        </is>
      </c>
      <c r="E888" s="4" t="inlineStr">
        <is>
          <t>2026</t>
        </is>
      </c>
      <c r="F888" s="4" t="n"/>
      <c r="G888" s="4" t="inlineStr">
        <is>
          <t>https://www.pa.gov/content/dam/copapwp-pagov/en/education/documents/schools/property-tax-relief/act1index/ssact1%20baseindexhistory%202027-28.pdf</t>
        </is>
      </c>
    </row>
    <row r="889" ht="30" customHeight="1">
      <c r="A889" s="13" t="inlineStr">
        <is>
          <t>Pennsylvania</t>
        </is>
      </c>
      <c r="B889" s="4" t="inlineStr">
        <is>
          <t>State government</t>
        </is>
      </c>
      <c r="C889" s="4" t="inlineStr">
        <is>
          <t>pa.gov</t>
        </is>
      </c>
      <c r="D889" s="15" t="inlineStr">
        <is>
          <t>ssact1 adjindex 2027-28.xlsx</t>
        </is>
      </c>
      <c r="E889" s="4" t="n"/>
      <c r="F889" s="4" t="n"/>
      <c r="G889" s="4" t="inlineStr">
        <is>
          <t>https://www.pa.gov/content/dam/copapwp-pagov/en/education/documents/schools/property-tax-relief/act1index/ssact1%20adjindex%202027-28.xlsx</t>
        </is>
      </c>
    </row>
    <row r="890" ht="30" customHeight="1">
      <c r="A890" s="13" t="inlineStr">
        <is>
          <t>Pennsylvania</t>
        </is>
      </c>
      <c r="B890" s="4" t="inlineStr">
        <is>
          <t>State government</t>
        </is>
      </c>
      <c r="C890" s="4" t="inlineStr">
        <is>
          <t>pa.gov</t>
        </is>
      </c>
      <c r="D890" s="15" t="inlineStr">
        <is>
          <t>Referendum Exceptions</t>
        </is>
      </c>
      <c r="E890" s="4" t="n"/>
      <c r="F890" s="4" t="n"/>
      <c r="G890" s="4" t="inlineStr">
        <is>
          <t>https://www.pa.gov/agencies/education/programs-and-services/schools/grants-and-funding/property-tax-relief/referendum-exceptions</t>
        </is>
      </c>
    </row>
    <row r="891" ht="30" customHeight="1">
      <c r="A891" s="13" t="inlineStr">
        <is>
          <t>Pennsylvania</t>
        </is>
      </c>
      <c r="B891" s="4" t="inlineStr">
        <is>
          <t>State government</t>
        </is>
      </c>
      <c r="C891" s="4" t="inlineStr">
        <is>
          <t>pa.gov</t>
        </is>
      </c>
      <c r="D891" s="15" t="inlineStr">
        <is>
          <t>2026-27 Report on Referendum Exceptions</t>
        </is>
      </c>
      <c r="E891" s="4" t="inlineStr">
        <is>
          <t>2026</t>
        </is>
      </c>
      <c r="F891" s="4" t="n"/>
      <c r="G891" s="4" t="inlineStr">
        <is>
          <t>https://www.pa.gov/content/dam/copapwp-pagov/en/education/documents/schools/property-tax-relief/referendumexceptions/2026-27%20report%20on%20referendum%20exceptions.pdf</t>
        </is>
      </c>
    </row>
    <row r="892" ht="30" customHeight="1">
      <c r="A892" s="13" t="inlineStr">
        <is>
          <t>Pennsylvania</t>
        </is>
      </c>
      <c r="B892" s="4" t="inlineStr">
        <is>
          <t>State government</t>
        </is>
      </c>
      <c r="C892" s="4" t="inlineStr">
        <is>
          <t>pa.gov</t>
        </is>
      </c>
      <c r="D892" s="15" t="inlineStr">
        <is>
          <t>Property Tax Reduction Allocations</t>
        </is>
      </c>
      <c r="E892" s="4" t="n"/>
      <c r="F892" s="4" t="n"/>
      <c r="G892" s="4" t="inlineStr">
        <is>
          <t>https://www.pa.gov/agencies/education/programs-and-services/schools/grants-and-funding/property-tax-relief/property-tax-reduction-allocations</t>
        </is>
      </c>
    </row>
    <row r="893" ht="30" customHeight="1">
      <c r="A893" s="13" t="inlineStr">
        <is>
          <t>Pennsylvania</t>
        </is>
      </c>
      <c r="B893" s="4" t="inlineStr">
        <is>
          <t>State government</t>
        </is>
      </c>
      <c r="C893" s="4" t="inlineStr">
        <is>
          <t>pa.gov</t>
        </is>
      </c>
      <c r="D893" s="15" t="inlineStr">
        <is>
          <t>2026-27sptra.xlsx</t>
        </is>
      </c>
      <c r="E893" s="4" t="n"/>
      <c r="F893" s="4" t="n"/>
      <c r="G893" s="4" t="inlineStr">
        <is>
          <t>https://www.pa.gov/content/dam/copapwp-pagov/en/education/documents/schools/property-tax-relief/allocations/2026-27sptra.xlsx</t>
        </is>
      </c>
    </row>
    <row r="894" ht="30" customHeight="1">
      <c r="A894" s="13" t="inlineStr">
        <is>
          <t>Pennsylvania</t>
        </is>
      </c>
      <c r="B894" s="4" t="inlineStr">
        <is>
          <t>State government</t>
        </is>
      </c>
      <c r="C894" s="4" t="inlineStr">
        <is>
          <t>pa.gov</t>
        </is>
      </c>
      <c r="D894" s="15" t="inlineStr">
        <is>
          <t>SSAct1 Timeline 2026-27 Fiscal Nov 2026 Election</t>
        </is>
      </c>
      <c r="E894" s="4" t="inlineStr">
        <is>
          <t>2025</t>
        </is>
      </c>
      <c r="F894" s="4" t="n"/>
      <c r="G894" s="4" t="inlineStr">
        <is>
          <t>https://www.pa.gov/content/dam/copapwp-pagov/en/education/documents/schools/property-tax-relief/ssact1%20timeline%202026-27%20fiscal%20nov2026%20election.pdf</t>
        </is>
      </c>
    </row>
    <row r="895" ht="30" customHeight="1">
      <c r="A895" s="13" t="inlineStr">
        <is>
          <t>Pennsylvania</t>
        </is>
      </c>
      <c r="B895" s="4" t="inlineStr">
        <is>
          <t>State government</t>
        </is>
      </c>
      <c r="C895" s="4" t="inlineStr">
        <is>
          <t>pa.gov</t>
        </is>
      </c>
      <c r="D895" s="15" t="inlineStr">
        <is>
          <t>2027 &amp; 2028 Act 1 Timeline for CY School Districts</t>
        </is>
      </c>
      <c r="E895" s="4" t="inlineStr">
        <is>
          <t>2026</t>
        </is>
      </c>
      <c r="F895" s="4" t="n"/>
      <c r="G895" s="4" t="inlineStr">
        <is>
          <t>https://www.pa.gov/content/dam/copapwp-pagov/en/education/documents/schools/property-tax-relief/ssact1%20timeline%202027-28%20calendar.pdf</t>
        </is>
      </c>
    </row>
    <row r="896" ht="49" customHeight="1">
      <c r="A896" s="13" t="inlineStr">
        <is>
          <t>Pennsylvania</t>
        </is>
      </c>
      <c r="B896" s="4" t="inlineStr">
        <is>
          <t>State government</t>
        </is>
      </c>
      <c r="C896" s="4" t="inlineStr">
        <is>
          <t>pa.gov</t>
        </is>
      </c>
      <c r="D896" s="15" t="inlineStr">
        <is>
          <t>Shapiro Administration Announces $226 Million Headed to Nearly 376,000 Pennsylvanians through Expanded Property Tax/Rent Rebate Program; Deadline to Apply Extended to December 31</t>
        </is>
      </c>
      <c r="E896" s="4" t="n"/>
      <c r="F896" s="4" t="n"/>
      <c r="G896" s="4" t="inlineStr">
        <is>
          <t>https://www.pa.gov/agencies/revenue/newsroom/shapiro-administration-announces--226-million-headed-to-nearly-376,000-pennsylvanians-through-expanded-property-tax-rent-rebate-program--deadline-to-apply-extended-to-december-31</t>
        </is>
      </c>
    </row>
    <row r="897" ht="34" customHeight="1">
      <c r="A897" s="13" t="inlineStr">
        <is>
          <t>Pennsylvania</t>
        </is>
      </c>
      <c r="B897" s="4" t="inlineStr">
        <is>
          <t>State government</t>
        </is>
      </c>
      <c r="C897" s="4" t="inlineStr">
        <is>
          <t>patreasury.gov</t>
        </is>
      </c>
      <c r="D897" s="15" t="inlineStr">
        <is>
          <t>Treasurer Stacy Garrity: $224 Million in Property Tax/Rent Rebate Payments Sent to Pennsylvanians</t>
        </is>
      </c>
      <c r="E897" s="4" t="n"/>
      <c r="F897" s="4" t="n"/>
      <c r="G897" s="4" t="inlineStr">
        <is>
          <t>https://patreasury.gov/newsroom/archive/2026/07-01-PTRR.html</t>
        </is>
      </c>
    </row>
    <row r="898" ht="30" customHeight="1">
      <c r="A898" s="13" t="inlineStr">
        <is>
          <t>Pennsylvania</t>
        </is>
      </c>
      <c r="B898" s="4" t="inlineStr">
        <is>
          <t>Local government</t>
        </is>
      </c>
      <c r="C898" s="4" t="inlineStr">
        <is>
          <t>phila.gov</t>
        </is>
      </c>
      <c r="D898" s="15" t="inlineStr">
        <is>
          <t>Get the Homestead Exemption</t>
        </is>
      </c>
      <c r="E898" s="4" t="n"/>
      <c r="F898" s="4" t="n"/>
      <c r="G898" s="4" t="inlineStr">
        <is>
          <t>https://www.phila.gov/services/property-lots-housing/property-taxes/get-real-estate-tax-relief/get-the-homestead-exemption/</t>
        </is>
      </c>
    </row>
    <row r="899" ht="30" customHeight="1">
      <c r="A899" s="13" t="inlineStr">
        <is>
          <t>Pennsylvania</t>
        </is>
      </c>
      <c r="B899" s="4" t="inlineStr">
        <is>
          <t>Bills &amp; legislative documents</t>
        </is>
      </c>
      <c r="C899" s="4" t="inlineStr">
        <is>
          <t>ifo.state.pa.us</t>
        </is>
      </c>
      <c r="D899" s="15" t="inlineStr">
        <is>
          <t>IFO - Releases (Recent-County-Reassessment-Outcomes)</t>
        </is>
      </c>
      <c r="E899" s="4" t="n"/>
      <c r="F899" s="4" t="n"/>
      <c r="G899" s="4" t="inlineStr">
        <is>
          <t>https://www.ifo.state.pa.us/releases/963/Recent-County-Reassessment-Outcomes/</t>
        </is>
      </c>
    </row>
    <row r="900" ht="30" customHeight="1">
      <c r="A900" s="13" t="inlineStr">
        <is>
          <t>Pennsylvania</t>
        </is>
      </c>
      <c r="B900" s="4" t="inlineStr">
        <is>
          <t>Bills &amp; legislative documents</t>
        </is>
      </c>
      <c r="C900" s="4" t="inlineStr">
        <is>
          <t>ifo.state.pa.us</t>
        </is>
      </c>
      <c r="D900" s="15" t="inlineStr">
        <is>
          <t>IFO - Releases (School-District-Property-Tax-Update)</t>
        </is>
      </c>
      <c r="E900" s="4" t="n"/>
      <c r="F900" s="4" t="n"/>
      <c r="G900" s="4" t="inlineStr">
        <is>
          <t>https://www.ifo.state.pa.us/releases/935/School-District-Property-Tax-Update/</t>
        </is>
      </c>
    </row>
    <row r="901" ht="30" customHeight="1">
      <c r="A901" s="13" t="inlineStr">
        <is>
          <t>Pennsylvania</t>
        </is>
      </c>
      <c r="B901" s="4" t="inlineStr">
        <is>
          <t>Bills &amp; legislative documents</t>
        </is>
      </c>
      <c r="C901" s="4" t="inlineStr">
        <is>
          <t>lgc.state.pa.us</t>
        </is>
      </c>
      <c r="D901" s="15" t="inlineStr">
        <is>
          <t>Local Government Commission</t>
        </is>
      </c>
      <c r="E901" s="4" t="n"/>
      <c r="F901" s="4" t="n"/>
      <c r="G901" s="4" t="inlineStr">
        <is>
          <t>https://www.lgc.state.pa.us/incorpCountyCode.cfm</t>
        </is>
      </c>
    </row>
    <row r="902" ht="30" customHeight="1">
      <c r="A902" s="13" t="inlineStr">
        <is>
          <t>Pennsylvania</t>
        </is>
      </c>
      <c r="B902" s="4" t="inlineStr">
        <is>
          <t>Local government</t>
        </is>
      </c>
      <c r="C902" s="4" t="inlineStr">
        <is>
          <t>delcopa.gov</t>
        </is>
      </c>
      <c r="D902" s="15" t="inlineStr">
        <is>
          <t>NOTICE OF 2006 MUNICIPAL PRIMARY ELECTION</t>
        </is>
      </c>
      <c r="E902" s="4" t="inlineStr">
        <is>
          <t>2026</t>
        </is>
      </c>
      <c r="F902" s="4" t="n"/>
      <c r="G902" s="4" t="inlineStr">
        <is>
          <t>https://www.delcopa.gov/sites/default/files/2026-08/GE2026-UMOVA-Notice_8-8-2026.pdf</t>
        </is>
      </c>
    </row>
    <row r="903" ht="30" customHeight="1">
      <c r="A903" s="13" t="inlineStr">
        <is>
          <t>Pennsylvania</t>
        </is>
      </c>
      <c r="B903" s="4" t="inlineStr">
        <is>
          <t>Local government</t>
        </is>
      </c>
      <c r="C903" s="4" t="inlineStr">
        <is>
          <t>vote.phila.gov</t>
        </is>
      </c>
      <c r="D903" s="15" t="inlineStr">
        <is>
          <t>Author: jmarks</t>
        </is>
      </c>
      <c r="E903" s="4" t="inlineStr">
        <is>
          <t>2026</t>
        </is>
      </c>
      <c r="F903" s="4" t="n"/>
      <c r="G903" s="4" t="inlineStr">
        <is>
          <t>https://vote.phila.gov/media/UMOVA_NOTICE_2026_GENERAL_ELECTION.pdf</t>
        </is>
      </c>
    </row>
    <row r="904" ht="30" customHeight="1">
      <c r="A904" s="13" t="inlineStr">
        <is>
          <t>Pennsylvania</t>
        </is>
      </c>
      <c r="B904" s="4" t="inlineStr">
        <is>
          <t>News</t>
        </is>
      </c>
      <c r="C904" s="4" t="inlineStr">
        <is>
          <t>hoodline.com</t>
        </is>
      </c>
      <c r="D904" s="15" t="inlineStr">
        <is>
          <t>Pennsylvania Pushes To Eliminate School Property Taxes</t>
        </is>
      </c>
      <c r="E904" s="4" t="inlineStr">
        <is>
          <t>2026-07-02</t>
        </is>
      </c>
      <c r="F904" s="4" t="n"/>
      <c r="G904" s="4" t="inlineStr">
        <is>
          <t>https://hoodline.com/2026/07/pa-tax-earthquake-keefer-plan-targets-school-property-bills/</t>
        </is>
      </c>
    </row>
    <row r="905" ht="30" customHeight="1">
      <c r="A905" s="13" t="inlineStr">
        <is>
          <t>Pennsylvania</t>
        </is>
      </c>
      <c r="B905" s="4" t="inlineStr">
        <is>
          <t>Research &amp; associations</t>
        </is>
      </c>
      <c r="C905" s="4" t="inlineStr">
        <is>
          <t>lincolninst.edu</t>
        </is>
      </c>
      <c r="D905" s="15" t="inlineStr">
        <is>
          <t>truth in taxation 2024.xlsx</t>
        </is>
      </c>
      <c r="E905" s="4" t="n"/>
      <c r="F905" s="4" t="inlineStr">
        <is>
          <t>DE, GA, IA, IL, KY, MD, MI, MN, MO, NC, ND, NE, NM, NV, NY, OH, OK, OR, RI, TN, TX, UT, VA, VT, WV, WY</t>
        </is>
      </c>
      <c r="G905" s="4" t="inlineStr">
        <is>
          <t>https://www.lincolninst.edu/app/uploads/2024/10/truth_in_taxation_2024.xlsx</t>
        </is>
      </c>
    </row>
    <row r="906" ht="30" customHeight="1">
      <c r="A906" s="13" t="inlineStr">
        <is>
          <t>Pennsylvania</t>
        </is>
      </c>
      <c r="B906" s="4" t="inlineStr">
        <is>
          <t>Federal government &amp; data</t>
        </is>
      </c>
      <c r="C906" s="4" t="inlineStr">
        <is>
          <t>www2.census.gov</t>
        </is>
      </c>
      <c r="D906" s="15" t="inlineStr">
        <is>
          <t>22slsstab1.xlsx</t>
        </is>
      </c>
      <c r="E906" s="4" t="n"/>
      <c r="F906" s="4" t="inlineStr">
        <is>
          <t>AL, AR, IA, KS, KY, LA, MA, MD, ME, MI, MN, MO, MS, MT, NC, ND, NE, NH, NJ, NM, NV, NY, OH, OK, OR, RI, SC, SD, TN, TX, UT, VA, VT, WA, WI, WV, WY</t>
        </is>
      </c>
      <c r="G906" s="4" t="inlineStr">
        <is>
          <t>https://www2.census.gov/programs-surveys/gov-finances/tables/2022/22slsstab1.xlsx</t>
        </is>
      </c>
    </row>
    <row r="907" ht="30" customHeight="1">
      <c r="A907" s="13" t="inlineStr">
        <is>
          <t>Pennsylvania</t>
        </is>
      </c>
      <c r="B907" s="4" t="inlineStr">
        <is>
          <t>State government</t>
        </is>
      </c>
      <c r="C907" s="4" t="inlineStr">
        <is>
          <t>pa.gov</t>
        </is>
      </c>
      <c r="D907" s="15" t="inlineStr">
        <is>
          <t>Shapiro Admin Expands Property Tax/Rent Rebates Aid to 376K Pennsylvanians</t>
        </is>
      </c>
      <c r="E907" s="4" t="n"/>
      <c r="F907" s="4" t="n"/>
      <c r="G907" s="4" t="inlineStr">
        <is>
          <t>https://www.pa.gov/governor/newsroom/2026-press-releases/shapiro-admin-expands-property-tax-rent-rebates-aid-to-376k-penn</t>
        </is>
      </c>
    </row>
    <row r="908" ht="30" customHeight="1">
      <c r="A908" s="13" t="inlineStr">
        <is>
          <t>Pennsylvania</t>
        </is>
      </c>
      <c r="B908" s="4" t="inlineStr">
        <is>
          <t>News</t>
        </is>
      </c>
      <c r="C908" s="4" t="inlineStr">
        <is>
          <t>lewistownsentinel.com</t>
        </is>
      </c>
      <c r="D908" s="15" t="inlineStr">
        <is>
          <t>Property Tax/Rent Rebate program tops $1.1 billion</t>
        </is>
      </c>
      <c r="E908" s="4" t="n"/>
      <c r="F908" s="4" t="n"/>
      <c r="G908" s="4" t="inlineStr">
        <is>
          <t>https://www.lewistownsentinel.com/news/local-news/2026/08/property-tax-rent-rebate-program-tops-1-1-billion/</t>
        </is>
      </c>
    </row>
    <row r="909" ht="34" customHeight="1">
      <c r="A909" s="13" t="inlineStr">
        <is>
          <t>Pennsylvania</t>
        </is>
      </c>
      <c r="B909" s="4" t="inlineStr">
        <is>
          <t>Local government</t>
        </is>
      </c>
      <c r="C909" s="4" t="inlineStr">
        <is>
          <t>phila.gov</t>
        </is>
      </c>
      <c r="D909" s="15" t="inlineStr">
        <is>
          <t>City of Philadelphia to Mail 2027 Property Assessments and Launch Expanded Outreach to Connect Homeowners to Tax Relief</t>
        </is>
      </c>
      <c r="E909" s="4" t="n"/>
      <c r="F909" s="4" t="n"/>
      <c r="G909" s="4" t="inlineStr">
        <is>
          <t>https://www.phila.gov/2026-06-30-city-of-philadelphia-to-mail-2027-property-assessments-and-launch-expanded-outreach-to-connect-homeowners-to-tax-relief/</t>
        </is>
      </c>
    </row>
    <row r="910" ht="30" customHeight="1">
      <c r="A910" s="13" t="inlineStr">
        <is>
          <t>Pennsylvania</t>
        </is>
      </c>
      <c r="B910" s="4" t="inlineStr">
        <is>
          <t>Local government</t>
        </is>
      </c>
      <c r="C910" s="4" t="inlineStr">
        <is>
          <t>phila.gov</t>
        </is>
      </c>
      <c r="D910" s="15" t="inlineStr">
        <is>
          <t>Wage Tax (employers)</t>
        </is>
      </c>
      <c r="E910" s="4" t="n"/>
      <c r="F910" s="4" t="n"/>
      <c r="G910" s="4" t="inlineStr">
        <is>
          <t>https://www.phila.gov/services/payments-assistance-taxes/business-taxes/wage-tax-employers/</t>
        </is>
      </c>
    </row>
    <row r="911" ht="30" customHeight="1">
      <c r="A911" s="13" t="inlineStr">
        <is>
          <t>Pennsylvania</t>
        </is>
      </c>
      <c r="B911" s="4" t="inlineStr">
        <is>
          <t>News</t>
        </is>
      </c>
      <c r="C911" s="4" t="inlineStr">
        <is>
          <t>wesanews.org</t>
        </is>
      </c>
      <c r="D911" s="15" t="inlineStr">
        <is>
          <t>Allegheny County Council passes 2025 budget with ‘compromise’ 36% tax increase</t>
        </is>
      </c>
      <c r="E911" s="4" t="inlineStr">
        <is>
          <t>2024-12-03</t>
        </is>
      </c>
      <c r="F911" s="4" t="n"/>
      <c r="G911" s="4" t="inlineStr">
        <is>
          <t>https://www.wesanews.org/politics-government/2024-12-03/innamorato-and-county-council-announce-budget-compromise-for-allegheny-county</t>
        </is>
      </c>
    </row>
    <row r="912" ht="30" customHeight="1">
      <c r="A912" s="13" t="inlineStr">
        <is>
          <t>Rhode Island</t>
        </is>
      </c>
      <c r="B912" s="4" t="inlineStr">
        <is>
          <t>Constitution &amp; statutes</t>
        </is>
      </c>
      <c r="C912" s="4" t="inlineStr">
        <is>
          <t>webserver.rilegislature.gov</t>
        </is>
      </c>
      <c r="D912" s="15" t="inlineStr">
        <is>
          <t>TITLE44 44-5 44-5-2</t>
        </is>
      </c>
      <c r="E912" s="4" t="n"/>
      <c r="F912" s="4" t="n"/>
      <c r="G912" s="4" t="inlineStr">
        <is>
          <t>http://webserver.rilegislature.gov/Statutes/TITLE44/44-5/44-5-2.htm</t>
        </is>
      </c>
    </row>
    <row r="913" ht="30" customHeight="1">
      <c r="A913" s="13" t="inlineStr">
        <is>
          <t>Rhode Island</t>
        </is>
      </c>
      <c r="B913" s="4" t="inlineStr">
        <is>
          <t>Constitution &amp; statutes</t>
        </is>
      </c>
      <c r="C913" s="4" t="inlineStr">
        <is>
          <t>webserver.rilegislature.gov</t>
        </is>
      </c>
      <c r="D913" s="15" t="inlineStr">
        <is>
          <t>TITLE44 44-33 44-33-9</t>
        </is>
      </c>
      <c r="E913" s="4" t="n"/>
      <c r="F913" s="4" t="n"/>
      <c r="G913" s="4" t="inlineStr">
        <is>
          <t>http://webserver.rilegislature.gov/Statutes/TITLE44/44-33/44-33-9.htm</t>
        </is>
      </c>
    </row>
    <row r="914" ht="30" customHeight="1">
      <c r="A914" s="13" t="inlineStr">
        <is>
          <t>Rhode Island</t>
        </is>
      </c>
      <c r="B914" s="4" t="inlineStr">
        <is>
          <t>Research &amp; associations</t>
        </is>
      </c>
      <c r="C914" s="4" t="inlineStr">
        <is>
          <t>lincolninst.edu</t>
        </is>
      </c>
      <c r="D914" s="15" t="inlineStr">
        <is>
          <t>levy limits 2022.xlsx</t>
        </is>
      </c>
      <c r="E914" s="4" t="n"/>
      <c r="F914" s="4" t="inlineStr">
        <is>
          <t>MA, ME, MI, MN, MO, MS, MT, NM, NV, NY, SD, WA, WI, WV</t>
        </is>
      </c>
      <c r="G914" s="4" t="inlineStr">
        <is>
          <t>https://www.lincolninst.edu/app/uploads/2024/12/levy_limits_2022.xlsx</t>
        </is>
      </c>
    </row>
    <row r="915" ht="30" customHeight="1">
      <c r="A915" s="13" t="inlineStr">
        <is>
          <t>Rhode Island</t>
        </is>
      </c>
      <c r="B915" s="4" t="inlineStr">
        <is>
          <t>Research &amp; associations</t>
        </is>
      </c>
      <c r="C915" s="4" t="inlineStr">
        <is>
          <t>lincolninst.edu</t>
        </is>
      </c>
      <c r="D915" s="15" t="inlineStr">
        <is>
          <t>truth in taxation 2024.xlsx</t>
        </is>
      </c>
      <c r="E915" s="4" t="n"/>
      <c r="F915" s="4" t="inlineStr">
        <is>
          <t>DE, GA, IA, IL, KY, MD, MI, MN, MO, NC, ND, NE, NM, NV, NY, OH, OK, OR, PA, TN, TX, UT, VA, VT, WV, WY</t>
        </is>
      </c>
      <c r="G915" s="4" t="inlineStr">
        <is>
          <t>https://www.lincolninst.edu/app/uploads/2024/10/truth_in_taxation_2024.xlsx</t>
        </is>
      </c>
    </row>
    <row r="916" ht="30" customHeight="1">
      <c r="A916" s="13" t="inlineStr">
        <is>
          <t>Rhode Island</t>
        </is>
      </c>
      <c r="B916" s="4" t="inlineStr">
        <is>
          <t>Federal government &amp; data</t>
        </is>
      </c>
      <c r="C916" s="4" t="inlineStr">
        <is>
          <t>www2.census.gov</t>
        </is>
      </c>
      <c r="D916" s="15" t="inlineStr">
        <is>
          <t>22slsstab1.xlsx</t>
        </is>
      </c>
      <c r="E916" s="4" t="n"/>
      <c r="F916" s="4" t="inlineStr">
        <is>
          <t>AL, AR, IA, KS, KY, LA, MA, MD, ME, MI, MN, MO, MS, MT, NC, ND, NE, NH, NJ, NM, NV, NY, OH, OK, OR, PA, SC, SD, TN, TX, UT, VA, VT, WA, WI, WV, WY</t>
        </is>
      </c>
      <c r="G916" s="4" t="inlineStr">
        <is>
          <t>https://www2.census.gov/programs-surveys/gov-finances/tables/2022/22slsstab1.xlsx</t>
        </is>
      </c>
    </row>
    <row r="917" ht="30" customHeight="1">
      <c r="A917" s="13" t="inlineStr">
        <is>
          <t>Rhode Island</t>
        </is>
      </c>
      <c r="B917" s="4" t="inlineStr">
        <is>
          <t>State government</t>
        </is>
      </c>
      <c r="C917" s="4" t="inlineStr">
        <is>
          <t>municipalfinance.ri.gov</t>
        </is>
      </c>
      <c r="D917" s="15" t="inlineStr">
        <is>
          <t>Report on the Property Tax Cap</t>
        </is>
      </c>
      <c r="E917" s="4" t="inlineStr">
        <is>
          <t>2025</t>
        </is>
      </c>
      <c r="F917" s="4" t="n"/>
      <c r="G917" s="4" t="inlineStr">
        <is>
          <t>https://municipalfinance.ri.gov/sites/g/files/xkgbur546/files/2025-11/Report%20on%20the%20Property%20Tax%20Cap%202026.pdf</t>
        </is>
      </c>
    </row>
    <row r="918" ht="30" customHeight="1">
      <c r="A918" s="13" t="inlineStr">
        <is>
          <t>Rhode Island</t>
        </is>
      </c>
      <c r="B918" s="4" t="inlineStr">
        <is>
          <t>Constitution &amp; statutes</t>
        </is>
      </c>
      <c r="C918" s="4" t="inlineStr">
        <is>
          <t>webserver.rilegislature.gov</t>
        </is>
      </c>
      <c r="D918" s="15" t="inlineStr">
        <is>
          <t>Title 44Taxation</t>
        </is>
      </c>
      <c r="E918" s="4" t="n"/>
      <c r="F918" s="4" t="n"/>
      <c r="G918" s="4" t="inlineStr">
        <is>
          <t>https://webserver.rilegislature.gov/Statutes/TITLE44/44-5/44-5-11.18.htm</t>
        </is>
      </c>
    </row>
    <row r="919" ht="30" customHeight="1">
      <c r="A919" s="13" t="inlineStr">
        <is>
          <t>Rhode Island</t>
        </is>
      </c>
      <c r="B919" s="4" t="inlineStr">
        <is>
          <t>State government</t>
        </is>
      </c>
      <c r="C919" s="4" t="inlineStr">
        <is>
          <t>rules.sos.ri.gov</t>
        </is>
      </c>
      <c r="D919" s="15" t="inlineStr">
        <is>
          <t>Non-Owner Occupied Property Tax</t>
        </is>
      </c>
      <c r="E919" s="4" t="n"/>
      <c r="F919" s="4" t="n"/>
      <c r="G919" s="4" t="inlineStr">
        <is>
          <t>https://rules.sos.ri.gov/Regulations/Part/280-20-75-1</t>
        </is>
      </c>
    </row>
    <row r="920" ht="30" customHeight="1">
      <c r="A920" s="13" t="inlineStr">
        <is>
          <t>Rhode Island</t>
        </is>
      </c>
      <c r="B920" s="4" t="inlineStr">
        <is>
          <t>News</t>
        </is>
      </c>
      <c r="C920" s="4" t="inlineStr">
        <is>
          <t>wpri.com</t>
        </is>
      </c>
      <c r="D920" s="15" t="inlineStr">
        <is>
          <t>‘Taylor Swift tax’ goes into effect in Rhode Island. Here’s how many could pay</t>
        </is>
      </c>
      <c r="E920" s="4" t="inlineStr">
        <is>
          <t>2026-07-01</t>
        </is>
      </c>
      <c r="F920" s="4" t="n"/>
      <c r="G920" s="4" t="inlineStr">
        <is>
          <t>https://www.wpri.com/target-12/taylor-swift-tax-goes-into-effect-in-rhode-island-heres-how-many-could-pay/amp/</t>
        </is>
      </c>
    </row>
    <row r="921" ht="34" customHeight="1">
      <c r="A921" s="13" t="inlineStr">
        <is>
          <t>Rhode Island</t>
        </is>
      </c>
      <c r="B921" s="4" t="inlineStr">
        <is>
          <t>Research &amp; associations</t>
        </is>
      </c>
      <c r="C921" s="4" t="inlineStr">
        <is>
          <t>pierceatwood.com</t>
        </is>
      </c>
      <c r="D921" s="15" t="inlineStr">
        <is>
          <t>New Rhode Island Tax on Non-Owner-Occupied Properties Assessed at $1 Million or More</t>
        </is>
      </c>
      <c r="E921" s="4" t="n"/>
      <c r="F921" s="4" t="n"/>
      <c r="G921" s="4" t="inlineStr">
        <is>
          <t>https://www.pierceatwood.com/alerts/new-rhode-island-tax-non-owner-occupied-properties-assessed-1-million-or-more</t>
        </is>
      </c>
    </row>
    <row r="922" ht="30" customHeight="1">
      <c r="A922" s="13" t="inlineStr">
        <is>
          <t>Rhode Island</t>
        </is>
      </c>
      <c r="B922" s="4" t="inlineStr">
        <is>
          <t>News</t>
        </is>
      </c>
      <c r="C922" s="4" t="inlineStr">
        <is>
          <t>news.bloomberglaw.com</t>
        </is>
      </c>
      <c r="D922" s="15" t="inlineStr">
        <is>
          <t>‘Taylor Swift Tax’ Draws Suit From Rhode Island Homeowners (1)</t>
        </is>
      </c>
      <c r="E922" s="4" t="inlineStr">
        <is>
          <t>2026-08-20</t>
        </is>
      </c>
      <c r="F922" s="4" t="n"/>
      <c r="G922" s="4" t="inlineStr">
        <is>
          <t>https://news.bloomberglaw.com/daily-tax-report/taylor-swift-tax-draws-first-suit-from-rhode-island-homeowners</t>
        </is>
      </c>
    </row>
    <row r="923" ht="30" customHeight="1">
      <c r="A923" s="13" t="inlineStr">
        <is>
          <t>Rhode Island</t>
        </is>
      </c>
      <c r="B923" s="4" t="inlineStr">
        <is>
          <t>Local government</t>
        </is>
      </c>
      <c r="C923" s="4" t="inlineStr">
        <is>
          <t>providenceri.gov</t>
        </is>
      </c>
      <c r="D923" s="15" t="inlineStr">
        <is>
          <t>City of Providence Rhode Island</t>
        </is>
      </c>
      <c r="E923" s="4" t="inlineStr">
        <is>
          <t>2025</t>
        </is>
      </c>
      <c r="F923" s="4" t="n"/>
      <c r="G923" s="4" t="inlineStr">
        <is>
          <t>https://www.providenceri.gov/wp-content/uploads/2026/06/FY27-Adopted-Ordinance-Book-Web.pdf</t>
        </is>
      </c>
    </row>
    <row r="924" ht="34" customHeight="1">
      <c r="A924" s="13" t="inlineStr">
        <is>
          <t>Rhode Island</t>
        </is>
      </c>
      <c r="B924" s="4" t="inlineStr">
        <is>
          <t>News</t>
        </is>
      </c>
      <c r="C924" s="4" t="inlineStr">
        <is>
          <t>bostonglobe.com</t>
        </is>
      </c>
      <c r="D924" s="15" t="inlineStr">
        <is>
          <t>Mayor Smiley unveils proposed FY2027 Providence budget with lowest spending growth in at least five years</t>
        </is>
      </c>
      <c r="E924" s="4" t="inlineStr">
        <is>
          <t>2026-04-16</t>
        </is>
      </c>
      <c r="F924" s="4" t="n"/>
      <c r="G924" s="4" t="inlineStr">
        <is>
          <t>https://www.bostonglobe.com/2026/04/16/metro/providence-smiley-fy2027-budget/</t>
        </is>
      </c>
    </row>
    <row r="925" ht="30" customHeight="1">
      <c r="A925" s="13" t="inlineStr">
        <is>
          <t>Rhode Island</t>
        </is>
      </c>
      <c r="B925" s="4" t="inlineStr">
        <is>
          <t>News</t>
        </is>
      </c>
      <c r="C925" s="4" t="inlineStr">
        <is>
          <t>pbn.com</t>
        </is>
      </c>
      <c r="D925" s="15" t="inlineStr">
        <is>
          <t>Providence City Council leaders, Smiley agree to seek 5.85% tax levy hike</t>
        </is>
      </c>
      <c r="E925" s="4" t="inlineStr">
        <is>
          <t>2025-06-27</t>
        </is>
      </c>
      <c r="F925" s="4" t="n"/>
      <c r="G925" s="4" t="inlineStr">
        <is>
          <t>https://pbn.com/providence-city-council-leaders-smiley-agree-to-seek-5-85-tax-levy-hike/</t>
        </is>
      </c>
    </row>
    <row r="926" ht="34" customHeight="1">
      <c r="A926" s="13" t="inlineStr">
        <is>
          <t>Rhode Island</t>
        </is>
      </c>
      <c r="B926" s="4" t="inlineStr">
        <is>
          <t>News</t>
        </is>
      </c>
      <c r="C926" s="4" t="inlineStr">
        <is>
          <t>browndailyherald.com</t>
        </is>
      </c>
      <c r="D926" s="15" t="inlineStr">
        <is>
          <t>Five takeaways from Providence’s PILOT agreements with local colleges and universities</t>
        </is>
      </c>
      <c r="E926" s="4" t="inlineStr">
        <is>
          <t>2024-11-25</t>
        </is>
      </c>
      <c r="F926" s="4" t="n"/>
      <c r="G926" s="4" t="inlineStr">
        <is>
          <t>https://www.browndailyherald.com/article/2024/11/five-takeaways-from-providences-pilot-agreements-with-local-colleges-and-universities</t>
        </is>
      </c>
    </row>
    <row r="927" ht="30" customHeight="1">
      <c r="A927" s="13" t="inlineStr">
        <is>
          <t>Rhode Island</t>
        </is>
      </c>
      <c r="B927" s="4" t="inlineStr">
        <is>
          <t>News</t>
        </is>
      </c>
      <c r="C927" s="4" t="inlineStr">
        <is>
          <t>browndailyherald.com</t>
        </is>
      </c>
      <c r="D927" s="15" t="inlineStr">
        <is>
          <t>Lifespan, soon Brown University Health, agrees to $1.5m PILOT</t>
        </is>
      </c>
      <c r="E927" s="4" t="inlineStr">
        <is>
          <t>2024-10-02</t>
        </is>
      </c>
      <c r="F927" s="4" t="n"/>
      <c r="G927" s="4" t="inlineStr">
        <is>
          <t>https://www.browndailyherald.com/article/2024/10/lifespan-soon-brown-university-health-agrees-to-pay-15-million-to-city-in-lieu-of-taxes</t>
        </is>
      </c>
    </row>
    <row r="928" ht="30" customHeight="1">
      <c r="A928" s="13" t="inlineStr">
        <is>
          <t>Rhode Island</t>
        </is>
      </c>
      <c r="B928" s="4" t="inlineStr">
        <is>
          <t>Bills &amp; legislative documents</t>
        </is>
      </c>
      <c r="C928" s="4" t="inlineStr">
        <is>
          <t>rilegislature.gov</t>
        </is>
      </c>
      <c r="D928" s="15" t="inlineStr">
        <is>
          <t>State Aid to Local Governments</t>
        </is>
      </c>
      <c r="E928" s="4" t="inlineStr">
        <is>
          <t>2025</t>
        </is>
      </c>
      <c r="F928" s="4" t="n"/>
      <c r="G928" s="4" t="inlineStr">
        <is>
          <t>https://rilegislature.gov/housefiscalreport/2020/Local%20Aid%202025%20Edition.pdf</t>
        </is>
      </c>
    </row>
    <row r="929" ht="34" customHeight="1">
      <c r="A929" s="13" t="inlineStr">
        <is>
          <t>Rhode Island</t>
        </is>
      </c>
      <c r="B929" s="4" t="inlineStr">
        <is>
          <t>Ballot information</t>
        </is>
      </c>
      <c r="C929" s="4" t="inlineStr">
        <is>
          <t>news.ballotpedia.org</t>
        </is>
      </c>
      <c r="D929" s="15" t="inlineStr">
        <is>
          <t>Rhode Island voters will weigh in on five bond issues in Nov. 2026 included in the state's budget</t>
        </is>
      </c>
      <c r="E929" s="4" t="n"/>
      <c r="F929" s="4" t="n"/>
      <c r="G929" s="4" t="inlineStr">
        <is>
          <t>https://news.ballotpedia.org/2026/06/16/rhode-island-voters-will-weigh-in-on-five-bond-issues-in-nov-2026-included-in-the-states-budget</t>
        </is>
      </c>
    </row>
    <row r="930" ht="30" customHeight="1">
      <c r="A930" s="13" t="inlineStr">
        <is>
          <t>Rhode Island</t>
        </is>
      </c>
      <c r="B930" s="4" t="inlineStr">
        <is>
          <t>Bills &amp; legislative documents</t>
        </is>
      </c>
      <c r="C930" s="4" t="inlineStr">
        <is>
          <t>webserver.rilegislature.gov</t>
        </is>
      </c>
      <c r="D930" s="15" t="inlineStr">
        <is>
          <t>BillText26 HouseText26 H7299</t>
        </is>
      </c>
      <c r="E930" s="4" t="n"/>
      <c r="F930" s="4" t="n"/>
      <c r="G930" s="4" t="inlineStr">
        <is>
          <t>https://webserver.rilegislature.gov/BillText26/HouseText26/H7299.htm</t>
        </is>
      </c>
    </row>
    <row r="931" ht="30" customHeight="1">
      <c r="A931" s="13" t="inlineStr">
        <is>
          <t>Rhode Island</t>
        </is>
      </c>
      <c r="B931" s="4" t="inlineStr">
        <is>
          <t>Bills &amp; legislative documents</t>
        </is>
      </c>
      <c r="C931" s="4" t="inlineStr">
        <is>
          <t>webserver.rilegislature.gov</t>
        </is>
      </c>
      <c r="D931" s="15" t="inlineStr">
        <is>
          <t>BillText26 HouseText26 H7047</t>
        </is>
      </c>
      <c r="E931" s="4" t="n"/>
      <c r="F931" s="4" t="n"/>
      <c r="G931" s="4" t="inlineStr">
        <is>
          <t>https://webserver.rilegislature.gov/BillText26/HouseText26/H7047.htm</t>
        </is>
      </c>
    </row>
    <row r="932" ht="30" customHeight="1">
      <c r="A932" s="13" t="inlineStr">
        <is>
          <t>Rhode Island</t>
        </is>
      </c>
      <c r="B932" s="4" t="inlineStr">
        <is>
          <t>Free-market groups &amp; GOP caucuses</t>
        </is>
      </c>
      <c r="C932" s="4" t="inlineStr">
        <is>
          <t>rifreedom.org</t>
        </is>
      </c>
      <c r="D932" s="15" t="inlineStr">
        <is>
          <t>New Report Shows RI's Big Government Gamble has Failed Residents</t>
        </is>
      </c>
      <c r="E932" s="4" t="inlineStr">
        <is>
          <t>2026-07-22</t>
        </is>
      </c>
      <c r="F932" s="4" t="n"/>
      <c r="G932" s="4" t="inlineStr">
        <is>
          <t>https://rifreedom.org/2026/07/big-government-report/</t>
        </is>
      </c>
    </row>
    <row r="933" ht="30" customHeight="1">
      <c r="A933" s="13" t="inlineStr">
        <is>
          <t>Rhode Island</t>
        </is>
      </c>
      <c r="B933" s="4" t="inlineStr">
        <is>
          <t>Free-market groups &amp; GOP caucuses</t>
        </is>
      </c>
      <c r="C933" s="4" t="inlineStr">
        <is>
          <t>rifreedom.org</t>
        </is>
      </c>
      <c r="D933" s="15" t="inlineStr">
        <is>
          <t>The Left's Assault on RI Families</t>
        </is>
      </c>
      <c r="E933" s="4" t="inlineStr">
        <is>
          <t>2024-03-06</t>
        </is>
      </c>
      <c r="F933" s="4" t="n"/>
      <c r="G933" s="4" t="inlineStr">
        <is>
          <t>https://rifreedom.org/2024/03/the-lefts-assault-on-ri-families/</t>
        </is>
      </c>
    </row>
    <row r="934" ht="30" customHeight="1">
      <c r="A934" s="13" t="inlineStr">
        <is>
          <t>Rhode Island</t>
        </is>
      </c>
      <c r="B934" s="4" t="inlineStr">
        <is>
          <t>Free-market groups &amp; GOP caucuses</t>
        </is>
      </c>
      <c r="C934" s="4" t="inlineStr">
        <is>
          <t>taxfoundation.org</t>
        </is>
      </c>
      <c r="D934" s="15" t="inlineStr">
        <is>
          <t>Taxes in Rhode Island</t>
        </is>
      </c>
      <c r="E934" s="4" t="n"/>
      <c r="F934" s="4" t="n"/>
      <c r="G934" s="4" t="inlineStr">
        <is>
          <t>https://taxfoundation.org/location/rhode-island/</t>
        </is>
      </c>
    </row>
    <row r="935" ht="34" customHeight="1">
      <c r="A935" s="13" t="inlineStr">
        <is>
          <t>South Carolina</t>
        </is>
      </c>
      <c r="B935" s="4" t="inlineStr">
        <is>
          <t>Constitution &amp; statutes</t>
        </is>
      </c>
      <c r="C935" s="4" t="inlineStr">
        <is>
          <t>scstatehouse.gov</t>
        </is>
      </c>
      <c r="D935" s="15" t="inlineStr">
        <is>
          <t>Code of Laws - Title 6 - Chapter 1- - LOCAL GOVERNMENT—PROVISIONS APPLICABLE TO SPECIAL PURPOSE DISTRICTS AND OTHER POLITICAL SUBDIVISIONS</t>
        </is>
      </c>
      <c r="E935" s="4" t="n"/>
      <c r="F935" s="4" t="n"/>
      <c r="G935" s="4" t="inlineStr">
        <is>
          <t>https://www.scstatehouse.gov/code/t06c001.php</t>
        </is>
      </c>
    </row>
    <row r="936" ht="30" customHeight="1">
      <c r="A936" s="13" t="inlineStr">
        <is>
          <t>South Carolina</t>
        </is>
      </c>
      <c r="B936" s="4" t="inlineStr">
        <is>
          <t>Constitution &amp; statutes</t>
        </is>
      </c>
      <c r="C936" s="4" t="inlineStr">
        <is>
          <t>scstatehouse.gov</t>
        </is>
      </c>
      <c r="D936" s="15" t="inlineStr">
        <is>
          <t>Code of Laws - Title 12 - Chapter 37-</t>
        </is>
      </c>
      <c r="E936" s="4" t="n"/>
      <c r="F936" s="4" t="n"/>
      <c r="G936" s="4" t="inlineStr">
        <is>
          <t>https://www.scstatehouse.gov/code/t12c037.php</t>
        </is>
      </c>
    </row>
    <row r="937" ht="30" customHeight="1">
      <c r="A937" s="13" t="inlineStr">
        <is>
          <t>South Carolina</t>
        </is>
      </c>
      <c r="B937" s="4" t="inlineStr">
        <is>
          <t>Research &amp; associations</t>
        </is>
      </c>
      <c r="C937" s="4" t="inlineStr">
        <is>
          <t>lincolninst.edu</t>
        </is>
      </c>
      <c r="D937" s="15" t="inlineStr">
        <is>
          <t>assessment limits 2022-3.xlsx</t>
        </is>
      </c>
      <c r="E937" s="4" t="n"/>
      <c r="F937" s="4" t="inlineStr">
        <is>
          <t>CA, CT, FL, LA, MD, MI, NY</t>
        </is>
      </c>
      <c r="G937" s="4" t="inlineStr">
        <is>
          <t>https://www.lincolninst.edu/app/uploads/2024/12/assessment_limits_2022-3.xlsx</t>
        </is>
      </c>
    </row>
    <row r="938" ht="30" customHeight="1">
      <c r="A938" s="13" t="inlineStr">
        <is>
          <t>South Carolina</t>
        </is>
      </c>
      <c r="B938" s="4" t="inlineStr">
        <is>
          <t>Research &amp; associations</t>
        </is>
      </c>
      <c r="C938" s="4" t="inlineStr">
        <is>
          <t>apps.lincolninst.edu</t>
        </is>
      </c>
      <c r="D938" s="15" t="inlineStr">
        <is>
          <t>rate-limits-2022-4.xlsx</t>
        </is>
      </c>
      <c r="E938" s="4" t="n"/>
      <c r="F938" s="4" t="inlineStr">
        <is>
          <t>AL, FL, IA, ID, KS, KY, LA, MA, MI, MO, NM, NV, SD, UT, WA, WV, WY</t>
        </is>
      </c>
      <c r="G938" s="4" t="inlineStr">
        <is>
          <t>https://apps.lincolninst.edu/uploads/summary-tables/rate-limits-summary-tables/rate-limits-2022-4.xlsx</t>
        </is>
      </c>
    </row>
    <row r="939" ht="30" customHeight="1">
      <c r="A939" s="13" t="inlineStr">
        <is>
          <t>South Carolina</t>
        </is>
      </c>
      <c r="B939" s="4" t="inlineStr">
        <is>
          <t>Federal government &amp; data</t>
        </is>
      </c>
      <c r="C939" s="4" t="inlineStr">
        <is>
          <t>www2.census.gov</t>
        </is>
      </c>
      <c r="D939" s="15" t="inlineStr">
        <is>
          <t>22slsstab1.xlsx</t>
        </is>
      </c>
      <c r="E939" s="4" t="n"/>
      <c r="F939" s="4" t="inlineStr">
        <is>
          <t>AL, AR, IA, KS, KY, LA, MA, MD, ME, MI, MN, MO, MS, MT, NC, ND, NE, NH, NJ, NM, NV, NY, OH, OK, OR, PA, RI, SD, TN, TX, UT, VA, VT, WA, WI, WV, WY</t>
        </is>
      </c>
      <c r="G939" s="4" t="inlineStr">
        <is>
          <t>https://www2.census.gov/programs-surveys/gov-finances/tables/2022/22slsstab1.xlsx</t>
        </is>
      </c>
    </row>
    <row r="940" ht="30" customHeight="1">
      <c r="A940" s="13" t="inlineStr">
        <is>
          <t>South Carolina</t>
        </is>
      </c>
      <c r="B940" s="4" t="inlineStr">
        <is>
          <t>Bills &amp; legislative documents</t>
        </is>
      </c>
      <c r="C940" s="4" t="inlineStr">
        <is>
          <t>scstatehouse.gov</t>
        </is>
      </c>
      <c r="D940" s="15" t="inlineStr">
        <is>
          <t>2025-2026 Bill 439: Manufacturing property tax exemption</t>
        </is>
      </c>
      <c r="E940" s="4" t="n"/>
      <c r="F940" s="4" t="n"/>
      <c r="G940" s="4" t="inlineStr">
        <is>
          <t>https://www.scstatehouse.gov/sess126_2025-2026/bills/439.htm</t>
        </is>
      </c>
    </row>
    <row r="941" ht="30" customHeight="1">
      <c r="A941" s="13" t="inlineStr">
        <is>
          <t>South Carolina</t>
        </is>
      </c>
      <c r="B941" s="4" t="inlineStr">
        <is>
          <t>Bills &amp; legislative documents</t>
        </is>
      </c>
      <c r="C941" s="4" t="inlineStr">
        <is>
          <t>scstatehouse.gov</t>
        </is>
      </c>
      <c r="D941" s="15" t="inlineStr">
        <is>
          <t>2025-2026 Bill 768: Homestead exemption</t>
        </is>
      </c>
      <c r="E941" s="4" t="n"/>
      <c r="F941" s="4" t="n"/>
      <c r="G941" s="4" t="inlineStr">
        <is>
          <t>https://www.scstatehouse.gov/sess126_2025-2026/bills/768.htm</t>
        </is>
      </c>
    </row>
    <row r="942" ht="34" customHeight="1">
      <c r="A942" s="13" t="inlineStr">
        <is>
          <t>South Carolina</t>
        </is>
      </c>
      <c r="B942" s="4" t="inlineStr">
        <is>
          <t>Bills &amp; legislative documents</t>
        </is>
      </c>
      <c r="C942" s="4" t="inlineStr">
        <is>
          <t>scstatehouse.gov</t>
        </is>
      </c>
      <c r="D942" s="15" t="inlineStr">
        <is>
          <t>SOUTH CAROLINA REVENUE AND FISCAL AFFAIRS OFFICE STATEMENT OF ESTIMATED FISCAL IMPACT</t>
        </is>
      </c>
      <c r="E942" s="4" t="inlineStr">
        <is>
          <t>2026</t>
        </is>
      </c>
      <c r="F942" s="4" t="n"/>
      <c r="G942" s="4" t="inlineStr">
        <is>
          <t>https://www.scstatehouse.gov/sess126_2025-2026/fiscalimpactstatements/S0768%202026-02-19%20amended.pdf</t>
        </is>
      </c>
    </row>
    <row r="943" ht="34" customHeight="1">
      <c r="A943" s="13" t="inlineStr">
        <is>
          <t>South Carolina</t>
        </is>
      </c>
      <c r="B943" s="4" t="inlineStr">
        <is>
          <t>State government</t>
        </is>
      </c>
      <c r="C943" s="4" t="inlineStr">
        <is>
          <t>rfa.sc.gov</t>
        </is>
      </c>
      <c r="D943" s="15" t="inlineStr">
        <is>
          <t>Property Tax Reimbursement Projections | South Carolina Revenue &amp; Fiscal Affairs Office</t>
        </is>
      </c>
      <c r="E943" s="4" t="n"/>
      <c r="F943" s="4" t="n"/>
      <c r="G943" s="4" t="inlineStr">
        <is>
          <t>https://www.rfa.sc.gov/resources/local-government/property-tax-reports/property-tax-reimbursement-projections</t>
        </is>
      </c>
    </row>
    <row r="944" ht="30" customHeight="1">
      <c r="A944" s="13" t="inlineStr">
        <is>
          <t>South Carolina</t>
        </is>
      </c>
      <c r="B944" s="4" t="inlineStr">
        <is>
          <t>State government</t>
        </is>
      </c>
      <c r="C944" s="4" t="inlineStr">
        <is>
          <t>rfa.sc.gov</t>
        </is>
      </c>
      <c r="D944" s="15" t="inlineStr">
        <is>
          <t>HOMESTEAD EXEMPTION FUND (TIER III) Revenues and Expenditures</t>
        </is>
      </c>
      <c r="E944" s="4" t="inlineStr">
        <is>
          <t>2025</t>
        </is>
      </c>
      <c r="F944" s="4" t="n"/>
      <c r="G944" s="4" t="inlineStr">
        <is>
          <t>https://rfa.sc.gov/media/11411</t>
        </is>
      </c>
    </row>
    <row r="945" ht="30" customHeight="1">
      <c r="A945" s="13" t="inlineStr">
        <is>
          <t>South Carolina</t>
        </is>
      </c>
      <c r="B945" s="4" t="inlineStr">
        <is>
          <t>State government</t>
        </is>
      </c>
      <c r="C945" s="4" t="inlineStr">
        <is>
          <t>rfa.sc.gov</t>
        </is>
      </c>
      <c r="D945" s="15" t="inlineStr">
        <is>
          <t>Trust Fund for Property Tax Relief $100,000 Residential</t>
        </is>
      </c>
      <c r="E945" s="4" t="inlineStr">
        <is>
          <t>2025</t>
        </is>
      </c>
      <c r="F945" s="4" t="n"/>
      <c r="G945" s="4" t="inlineStr">
        <is>
          <t>https://rfa.sc.gov/media/11413</t>
        </is>
      </c>
    </row>
    <row r="946" ht="34" customHeight="1">
      <c r="A946" s="13" t="inlineStr">
        <is>
          <t>South Carolina</t>
        </is>
      </c>
      <c r="B946" s="4" t="inlineStr">
        <is>
          <t>News</t>
        </is>
      </c>
      <c r="C946" s="4" t="inlineStr">
        <is>
          <t>wistv.com</t>
        </is>
      </c>
      <c r="D946" s="15" t="inlineStr">
        <is>
          <t>Richland County leaders approve property tax increase. Here’s what you need to know</t>
        </is>
      </c>
      <c r="E946" s="4" t="inlineStr">
        <is>
          <t>2025-05-23</t>
        </is>
      </c>
      <c r="F946" s="4" t="n"/>
      <c r="G946" s="4" t="inlineStr">
        <is>
          <t>https://www.wistv.com/2025/05/23/richland-county-leaders-are-looking-increase-property-taxes-heres-what-you-need-know/</t>
        </is>
      </c>
    </row>
    <row r="947" ht="30" customHeight="1">
      <c r="A947" s="13" t="inlineStr">
        <is>
          <t>South Carolina</t>
        </is>
      </c>
      <c r="B947" s="4" t="inlineStr">
        <is>
          <t>Local government</t>
        </is>
      </c>
      <c r="C947" s="4" t="inlineStr">
        <is>
          <t>budget.columbiasc.gov</t>
        </is>
      </c>
      <c r="D947" s="15" t="inlineStr">
        <is>
          <t>PowerPoint Presentation (FY 26-27 Approved-Budget-Final.pdf)</t>
        </is>
      </c>
      <c r="E947" s="4" t="inlineStr">
        <is>
          <t>2026</t>
        </is>
      </c>
      <c r="F947" s="4" t="n"/>
      <c r="G947" s="4" t="inlineStr">
        <is>
          <t>https://budget.columbiasc.gov/wp-content/uploads/2026/07/FY_26-27_Approved-Budget-Final.pdf</t>
        </is>
      </c>
    </row>
    <row r="948" ht="30" customHeight="1">
      <c r="A948" s="13" t="inlineStr">
        <is>
          <t>South Carolina</t>
        </is>
      </c>
      <c r="B948" s="4" t="inlineStr">
        <is>
          <t>News</t>
        </is>
      </c>
      <c r="C948" s="4" t="inlineStr">
        <is>
          <t>live5news.com</t>
        </is>
      </c>
      <c r="D948" s="15" t="inlineStr">
        <is>
          <t>Charleston County voters defeat half-cent sales tax referendum</t>
        </is>
      </c>
      <c r="E948" s="4" t="inlineStr">
        <is>
          <t>2024-11-06</t>
        </is>
      </c>
      <c r="F948" s="4" t="n"/>
      <c r="G948" s="4" t="inlineStr">
        <is>
          <t>https://www.live5news.com/2024/11/06/charleston-county-voters-defeat-half-cent-sales-tax-referendum</t>
        </is>
      </c>
    </row>
    <row r="949" ht="30" customHeight="1">
      <c r="A949" s="13" t="inlineStr">
        <is>
          <t>South Carolina</t>
        </is>
      </c>
      <c r="B949" s="4" t="inlineStr">
        <is>
          <t>Free-market groups &amp; GOP caucuses</t>
        </is>
      </c>
      <c r="C949" s="4" t="inlineStr">
        <is>
          <t>palmettopromise.org</t>
        </is>
      </c>
      <c r="D949" s="15" t="inlineStr">
        <is>
          <t>Taxing Times for South Carolina Renters, Investors, Vacationers</t>
        </is>
      </c>
      <c r="E949" s="4" t="inlineStr">
        <is>
          <t>2025-12-04</t>
        </is>
      </c>
      <c r="F949" s="4" t="n"/>
      <c r="G949" s="4" t="inlineStr">
        <is>
          <t>https://palmettopromise.org/taxing-times-for-south-carolina-renters-investors-vacationers/</t>
        </is>
      </c>
    </row>
    <row r="950" ht="34" customHeight="1">
      <c r="A950" s="13" t="inlineStr">
        <is>
          <t>South Carolina</t>
        </is>
      </c>
      <c r="B950" s="4" t="inlineStr">
        <is>
          <t>Free-market groups &amp; GOP caucuses</t>
        </is>
      </c>
      <c r="C950" s="4" t="inlineStr">
        <is>
          <t>palmettopromise.org</t>
        </is>
      </c>
      <c r="D950" s="15" t="inlineStr">
        <is>
          <t>South Carolina’s Hidden Tax: How Manufacturing Property Taxes Could Threaten Our State’s Growth</t>
        </is>
      </c>
      <c r="E950" s="4" t="inlineStr">
        <is>
          <t>2025-10-22</t>
        </is>
      </c>
      <c r="F950" s="4" t="n"/>
      <c r="G950" s="4" t="inlineStr">
        <is>
          <t>https://palmettopromise.org/south-carolinas-hidden-tax-how-manufacturing-property-taxes-could-threaten-our-states-growth/</t>
        </is>
      </c>
    </row>
    <row r="951" ht="30" customHeight="1">
      <c r="A951" s="13" t="inlineStr">
        <is>
          <t>South Carolina</t>
        </is>
      </c>
      <c r="B951" s="4" t="inlineStr">
        <is>
          <t>Free-market groups &amp; GOP caucuses</t>
        </is>
      </c>
      <c r="C951" s="4" t="inlineStr">
        <is>
          <t>palmettopromise.org</t>
        </is>
      </c>
      <c r="D951" s="15" t="inlineStr">
        <is>
          <t>The Legislative Session is (Mostly) Over. What Got Done?</t>
        </is>
      </c>
      <c r="E951" s="4" t="inlineStr">
        <is>
          <t>2026-05-22</t>
        </is>
      </c>
      <c r="F951" s="4" t="n"/>
      <c r="G951" s="4" t="inlineStr">
        <is>
          <t>https://palmettopromise.org/the-legislative-session-is-mostly-over-what-got-done/</t>
        </is>
      </c>
    </row>
    <row r="952" ht="30" customHeight="1">
      <c r="A952" s="13" t="inlineStr">
        <is>
          <t>South Carolina</t>
        </is>
      </c>
      <c r="B952" s="4" t="inlineStr">
        <is>
          <t>Bills &amp; legislative documents</t>
        </is>
      </c>
      <c r="C952" s="4" t="inlineStr">
        <is>
          <t>scstatehouse.gov</t>
        </is>
      </c>
      <c r="D952" s="15" t="inlineStr">
        <is>
          <t>2025-2026 Bill H.5126, Budget for FY 2026-2027 - Part IB - Ratified Version</t>
        </is>
      </c>
      <c r="E952" s="4" t="n"/>
      <c r="F952" s="4" t="n"/>
      <c r="G952" s="4" t="inlineStr">
        <is>
          <t>https://www.scstatehouse.gov/sess126_2025-2026/appropriations2026/tap1b.htm</t>
        </is>
      </c>
    </row>
    <row r="953" ht="30" customHeight="1">
      <c r="A953" s="13" t="inlineStr">
        <is>
          <t>South Carolina</t>
        </is>
      </c>
      <c r="B953" s="4" t="inlineStr">
        <is>
          <t>Other</t>
        </is>
      </c>
      <c r="C953" s="4" t="inlineStr">
        <is>
          <t>masc.sc</t>
        </is>
      </c>
      <c r="D953" s="15" t="inlineStr">
        <is>
          <t>August 14, 2026 | MASC</t>
        </is>
      </c>
      <c r="E953" s="4" t="n"/>
      <c r="F953" s="4" t="n"/>
      <c r="G953" s="4" t="inlineStr">
        <is>
          <t>https://www.masc.sc/node/8079</t>
        </is>
      </c>
    </row>
    <row r="954" ht="30" customHeight="1">
      <c r="A954" s="13" t="inlineStr">
        <is>
          <t>South Dakota</t>
        </is>
      </c>
      <c r="B954" s="4" t="inlineStr">
        <is>
          <t>Bills &amp; legislative documents</t>
        </is>
      </c>
      <c r="C954" s="4" t="inlineStr">
        <is>
          <t>mylrc.sdlegislature.gov</t>
        </is>
      </c>
      <c r="D954" s="15" t="inlineStr">
        <is>
          <t>216C Amendment</t>
        </is>
      </c>
      <c r="E954" s="4" t="n"/>
      <c r="F954" s="4" t="n"/>
      <c r="G954" s="4" t="inlineStr">
        <is>
          <t>https://mylrc.sdlegislature.gov/api/Documents/282923.html</t>
        </is>
      </c>
    </row>
    <row r="955" ht="30" customHeight="1">
      <c r="A955" s="13" t="inlineStr">
        <is>
          <t>South Dakota</t>
        </is>
      </c>
      <c r="B955" s="4" t="inlineStr">
        <is>
          <t>News</t>
        </is>
      </c>
      <c r="C955" s="4" t="inlineStr">
        <is>
          <t>newsfromthestates.com</t>
        </is>
      </c>
      <c r="D955" s="15" t="inlineStr">
        <is>
          <t>governor-signs-bills-reduce-homeowner-property-taxes-higher-sales-taxes</t>
        </is>
      </c>
      <c r="E955" s="4" t="n"/>
      <c r="F955" s="4" t="n"/>
      <c r="G955" s="4" t="inlineStr">
        <is>
          <t>https://www.newsfromthestates.com/article/governor-signs-bills-reduce-homeowner-property-taxes-higher-sales-taxes</t>
        </is>
      </c>
    </row>
    <row r="956" ht="34" customHeight="1">
      <c r="A956" s="13" t="inlineStr">
        <is>
          <t>South Dakota</t>
        </is>
      </c>
      <c r="B956" s="4" t="inlineStr">
        <is>
          <t>News</t>
        </is>
      </c>
      <c r="C956" s="4" t="inlineStr">
        <is>
          <t>rapidcitypost.com</t>
        </is>
      </c>
      <c r="D956" s="15" t="inlineStr">
        <is>
          <t>Trading property tax for sales tax: Legislature moves forward with parts of homeowner relief package</t>
        </is>
      </c>
      <c r="E956" s="4" t="inlineStr">
        <is>
          <t>2026-03-10</t>
        </is>
      </c>
      <c r="F956" s="4" t="n"/>
      <c r="G956" s="4" t="inlineStr">
        <is>
          <t>https://rapidcitypost.com/?p=173628</t>
        </is>
      </c>
    </row>
    <row r="957" ht="30" customHeight="1">
      <c r="A957" s="13" t="inlineStr">
        <is>
          <t>South Dakota</t>
        </is>
      </c>
      <c r="B957" s="4" t="inlineStr">
        <is>
          <t>News</t>
        </is>
      </c>
      <c r="C957" s="4" t="inlineStr">
        <is>
          <t>dakotanewsnow.com</t>
        </is>
      </c>
      <c r="D957" s="15" t="inlineStr">
        <is>
          <t>Rhoden signs property tax bill into law</t>
        </is>
      </c>
      <c r="E957" s="4" t="inlineStr">
        <is>
          <t>2025-03-13</t>
        </is>
      </c>
      <c r="F957" s="4" t="n"/>
      <c r="G957" s="4" t="inlineStr">
        <is>
          <t>https://www.dakotanewsnow.com/2025/03/13/rhoden-signs-property-tax-bill-into-law</t>
        </is>
      </c>
    </row>
    <row r="958" ht="30" customHeight="1">
      <c r="A958" s="13" t="inlineStr">
        <is>
          <t>South Dakota</t>
        </is>
      </c>
      <c r="B958" s="4" t="inlineStr">
        <is>
          <t>Research &amp; associations</t>
        </is>
      </c>
      <c r="C958" s="4" t="inlineStr">
        <is>
          <t>lincolninst.edu</t>
        </is>
      </c>
      <c r="D958" s="15" t="inlineStr">
        <is>
          <t>levy limits 2022.xlsx</t>
        </is>
      </c>
      <c r="E958" s="4" t="n"/>
      <c r="F958" s="4" t="inlineStr">
        <is>
          <t>MA, ME, MI, MN, MO, MS, MT, NM, NV, NY, RI, WA, WI, WV</t>
        </is>
      </c>
      <c r="G958" s="4" t="inlineStr">
        <is>
          <t>https://www.lincolninst.edu/app/uploads/2024/12/levy_limits_2022.xlsx</t>
        </is>
      </c>
    </row>
    <row r="959" ht="30" customHeight="1">
      <c r="A959" s="13" t="inlineStr">
        <is>
          <t>South Dakota</t>
        </is>
      </c>
      <c r="B959" s="4" t="inlineStr">
        <is>
          <t>Research &amp; associations</t>
        </is>
      </c>
      <c r="C959" s="4" t="inlineStr">
        <is>
          <t>apps.lincolninst.edu</t>
        </is>
      </c>
      <c r="D959" s="15" t="inlineStr">
        <is>
          <t>rate-limits-2022-4.xlsx</t>
        </is>
      </c>
      <c r="E959" s="4" t="n"/>
      <c r="F959" s="4" t="inlineStr">
        <is>
          <t>AL, FL, IA, ID, KS, KY, LA, MA, MI, MO, NM, NV, SC, UT, WA, WV, WY</t>
        </is>
      </c>
      <c r="G959" s="4" t="inlineStr">
        <is>
          <t>https://apps.lincolninst.edu/uploads/summary-tables/rate-limits-summary-tables/rate-limits-2022-4.xlsx</t>
        </is>
      </c>
    </row>
    <row r="960" ht="30" customHeight="1">
      <c r="A960" s="13" t="inlineStr">
        <is>
          <t>South Dakota</t>
        </is>
      </c>
      <c r="B960" s="4" t="inlineStr">
        <is>
          <t>Federal government &amp; data</t>
        </is>
      </c>
      <c r="C960" s="4" t="inlineStr">
        <is>
          <t>www2.census.gov</t>
        </is>
      </c>
      <c r="D960" s="15" t="inlineStr">
        <is>
          <t>22slsstab1.xlsx</t>
        </is>
      </c>
      <c r="E960" s="4" t="n"/>
      <c r="F960" s="4" t="inlineStr">
        <is>
          <t>AL, AR, IA, KS, KY, LA, MA, MD, ME, MI, MN, MO, MS, MT, NC, ND, NE, NH, NJ, NM, NV, NY, OH, OK, OR, PA, RI, SC, TN, TX, UT, VA, VT, WA, WI, WV, WY</t>
        </is>
      </c>
      <c r="G960" s="4" t="inlineStr">
        <is>
          <t>https://www2.census.gov/programs-surveys/gov-finances/tables/2022/22slsstab1.xlsx</t>
        </is>
      </c>
    </row>
    <row r="961" ht="30" customHeight="1">
      <c r="A961" s="13" t="inlineStr">
        <is>
          <t>South Dakota</t>
        </is>
      </c>
      <c r="B961" s="4" t="inlineStr">
        <is>
          <t>State government</t>
        </is>
      </c>
      <c r="C961" s="4" t="inlineStr">
        <is>
          <t>sdsos.gov</t>
        </is>
      </c>
      <c r="D961" s="15" t="inlineStr">
        <is>
          <t>Potential Ballot Questions: South Dakota Secretary of State</t>
        </is>
      </c>
      <c r="E961" s="4" t="n"/>
      <c r="F961" s="4" t="n"/>
      <c r="G961" s="4" t="inlineStr">
        <is>
          <t>https://sdsos.gov/elections-voting/upcoming-elections/general-information/2026%20Election%20Information/2026-ballot-questions.aspx</t>
        </is>
      </c>
    </row>
    <row r="962" ht="30" customHeight="1">
      <c r="A962" s="13" t="inlineStr">
        <is>
          <t>South Dakota</t>
        </is>
      </c>
      <c r="B962" s="4" t="inlineStr">
        <is>
          <t>News</t>
        </is>
      </c>
      <c r="C962" s="4" t="inlineStr">
        <is>
          <t>sdpb.org</t>
        </is>
      </c>
      <c r="D962" s="15" t="inlineStr">
        <is>
          <t>Group fails to get homeowner property tax relief law on November ballot</t>
        </is>
      </c>
      <c r="E962" s="4" t="inlineStr">
        <is>
          <t>2026-06-29</t>
        </is>
      </c>
      <c r="F962" s="4" t="n"/>
      <c r="G962" s="4" t="inlineStr">
        <is>
          <t>https://www.sdpb.org/politics/2026-06-29/group-fails-to-get-homeowner-property-tax-relief-law-on-november-ballot</t>
        </is>
      </c>
    </row>
    <row r="963" ht="30" customHeight="1">
      <c r="A963" s="13" t="inlineStr">
        <is>
          <t>South Dakota</t>
        </is>
      </c>
      <c r="B963" s="4" t="inlineStr">
        <is>
          <t>News</t>
        </is>
      </c>
      <c r="C963" s="4" t="inlineStr">
        <is>
          <t>sdpb.org</t>
        </is>
      </c>
      <c r="D963" s="15" t="inlineStr">
        <is>
          <t>Governor signs property tax bills into law</t>
        </is>
      </c>
      <c r="E963" s="4" t="inlineStr">
        <is>
          <t>2026-03-12</t>
        </is>
      </c>
      <c r="F963" s="4" t="n"/>
      <c r="G963" s="4" t="inlineStr">
        <is>
          <t>https://www.sdpb.org/politics/2026-03-12/governor-signs-property-tax-bills-into-law</t>
        </is>
      </c>
    </row>
    <row r="964" ht="34" customHeight="1">
      <c r="A964" s="13" t="inlineStr">
        <is>
          <t>South Dakota</t>
        </is>
      </c>
      <c r="B964" s="4" t="inlineStr">
        <is>
          <t>News</t>
        </is>
      </c>
      <c r="C964" s="4" t="inlineStr">
        <is>
          <t>kotatv.com</t>
        </is>
      </c>
      <c r="D964" s="15" t="inlineStr">
        <is>
          <t>“These bills topped them all” Rhoden signs what he says is the largest property tax cut into law</t>
        </is>
      </c>
      <c r="E964" s="4" t="inlineStr">
        <is>
          <t>2026-03-13</t>
        </is>
      </c>
      <c r="F964" s="4" t="n"/>
      <c r="G964" s="4" t="inlineStr">
        <is>
          <t>https://www.kotatv.com/2026/03/13/these-bills-topped-them-all-rhoden-signs-what-he-says-is-largest-property-tax-cut-into-law</t>
        </is>
      </c>
    </row>
    <row r="965" ht="30" customHeight="1">
      <c r="A965" s="13" t="inlineStr">
        <is>
          <t>South Dakota</t>
        </is>
      </c>
      <c r="B965" s="4" t="inlineStr">
        <is>
          <t>News</t>
        </is>
      </c>
      <c r="C965" s="4" t="inlineStr">
        <is>
          <t>rapidcitypost.com</t>
        </is>
      </c>
      <c r="D965" s="15" t="inlineStr">
        <is>
          <t>Effort to require elections for excess school taxation falters in state House</t>
        </is>
      </c>
      <c r="E965" s="4" t="inlineStr">
        <is>
          <t>2026-02-05</t>
        </is>
      </c>
      <c r="F965" s="4" t="n"/>
      <c r="G965" s="4" t="inlineStr">
        <is>
          <t>https://rapidcitypost.com/effort-to-require-elections-for-excess-school-taxation-falters-in-state-house/</t>
        </is>
      </c>
    </row>
    <row r="966" ht="30" customHeight="1">
      <c r="A966" s="13" t="inlineStr">
        <is>
          <t>South Dakota</t>
        </is>
      </c>
      <c r="B966" s="4" t="inlineStr">
        <is>
          <t>Bills &amp; legislative documents</t>
        </is>
      </c>
      <c r="C966" s="4" t="inlineStr">
        <is>
          <t>sdlegislature.gov</t>
        </is>
      </c>
      <c r="D966" s="15" t="inlineStr">
        <is>
          <t>Bills ActionLog 26534</t>
        </is>
      </c>
      <c r="E966" s="4" t="n"/>
      <c r="F966" s="4" t="n"/>
      <c r="G966" s="4" t="inlineStr">
        <is>
          <t>https://sdlegislature.gov/api/Bills/ActionLog/26534</t>
        </is>
      </c>
    </row>
    <row r="967" ht="34" customHeight="1">
      <c r="A967" s="13" t="inlineStr">
        <is>
          <t>South Dakota</t>
        </is>
      </c>
      <c r="B967" s="4" t="inlineStr">
        <is>
          <t>Bills &amp; legislative documents</t>
        </is>
      </c>
      <c r="C967" s="4" t="inlineStr">
        <is>
          <t>mylrc.sdlegislature.gov</t>
        </is>
      </c>
      <c r="D967" s="15" t="inlineStr">
        <is>
          <t>HB1323 An Act to modify the requirements to refer an ordinance or resolution to the voters of a political subdivision. (Senate Engrossed)</t>
        </is>
      </c>
      <c r="E967" s="4" t="n"/>
      <c r="F967" s="4" t="n"/>
      <c r="G967" s="4" t="inlineStr">
        <is>
          <t>https://mylrc.sdlegislature.gov/api/Documents/306606.html</t>
        </is>
      </c>
    </row>
    <row r="968" ht="30" customHeight="1">
      <c r="A968" s="13" t="inlineStr">
        <is>
          <t>South Dakota</t>
        </is>
      </c>
      <c r="B968" s="4" t="inlineStr">
        <is>
          <t>News</t>
        </is>
      </c>
      <c r="C968" s="4" t="inlineStr">
        <is>
          <t>dakotanewsnow.com</t>
        </is>
      </c>
      <c r="D968" s="15" t="inlineStr">
        <is>
          <t>Local group opposes Sioux Falls School District opt-out</t>
        </is>
      </c>
      <c r="E968" s="4" t="inlineStr">
        <is>
          <t>2025-07-05</t>
        </is>
      </c>
      <c r="F968" s="4" t="n"/>
      <c r="G968" s="4" t="inlineStr">
        <is>
          <t>https://www.dakotanewsnow.com/2025/07/05/local-group-opposes-sioux-falls-school-district-opt-out</t>
        </is>
      </c>
    </row>
    <row r="969" ht="30" customHeight="1">
      <c r="A969" s="13" t="inlineStr">
        <is>
          <t>South Dakota</t>
        </is>
      </c>
      <c r="B969" s="4" t="inlineStr">
        <is>
          <t>News</t>
        </is>
      </c>
      <c r="C969" s="4" t="inlineStr">
        <is>
          <t>dakotanewsnow.com</t>
        </is>
      </c>
      <c r="D969" s="15" t="inlineStr">
        <is>
          <t>Governor Rhoden, Americans For Prosperity host property tax town hall</t>
        </is>
      </c>
      <c r="E969" s="4" t="inlineStr">
        <is>
          <t>2026-02-14</t>
        </is>
      </c>
      <c r="F969" s="4" t="n"/>
      <c r="G969" s="4" t="inlineStr">
        <is>
          <t>https://www.dakotanewsnow.com/2026/02/14/governor-rhoden-americans-prosperity-host-property-tax-town-hall/</t>
        </is>
      </c>
    </row>
    <row r="970" ht="30" customHeight="1">
      <c r="A970" s="13" t="inlineStr">
        <is>
          <t>South Dakota</t>
        </is>
      </c>
      <c r="B970" s="4" t="inlineStr">
        <is>
          <t>Bills &amp; legislative documents</t>
        </is>
      </c>
      <c r="C970" s="4" t="inlineStr">
        <is>
          <t>mylrc.sdlegislature.gov</t>
        </is>
      </c>
      <c r="D970" s="15" t="inlineStr">
        <is>
          <t>PRESS RELEASE FOR IMMEDIATE RELEASE</t>
        </is>
      </c>
      <c r="E970" s="4" t="inlineStr">
        <is>
          <t>2025</t>
        </is>
      </c>
      <c r="F970" s="4" t="n"/>
      <c r="G970" s="4" t="inlineStr">
        <is>
          <t>https://mylrc.sdlegislature.gov/api/Documents/PressRelease/287260.pdf</t>
        </is>
      </c>
    </row>
    <row r="971" ht="30" customHeight="1">
      <c r="A971" s="13" t="inlineStr">
        <is>
          <t>South Dakota</t>
        </is>
      </c>
      <c r="B971" s="4" t="inlineStr">
        <is>
          <t>Free-market groups &amp; GOP caucuses</t>
        </is>
      </c>
      <c r="C971" s="4" t="inlineStr">
        <is>
          <t>americansforprosperity.org</t>
        </is>
      </c>
      <c r="D971" s="15" t="inlineStr">
        <is>
          <t>AFP-South Dakota Criticizes House Defeat of Senate Bill 85</t>
        </is>
      </c>
      <c r="E971" s="4" t="inlineStr">
        <is>
          <t>2026-02-04</t>
        </is>
      </c>
      <c r="F971" s="4" t="n"/>
      <c r="G971" s="4" t="inlineStr">
        <is>
          <t>https://americansforprosperity.org/press-release/afp-south-dakota-criticizes-house-defeat-of-senate-bill-85/</t>
        </is>
      </c>
    </row>
    <row r="972" ht="34" customHeight="1">
      <c r="A972" s="13" t="inlineStr">
        <is>
          <t>South Dakota</t>
        </is>
      </c>
      <c r="B972" s="4" t="inlineStr">
        <is>
          <t>Free-market groups &amp; GOP caucuses</t>
        </is>
      </c>
      <c r="C972" s="4" t="inlineStr">
        <is>
          <t>americansforprosperity.org</t>
        </is>
      </c>
      <c r="D972" s="15" t="inlineStr">
        <is>
          <t>ICYMI: AFP-SD Continues Grassroots Engagement in Back-to-Back Property Tax Town Halls with Gov. Rhoden</t>
        </is>
      </c>
      <c r="E972" s="4" t="inlineStr">
        <is>
          <t>2026-02-18</t>
        </is>
      </c>
      <c r="F972" s="4" t="n"/>
      <c r="G972" s="4" t="inlineStr">
        <is>
          <t>https://americansforprosperity.org/press-release/icymi-afp-sd-continues-grassroots-engagement-in-back-to-back-property-tax-town-halls-with-gov-rhoden/</t>
        </is>
      </c>
    </row>
    <row r="973" ht="34" customHeight="1">
      <c r="A973" s="13" t="inlineStr">
        <is>
          <t>South Dakota</t>
        </is>
      </c>
      <c r="B973" s="4" t="inlineStr">
        <is>
          <t>Free-market groups &amp; GOP caucuses</t>
        </is>
      </c>
      <c r="C973" s="4" t="inlineStr">
        <is>
          <t>archive.commonsenseinstituteus.org</t>
        </is>
      </c>
      <c r="D973" s="15" t="inlineStr">
        <is>
          <t>Iowa Leads the Nation in Property Tax Relief: Ranking State Reforms of the Past Decade</t>
        </is>
      </c>
      <c r="E973" s="4" t="n"/>
      <c r="F973" s="4" t="inlineStr">
        <is>
          <t>NE, NJ, OH, TX, WY</t>
        </is>
      </c>
      <c r="G973" s="4" t="inlineStr">
        <is>
          <t>https://archive.commonsenseinstituteus.org/iowa/research/taxes-and-fees/iowa-leads-the-nation-in-property-tax-relief-ranking-state-reforms-of-the-past-decade</t>
        </is>
      </c>
    </row>
    <row r="974" ht="30" customHeight="1">
      <c r="A974" s="13" t="inlineStr">
        <is>
          <t>South Dakota</t>
        </is>
      </c>
      <c r="B974" s="4" t="inlineStr">
        <is>
          <t>Free-market groups &amp; GOP caucuses</t>
        </is>
      </c>
      <c r="C974" s="4" t="inlineStr">
        <is>
          <t>taxfoundation.org</t>
        </is>
      </c>
      <c r="D974" s="15" t="inlineStr">
        <is>
          <t>Excise Taxes Cannot Replace Property Taxes</t>
        </is>
      </c>
      <c r="E974" s="4" t="inlineStr">
        <is>
          <t>2025-12-15</t>
        </is>
      </c>
      <c r="F974" s="4" t="n"/>
      <c r="G974" s="4" t="inlineStr">
        <is>
          <t>https://taxfoundation.org/blog/excise-taxes-cannot-replace-property-taxes/</t>
        </is>
      </c>
    </row>
    <row r="975" ht="30" customHeight="1">
      <c r="A975" s="13" t="inlineStr">
        <is>
          <t>South Dakota</t>
        </is>
      </c>
      <c r="B975" s="4" t="inlineStr">
        <is>
          <t>Free-market groups &amp; GOP caucuses</t>
        </is>
      </c>
      <c r="C975" s="4" t="inlineStr">
        <is>
          <t>taxfoundation.org</t>
        </is>
      </c>
      <c r="D975" s="15" t="inlineStr">
        <is>
          <t>Taxes in South Dakota</t>
        </is>
      </c>
      <c r="E975" s="4" t="n"/>
      <c r="F975" s="4" t="n"/>
      <c r="G975" s="4" t="inlineStr">
        <is>
          <t>https://taxfoundation.org/location/south-dakota/</t>
        </is>
      </c>
    </row>
    <row r="976" ht="30" customHeight="1">
      <c r="A976" s="13" t="inlineStr">
        <is>
          <t>Tennessee</t>
        </is>
      </c>
      <c r="B976" s="4" t="inlineStr">
        <is>
          <t>State government</t>
        </is>
      </c>
      <c r="C976" s="4" t="inlineStr">
        <is>
          <t>comptroller.tn.gov</t>
        </is>
      </c>
      <c r="D976" s="15" t="inlineStr">
        <is>
          <t>Certified Tax Rate</t>
        </is>
      </c>
      <c r="E976" s="4" t="n"/>
      <c r="F976" s="4" t="n"/>
      <c r="G976" s="4" t="inlineStr">
        <is>
          <t>https://comptroller.tn.gov/boards/state-board-of-equalization/sboe-resources/certified-tax-rate.html</t>
        </is>
      </c>
    </row>
    <row r="977" ht="30" customHeight="1">
      <c r="A977" s="13" t="inlineStr">
        <is>
          <t>Tennessee</t>
        </is>
      </c>
      <c r="B977" s="4" t="inlineStr">
        <is>
          <t>Research &amp; associations</t>
        </is>
      </c>
      <c r="C977" s="4" t="inlineStr">
        <is>
          <t>ctas.tennessee.edu</t>
        </is>
      </c>
      <c r="D977" s="15" t="inlineStr">
        <is>
          <t>Levy a Tax Rate in Excess of the Certified Tax Rate</t>
        </is>
      </c>
      <c r="E977" s="4" t="n"/>
      <c r="F977" s="4" t="n"/>
      <c r="G977" s="4" t="inlineStr">
        <is>
          <t>https://www.ctas.tennessee.edu/levy-tax-rate-excess-certified-tax-rate</t>
        </is>
      </c>
    </row>
    <row r="978" ht="30" customHeight="1">
      <c r="A978" s="13" t="inlineStr">
        <is>
          <t>Tennessee</t>
        </is>
      </c>
      <c r="B978" s="4" t="inlineStr">
        <is>
          <t>Local government</t>
        </is>
      </c>
      <c r="C978" s="4" t="inlineStr">
        <is>
          <t>graingercountytrustee.com</t>
        </is>
      </c>
      <c r="D978" s="15" t="inlineStr">
        <is>
          <t>Where do I apply? Contact your county trustee to apply.</t>
        </is>
      </c>
      <c r="E978" s="4" t="inlineStr">
        <is>
          <t>2026</t>
        </is>
      </c>
      <c r="F978" s="4" t="n"/>
      <c r="G978" s="4" t="inlineStr">
        <is>
          <t>https://www.graingercountytrustee.com/wp-content/uploads/2026/06/Tax-Relief-Brochure-2026.pdf</t>
        </is>
      </c>
    </row>
    <row r="979" ht="30" customHeight="1">
      <c r="A979" s="13" t="inlineStr">
        <is>
          <t>Tennessee</t>
        </is>
      </c>
      <c r="B979" s="4" t="inlineStr">
        <is>
          <t>Ballot information</t>
        </is>
      </c>
      <c r="C979" s="4" t="inlineStr">
        <is>
          <t>news.ballotpedia.org</t>
        </is>
      </c>
      <c r="D979" s="15" t="inlineStr">
        <is>
          <t>voters-in-seven-states-to-decide-13-property-tax-measures-in-2026</t>
        </is>
      </c>
      <c r="E979" s="4" t="n"/>
      <c r="F979" s="4" t="inlineStr">
        <is>
          <t>TX, UT, VA, WA, WI, WV, WY</t>
        </is>
      </c>
      <c r="G979" s="4" t="inlineStr">
        <is>
          <t>https://news.ballotpedia.org/2026/08/27/voters-in-seven-states-to-decide-13-property-tax-measures-in-2026/</t>
        </is>
      </c>
    </row>
    <row r="980" ht="30" customHeight="1">
      <c r="A980" s="13" t="inlineStr">
        <is>
          <t>Tennessee</t>
        </is>
      </c>
      <c r="B980" s="4" t="inlineStr">
        <is>
          <t>Research &amp; associations</t>
        </is>
      </c>
      <c r="C980" s="4" t="inlineStr">
        <is>
          <t>tnfarmbureau.org</t>
        </is>
      </c>
      <c r="D980" s="15" t="inlineStr">
        <is>
          <t>2025 PD Book Covers</t>
        </is>
      </c>
      <c r="E980" s="4" t="inlineStr">
        <is>
          <t>2025</t>
        </is>
      </c>
      <c r="F980" s="4" t="n"/>
      <c r="G980" s="4" t="inlineStr">
        <is>
          <t>https://tnfarmbureau.org/wp-content/uploads/2025/08/2026-Election-Constitutional-Amendments.pdf</t>
        </is>
      </c>
    </row>
    <row r="981" ht="30" customHeight="1">
      <c r="A981" s="13" t="inlineStr">
        <is>
          <t>Tennessee</t>
        </is>
      </c>
      <c r="B981" s="4" t="inlineStr">
        <is>
          <t>Research &amp; associations</t>
        </is>
      </c>
      <c r="C981" s="4" t="inlineStr">
        <is>
          <t>lincolninst.edu</t>
        </is>
      </c>
      <c r="D981" s="15" t="inlineStr">
        <is>
          <t>truth in taxation 2024.xlsx</t>
        </is>
      </c>
      <c r="E981" s="4" t="n"/>
      <c r="F981" s="4" t="inlineStr">
        <is>
          <t>DE, GA, IA, IL, KY, MD, MI, MN, MO, NC, ND, NE, NM, NV, NY, OH, OK, OR, PA, RI, TX, UT, VA, VT, WV, WY</t>
        </is>
      </c>
      <c r="G981" s="4" t="inlineStr">
        <is>
          <t>https://www.lincolninst.edu/app/uploads/2024/10/truth_in_taxation_2024.xlsx</t>
        </is>
      </c>
    </row>
    <row r="982" ht="30" customHeight="1">
      <c r="A982" s="13" t="inlineStr">
        <is>
          <t>Tennessee</t>
        </is>
      </c>
      <c r="B982" s="4" t="inlineStr">
        <is>
          <t>Federal government &amp; data</t>
        </is>
      </c>
      <c r="C982" s="4" t="inlineStr">
        <is>
          <t>www2.census.gov</t>
        </is>
      </c>
      <c r="D982" s="15" t="inlineStr">
        <is>
          <t>22slsstab1.xlsx</t>
        </is>
      </c>
      <c r="E982" s="4" t="n"/>
      <c r="F982" s="4" t="inlineStr">
        <is>
          <t>AL, AR, IA, KS, KY, LA, MA, MD, ME, MI, MN, MO, MS, MT, NC, ND, NE, NH, NJ, NM, NV, NY, OH, OK, OR, PA, RI, SC, SD, TX, UT, VA, VT, WA, WI, WV, WY</t>
        </is>
      </c>
      <c r="G982" s="4" t="inlineStr">
        <is>
          <t>https://www2.census.gov/programs-surveys/gov-finances/tables/2022/22slsstab1.xlsx</t>
        </is>
      </c>
    </row>
    <row r="983" ht="30" customHeight="1">
      <c r="A983" s="13" t="inlineStr">
        <is>
          <t>Tennessee</t>
        </is>
      </c>
      <c r="B983" s="4" t="inlineStr">
        <is>
          <t>State government</t>
        </is>
      </c>
      <c r="C983" s="4" t="inlineStr">
        <is>
          <t>sos.tn.gov</t>
        </is>
      </c>
      <c r="D983" s="15" t="inlineStr">
        <is>
          <t>Proposed Constitutional Amendments</t>
        </is>
      </c>
      <c r="E983" s="4" t="n"/>
      <c r="F983" s="4" t="n"/>
      <c r="G983" s="4" t="inlineStr">
        <is>
          <t>https://sos.tn.gov/elections/announcements/2026-proposed-constitutional-amendments</t>
        </is>
      </c>
    </row>
    <row r="984" ht="30" customHeight="1">
      <c r="A984" s="13" t="inlineStr">
        <is>
          <t>Tennessee</t>
        </is>
      </c>
      <c r="B984" s="4" t="inlineStr">
        <is>
          <t>Free-market groups &amp; GOP caucuses</t>
        </is>
      </c>
      <c r="C984" s="4" t="inlineStr">
        <is>
          <t>beacontn.org</t>
        </is>
      </c>
      <c r="D984" s="15" t="inlineStr">
        <is>
          <t>Tennessee Leads the Nation—In Property Tax Hikes</t>
        </is>
      </c>
      <c r="E984" s="4" t="n"/>
      <c r="F984" s="4" t="n"/>
      <c r="G984" s="4" t="inlineStr">
        <is>
          <t>https://www.beacontn.org/tennessee-leads-the-nation-in-property-tax-hikes</t>
        </is>
      </c>
    </row>
    <row r="985" ht="30" customHeight="1">
      <c r="A985" s="13" t="inlineStr">
        <is>
          <t>Tennessee</t>
        </is>
      </c>
      <c r="B985" s="4" t="inlineStr">
        <is>
          <t>Free-market groups &amp; GOP caucuses</t>
        </is>
      </c>
      <c r="C985" s="4" t="inlineStr">
        <is>
          <t>beacontn.org</t>
        </is>
      </c>
      <c r="D985" s="15" t="inlineStr">
        <is>
          <t>Volunteering for Higher Taxes?</t>
        </is>
      </c>
      <c r="E985" s="4" t="inlineStr">
        <is>
          <t>2025</t>
        </is>
      </c>
      <c r="F985" s="4" t="n"/>
      <c r="G985" s="4" t="inlineStr">
        <is>
          <t>https://www.beacontn.org/wp-content/uploads/2025/11/PropertyTaxBrief_BeaconCenter_11.12.25_3.pdf</t>
        </is>
      </c>
    </row>
    <row r="986" ht="34" customHeight="1">
      <c r="A986" s="13" t="inlineStr">
        <is>
          <t>Tennessee</t>
        </is>
      </c>
      <c r="B986" s="4" t="inlineStr">
        <is>
          <t>News</t>
        </is>
      </c>
      <c r="C986" s="4" t="inlineStr">
        <is>
          <t>wsmv.com</t>
        </is>
      </c>
      <c r="D986" s="15" t="inlineStr">
        <is>
          <t>Tennessee has the worst property tax hikes in the nation, new report says. Here’s why</t>
        </is>
      </c>
      <c r="E986" s="4" t="inlineStr">
        <is>
          <t>2026-08-17</t>
        </is>
      </c>
      <c r="F986" s="4" t="n"/>
      <c r="G986" s="4" t="inlineStr">
        <is>
          <t>https://www.wsmv.com/2026/08/17/tennessee-has-worst-property-tax-hikes-nation-new-report-says-heres-why/</t>
        </is>
      </c>
    </row>
    <row r="987" ht="30" customHeight="1">
      <c r="A987" s="13" t="inlineStr">
        <is>
          <t>Tennessee</t>
        </is>
      </c>
      <c r="B987" s="4" t="inlineStr">
        <is>
          <t>Free-market groups &amp; GOP caucuses</t>
        </is>
      </c>
      <c r="C987" s="4" t="inlineStr">
        <is>
          <t>tnhousegop.org</t>
        </is>
      </c>
      <c r="D987" s="15" t="inlineStr">
        <is>
          <t>Rep. Bud Hulsey proposes limiting local property tax hikes</t>
        </is>
      </c>
      <c r="E987" s="4" t="inlineStr">
        <is>
          <t>2026-02-18</t>
        </is>
      </c>
      <c r="F987" s="4" t="n"/>
      <c r="G987" s="4" t="inlineStr">
        <is>
          <t>https://tnhousegop.org/press-releases/2026/02/rep-bud-hulsey-proposes-limiting-local-property-tax-hikes/</t>
        </is>
      </c>
    </row>
    <row r="988" ht="30" customHeight="1">
      <c r="A988" s="13" t="inlineStr">
        <is>
          <t>Tennessee</t>
        </is>
      </c>
      <c r="B988" s="4" t="inlineStr">
        <is>
          <t>Bills &amp; legislative documents</t>
        </is>
      </c>
      <c r="C988" s="4" t="inlineStr">
        <is>
          <t>wapp.capitol.tn.gov</t>
        </is>
      </c>
      <c r="D988" s="15" t="inlineStr">
        <is>
          <t>Bill Information - Tennessee General Assembly</t>
        </is>
      </c>
      <c r="E988" s="4" t="n"/>
      <c r="F988" s="4" t="n"/>
      <c r="G988" s="4" t="inlineStr">
        <is>
          <t>https://wapp.capitol.tn.gov/apps/BillInfo/Default.aspx?BillNumber=HB2607&amp;GA=114</t>
        </is>
      </c>
    </row>
    <row r="989" ht="30" customHeight="1">
      <c r="A989" s="13" t="inlineStr">
        <is>
          <t>Tennessee</t>
        </is>
      </c>
      <c r="B989" s="4" t="inlineStr">
        <is>
          <t>News</t>
        </is>
      </c>
      <c r="C989" s="4" t="inlineStr">
        <is>
          <t>wpln.org</t>
        </is>
      </c>
      <c r="D989" s="15" t="inlineStr">
        <is>
          <t>Nashville’s next city budget includes a substantial property tax increase</t>
        </is>
      </c>
      <c r="E989" s="4" t="inlineStr">
        <is>
          <t>2025-06-18</t>
        </is>
      </c>
      <c r="F989" s="4" t="n"/>
      <c r="G989" s="4" t="inlineStr">
        <is>
          <t>https://wpln.org/post/nashvilles-next-city-budget-includes-a-substantial-property-tax-increase/</t>
        </is>
      </c>
    </row>
    <row r="990" ht="30" customHeight="1">
      <c r="A990" s="13" t="inlineStr">
        <is>
          <t>Tennessee</t>
        </is>
      </c>
      <c r="B990" s="4" t="inlineStr">
        <is>
          <t>News</t>
        </is>
      </c>
      <c r="C990" s="4" t="inlineStr">
        <is>
          <t>wsmv.com</t>
        </is>
      </c>
      <c r="D990" s="15" t="inlineStr">
        <is>
          <t>Mayor O’Connell signs new Nashville budget, property tax rate increase</t>
        </is>
      </c>
      <c r="E990" s="4" t="inlineStr">
        <is>
          <t>2025-06-18</t>
        </is>
      </c>
      <c r="F990" s="4" t="n"/>
      <c r="G990" s="4" t="inlineStr">
        <is>
          <t>https://www.wsmv.com/2025/06/18/mayor-oconnell-signs-new-nashville-budget-property-tax-rate-increase/</t>
        </is>
      </c>
    </row>
    <row r="991" ht="30" customHeight="1">
      <c r="A991" s="13" t="inlineStr">
        <is>
          <t>Tennessee</t>
        </is>
      </c>
      <c r="B991" s="4" t="inlineStr">
        <is>
          <t>News</t>
        </is>
      </c>
      <c r="C991" s="4" t="inlineStr">
        <is>
          <t>news.bloombergtax.com</t>
        </is>
      </c>
      <c r="D991" s="15" t="inlineStr">
        <is>
          <t>Tennessee Authorizes Certain Local Property Tax Refund Credits</t>
        </is>
      </c>
      <c r="E991" s="4" t="inlineStr">
        <is>
          <t>2026-05-27</t>
        </is>
      </c>
      <c r="F991" s="4" t="n"/>
      <c r="G991" s="4" t="inlineStr">
        <is>
          <t>https://news.bloombergtax.com/daily-tax-report-state/tennessee-authorizes-certain-local-property-tax-refund-credits</t>
        </is>
      </c>
    </row>
    <row r="992" ht="30" customHeight="1">
      <c r="A992" s="13" t="inlineStr">
        <is>
          <t>Tennessee</t>
        </is>
      </c>
      <c r="B992" s="4" t="inlineStr">
        <is>
          <t>Free-market groups &amp; GOP caucuses</t>
        </is>
      </c>
      <c r="C992" s="4" t="inlineStr">
        <is>
          <t>taxfoundation.org</t>
        </is>
      </c>
      <c r="D992" s="15" t="inlineStr">
        <is>
          <t>Taxes in Tennessee</t>
        </is>
      </c>
      <c r="E992" s="4" t="n"/>
      <c r="F992" s="4" t="n"/>
      <c r="G992" s="4" t="inlineStr">
        <is>
          <t>https://taxfoundation.org/location/tennessee/</t>
        </is>
      </c>
    </row>
    <row r="993" ht="30" customHeight="1">
      <c r="A993" s="13" t="inlineStr">
        <is>
          <t>Texas</t>
        </is>
      </c>
      <c r="B993" s="4" t="inlineStr">
        <is>
          <t>State government</t>
        </is>
      </c>
      <c r="C993" s="4" t="inlineStr">
        <is>
          <t>comptroller.texas.gov</t>
        </is>
      </c>
      <c r="D993" s="15" t="inlineStr">
        <is>
          <t>Truth-in-Taxation: Tax Rate Adoption</t>
        </is>
      </c>
      <c r="E993" s="4" t="n"/>
      <c r="F993" s="4" t="n"/>
      <c r="G993" s="4" t="inlineStr">
        <is>
          <t>https://www.comptroller.texas.gov/taxes/property-tax/truth-in-taxation/index.php</t>
        </is>
      </c>
    </row>
    <row r="994" ht="30" customHeight="1">
      <c r="A994" s="13" t="inlineStr">
        <is>
          <t>Texas</t>
        </is>
      </c>
      <c r="B994" s="4" t="inlineStr">
        <is>
          <t>State government</t>
        </is>
      </c>
      <c r="C994" s="4" t="inlineStr">
        <is>
          <t>comptroller.texas.gov</t>
        </is>
      </c>
      <c r="D994" s="15" t="inlineStr">
        <is>
          <t>Truth-in-Taxation Basics</t>
        </is>
      </c>
      <c r="E994" s="4" t="inlineStr">
        <is>
          <t>2026</t>
        </is>
      </c>
      <c r="F994" s="4" t="n"/>
      <c r="G994" s="4" t="inlineStr">
        <is>
          <t>https://Comptroller.Texas.Gov/taxes/property-tax/docs/98-1080.pdf</t>
        </is>
      </c>
    </row>
    <row r="995" ht="30" customHeight="1">
      <c r="A995" s="13" t="inlineStr">
        <is>
          <t>Texas</t>
        </is>
      </c>
      <c r="B995" s="4" t="inlineStr">
        <is>
          <t>Bills &amp; legislative documents</t>
        </is>
      </c>
      <c r="C995" s="4" t="inlineStr">
        <is>
          <t>capitol.texas.gov</t>
        </is>
      </c>
      <c r="D995" s="15" t="inlineStr">
        <is>
          <t>89(2) History for SB 10</t>
        </is>
      </c>
      <c r="E995" s="4" t="n"/>
      <c r="F995" s="4" t="n"/>
      <c r="G995" s="4" t="inlineStr">
        <is>
          <t>https://capitol.texas.gov/BillLookup/History.aspx?LegSess=892&amp;Bill=SB10</t>
        </is>
      </c>
    </row>
    <row r="996" ht="34" customHeight="1">
      <c r="A996" s="13" t="inlineStr">
        <is>
          <t>Texas</t>
        </is>
      </c>
      <c r="B996" s="4" t="inlineStr">
        <is>
          <t>News</t>
        </is>
      </c>
      <c r="C996" s="4" t="inlineStr">
        <is>
          <t>ktsm.com</t>
        </is>
      </c>
      <c r="D996" s="15" t="inlineStr">
        <is>
          <t>Texas House approves stricter limits on cities and counties when it comes to raising property taxes</t>
        </is>
      </c>
      <c r="E996" s="4" t="inlineStr">
        <is>
          <t>2025-08-25</t>
        </is>
      </c>
      <c r="F996" s="4" t="n"/>
      <c r="G996" s="4" t="inlineStr">
        <is>
          <t>https://www.ktsm.com/news/national-news/texas-house-approves-stricter-limits-on-cities-and-counties-when-it-comes-to-raising-property-taxes/amp/</t>
        </is>
      </c>
    </row>
    <row r="997" ht="34" customHeight="1">
      <c r="A997" s="13" t="inlineStr">
        <is>
          <t>Texas</t>
        </is>
      </c>
      <c r="B997" s="4" t="inlineStr">
        <is>
          <t>Research &amp; associations</t>
        </is>
      </c>
      <c r="C997" s="4" t="inlineStr">
        <is>
          <t>gtlaw.com</t>
        </is>
      </c>
      <c r="D997" s="15" t="inlineStr">
        <is>
          <t>Election Day Update: Texas Voters Approve All 17 Constitutional Amendments | Insights</t>
        </is>
      </c>
      <c r="E997" s="4" t="inlineStr">
        <is>
          <t>2025-11-13</t>
        </is>
      </c>
      <c r="F997" s="4" t="n"/>
      <c r="G997" s="4" t="inlineStr">
        <is>
          <t>https://www.gtlaw.com/en/insights/2025/11/election-day-update-texas-voters-approve-all-17-constitutional-amendments</t>
        </is>
      </c>
    </row>
    <row r="998" ht="30" customHeight="1">
      <c r="A998" s="13" t="inlineStr">
        <is>
          <t>Texas</t>
        </is>
      </c>
      <c r="B998" s="4" t="inlineStr">
        <is>
          <t>News</t>
        </is>
      </c>
      <c r="C998" s="4" t="inlineStr">
        <is>
          <t>excellentthought.substack.com</t>
        </is>
      </c>
      <c r="D998" s="15" t="inlineStr">
        <is>
          <t>Property Taxes Up Again in 2024 Despite Promises of Tax Relief in 2023</t>
        </is>
      </c>
      <c r="E998" s="4" t="inlineStr">
        <is>
          <t>2025-01-22</t>
        </is>
      </c>
      <c r="F998" s="4" t="n"/>
      <c r="G998" s="4" t="inlineStr">
        <is>
          <t>https://excellentthought.substack.com/p/property-taxes-up-again-in-2024-despite</t>
        </is>
      </c>
    </row>
    <row r="999" ht="30" customHeight="1">
      <c r="A999" s="13" t="inlineStr">
        <is>
          <t>Texas</t>
        </is>
      </c>
      <c r="B999" s="4" t="inlineStr">
        <is>
          <t>Ballot information</t>
        </is>
      </c>
      <c r="C999" s="4" t="inlineStr">
        <is>
          <t>news.ballotpedia.org</t>
        </is>
      </c>
      <c r="D999" s="15" t="inlineStr">
        <is>
          <t>voters-in-seven-states-to-decide-13-property-tax-measures-in-2026</t>
        </is>
      </c>
      <c r="E999" s="4" t="n"/>
      <c r="F999" s="4" t="inlineStr">
        <is>
          <t>TN, UT, VA, WA, WI, WV, WY</t>
        </is>
      </c>
      <c r="G999" s="4" t="inlineStr">
        <is>
          <t>https://news.ballotpedia.org/2026/08/27/voters-in-seven-states-to-decide-13-property-tax-measures-in-2026/</t>
        </is>
      </c>
    </row>
    <row r="1000" ht="30" customHeight="1">
      <c r="A1000" s="13" t="inlineStr">
        <is>
          <t>Texas</t>
        </is>
      </c>
      <c r="B1000" s="4" t="inlineStr">
        <is>
          <t>Research &amp; associations</t>
        </is>
      </c>
      <c r="C1000" s="4" t="inlineStr">
        <is>
          <t>lincolninst.edu</t>
        </is>
      </c>
      <c r="D1000" s="15" t="inlineStr">
        <is>
          <t>truth in taxation 2024.xlsx</t>
        </is>
      </c>
      <c r="E1000" s="4" t="n"/>
      <c r="F1000" s="4" t="inlineStr">
        <is>
          <t>DE, GA, IA, IL, KY, MD, MI, MN, MO, NC, ND, NE, NM, NV, NY, OH, OK, OR, PA, RI, TN, UT, VA, VT, WV, WY</t>
        </is>
      </c>
      <c r="G1000" s="4" t="inlineStr">
        <is>
          <t>https://www.lincolninst.edu/app/uploads/2024/10/truth_in_taxation_2024.xlsx</t>
        </is>
      </c>
    </row>
    <row r="1001" ht="30" customHeight="1">
      <c r="A1001" s="13" t="inlineStr">
        <is>
          <t>Texas</t>
        </is>
      </c>
      <c r="B1001" s="4" t="inlineStr">
        <is>
          <t>Federal government &amp; data</t>
        </is>
      </c>
      <c r="C1001" s="4" t="inlineStr">
        <is>
          <t>www2.census.gov</t>
        </is>
      </c>
      <c r="D1001" s="15" t="inlineStr">
        <is>
          <t>22slsstab1.xlsx</t>
        </is>
      </c>
      <c r="E1001" s="4" t="n"/>
      <c r="F1001" s="4" t="inlineStr">
        <is>
          <t>AL, AR, IA, KS, KY, LA, MA, MD, ME, MI, MN, MO, MS, MT, NC, ND, NE, NH, NJ, NM, NV, NY, OH, OK, OR, PA, RI, SC, SD, TN, UT, VA, VT, WA, WI, WV, WY</t>
        </is>
      </c>
      <c r="G1001" s="4" t="inlineStr">
        <is>
          <t>https://www2.census.gov/programs-surveys/gov-finances/tables/2022/22slsstab1.xlsx</t>
        </is>
      </c>
    </row>
    <row r="1002" ht="30" customHeight="1">
      <c r="A1002" s="13" t="inlineStr">
        <is>
          <t>Texas</t>
        </is>
      </c>
      <c r="B1002" s="4" t="inlineStr">
        <is>
          <t>Courts &amp; legal codes</t>
        </is>
      </c>
      <c r="C1002" s="4" t="inlineStr">
        <is>
          <t>texas.public.law</t>
        </is>
      </c>
      <c r="D1002" s="15" t="inlineStr">
        <is>
          <t>Texas Tax Code Section 26.05</t>
        </is>
      </c>
      <c r="E1002" s="4" t="n"/>
      <c r="F1002" s="4" t="n"/>
      <c r="G1002" s="4" t="inlineStr">
        <is>
          <t>https://texas.public.law/statutes/tex._tax_code_section_26.05</t>
        </is>
      </c>
    </row>
    <row r="1003" ht="34" customHeight="1">
      <c r="A1003" s="13" t="inlineStr">
        <is>
          <t>Texas</t>
        </is>
      </c>
      <c r="B1003" s="4" t="inlineStr">
        <is>
          <t>Courts &amp; legal codes</t>
        </is>
      </c>
      <c r="C1003" s="4" t="inlineStr">
        <is>
          <t>texas.public.law</t>
        </is>
      </c>
      <c r="D1003" s="15" t="inlineStr">
        <is>
          <t>Texas Tax Code Section 23.231 – Circuit Breaker Limitation on Appraised Value of Real Property Other than Residence Homestead</t>
        </is>
      </c>
      <c r="E1003" s="4" t="n"/>
      <c r="F1003" s="4" t="n"/>
      <c r="G1003" s="4" t="inlineStr">
        <is>
          <t>https://texas.public.law/statutes/tex._tax_code_section_23.231</t>
        </is>
      </c>
    </row>
    <row r="1004" ht="30" customHeight="1">
      <c r="A1004" s="13" t="inlineStr">
        <is>
          <t>Texas</t>
        </is>
      </c>
      <c r="B1004" s="4" t="inlineStr">
        <is>
          <t>Research &amp; associations</t>
        </is>
      </c>
      <c r="C1004" s="4" t="inlineStr">
        <is>
          <t>ownwell.com</t>
        </is>
      </c>
      <c r="D1004" s="15" t="inlineStr">
        <is>
          <t>What Happens When the Texas 20% Appraisal Cap Expires in 2027</t>
        </is>
      </c>
      <c r="E1004" s="4" t="inlineStr">
        <is>
          <t>2026-09-22</t>
        </is>
      </c>
      <c r="F1004" s="4" t="n"/>
      <c r="G1004" s="4" t="inlineStr">
        <is>
          <t>https://www.ownwell.com/blog/texas-20-percent-appraisal-cap-expiration-2027</t>
        </is>
      </c>
    </row>
    <row r="1005" ht="30" customHeight="1">
      <c r="A1005" s="13" t="inlineStr">
        <is>
          <t>Texas</t>
        </is>
      </c>
      <c r="B1005" s="4" t="inlineStr">
        <is>
          <t>Bills &amp; legislative documents</t>
        </is>
      </c>
      <c r="C1005" s="4" t="inlineStr">
        <is>
          <t>lbb.texas.gov</t>
        </is>
      </c>
      <c r="D1005" s="15" t="inlineStr">
        <is>
          <t>Foundation School Program (FSP) and Property Taxes</t>
        </is>
      </c>
      <c r="E1005" s="4" t="inlineStr">
        <is>
          <t>2025</t>
        </is>
      </c>
      <c r="F1005" s="4" t="n"/>
      <c r="G1005" s="4" t="inlineStr">
        <is>
          <t>https://lbb.texas.gov/Documents/HAC_Summary_Recs/89R/8963_HAC_FSP_Property_Tax_Overview.pdf</t>
        </is>
      </c>
    </row>
    <row r="1006" ht="30" customHeight="1">
      <c r="A1006" s="13" t="inlineStr">
        <is>
          <t>Texas</t>
        </is>
      </c>
      <c r="B1006" s="4" t="inlineStr">
        <is>
          <t>Local government</t>
        </is>
      </c>
      <c r="C1006" s="4" t="inlineStr">
        <is>
          <t>preflight.houstontx.gov</t>
        </is>
      </c>
      <c r="D1006" s="15" t="inlineStr">
        <is>
          <t>Slide 1</t>
        </is>
      </c>
      <c r="E1006" s="4" t="inlineStr">
        <is>
          <t>2025</t>
        </is>
      </c>
      <c r="F1006" s="4" t="n"/>
      <c r="G1006" s="4" t="inlineStr">
        <is>
          <t>https://preflight.houstontx.gov/council/committees/bfacommittee/20251007/revenue-cap.pdf</t>
        </is>
      </c>
    </row>
    <row r="1007" ht="30" customHeight="1">
      <c r="A1007" s="13" t="inlineStr">
        <is>
          <t>Texas</t>
        </is>
      </c>
      <c r="B1007" s="4" t="inlineStr">
        <is>
          <t>News</t>
        </is>
      </c>
      <c r="C1007" s="4" t="inlineStr">
        <is>
          <t>thetexan.news</t>
        </is>
      </c>
      <c r="D1007" s="15" t="inlineStr">
        <is>
          <t>Texas’ Largest City Budgets Outpace Population, Inflation Growth</t>
        </is>
      </c>
      <c r="E1007" s="4" t="inlineStr">
        <is>
          <t>2026-08-25</t>
        </is>
      </c>
      <c r="F1007" s="4" t="n"/>
      <c r="G1007" s="4" t="inlineStr">
        <is>
          <t>https://thetexan.news/issues/texas-taxes-spending/texas-largest-city-budgets-outpace-population-inflation-growth/article_df965de5-f3a4-4f5b-8f06-340786eafc65.html</t>
        </is>
      </c>
    </row>
    <row r="1008" ht="34" customHeight="1">
      <c r="A1008" s="13" t="inlineStr">
        <is>
          <t>Texas</t>
        </is>
      </c>
      <c r="B1008" s="4" t="inlineStr">
        <is>
          <t>News</t>
        </is>
      </c>
      <c r="C1008" s="4" t="inlineStr">
        <is>
          <t>communityimpact.com</t>
        </is>
      </c>
      <c r="D1008" s="15" t="inlineStr">
        <is>
          <t>City Council approves Austin's trimmed budget, lower tax rate following Prop Q election</t>
        </is>
      </c>
      <c r="E1008" s="4" t="inlineStr">
        <is>
          <t>2025-11-21</t>
        </is>
      </c>
      <c r="F1008" s="4" t="n"/>
      <c r="G1008" s="4" t="inlineStr">
        <is>
          <t>https://communityimpact.com/north-central-austin/government/city-council-approves-austins-trimmed-budget-lower-tax-rate-following-prop-q-election/</t>
        </is>
      </c>
    </row>
    <row r="1009" ht="30" customHeight="1">
      <c r="A1009" s="13" t="inlineStr">
        <is>
          <t>Texas</t>
        </is>
      </c>
      <c r="B1009" s="4" t="inlineStr">
        <is>
          <t>News</t>
        </is>
      </c>
      <c r="C1009" s="4" t="inlineStr">
        <is>
          <t>austin.citycast.fm</t>
        </is>
      </c>
      <c r="D1009" s="15" t="inlineStr">
        <is>
          <t>Voters Defeat Prop Q in Election That Saw Big Turnout in Austin</t>
        </is>
      </c>
      <c r="E1009" s="4" t="inlineStr">
        <is>
          <t>2025-11-05</t>
        </is>
      </c>
      <c r="F1009" s="4" t="n"/>
      <c r="G1009" s="4" t="inlineStr">
        <is>
          <t>https://austin.citycast.fm/local-civics/prop-q-fails-election-voting-turnout-election-austin</t>
        </is>
      </c>
    </row>
    <row r="1010" ht="30" customHeight="1">
      <c r="A1010" s="13" t="inlineStr">
        <is>
          <t>Texas</t>
        </is>
      </c>
      <c r="B1010" s="4" t="inlineStr">
        <is>
          <t>News</t>
        </is>
      </c>
      <c r="C1010" s="4" t="inlineStr">
        <is>
          <t>kwtx.com</t>
        </is>
      </c>
      <c r="D1010" s="15" t="inlineStr">
        <is>
          <t>Texas Gov. Greg Abbott touts ‘taxpayer empowerment’ property tax plan in Bullard</t>
        </is>
      </c>
      <c r="E1010" s="4" t="inlineStr">
        <is>
          <t>2026-06-30</t>
        </is>
      </c>
      <c r="F1010" s="4" t="n"/>
      <c r="G1010" s="4" t="inlineStr">
        <is>
          <t>https://www.kwtx.com/2026/06/30/texas-gov-greg-abbott-touts-taxpayer-empowerment-property-tax-plan-bullard/</t>
        </is>
      </c>
    </row>
    <row r="1011" ht="30" customHeight="1">
      <c r="A1011" s="13" t="inlineStr">
        <is>
          <t>Texas</t>
        </is>
      </c>
      <c r="B1011" s="4" t="inlineStr">
        <is>
          <t>Free-market groups &amp; GOP caucuses</t>
        </is>
      </c>
      <c r="C1011" s="4" t="inlineStr">
        <is>
          <t>texaspolicy.com</t>
        </is>
      </c>
      <c r="D1011" s="15" t="inlineStr">
        <is>
          <t>These 12 Small &amp; Mid-Sized Cities and Counties are Threatening Huge Tax Hikes</t>
        </is>
      </c>
      <c r="E1011" s="4" t="inlineStr">
        <is>
          <t>2026-09-14</t>
        </is>
      </c>
      <c r="F1011" s="4" t="n"/>
      <c r="G1011" s="4" t="inlineStr">
        <is>
          <t>https://www.texaspolicy.com/these-12-small-mid-sized-cities-and-counties-are-threatening-huge-tax-hikes/</t>
        </is>
      </c>
    </row>
    <row r="1012" ht="30" customHeight="1">
      <c r="A1012" s="13" t="inlineStr">
        <is>
          <t>Texas</t>
        </is>
      </c>
      <c r="B1012" s="4" t="inlineStr">
        <is>
          <t>Free-market groups &amp; GOP caucuses</t>
        </is>
      </c>
      <c r="C1012" s="4" t="inlineStr">
        <is>
          <t>texaspolicy.com</t>
        </is>
      </c>
      <c r="D1012" s="15" t="inlineStr">
        <is>
          <t>Just the Facts: Local Government Spending</t>
        </is>
      </c>
      <c r="E1012" s="4" t="inlineStr">
        <is>
          <t>2026-08-10</t>
        </is>
      </c>
      <c r="F1012" s="4" t="n"/>
      <c r="G1012" s="4" t="inlineStr">
        <is>
          <t>https://www.texaspolicy.com/just-the-facts-local-government-spending/</t>
        </is>
      </c>
    </row>
    <row r="1013" ht="34" customHeight="1">
      <c r="A1013" s="13" t="inlineStr">
        <is>
          <t>Texas</t>
        </is>
      </c>
      <c r="B1013" s="4" t="inlineStr">
        <is>
          <t>Free-market groups &amp; GOP caucuses</t>
        </is>
      </c>
      <c r="C1013" s="4" t="inlineStr">
        <is>
          <t>archive.commonsenseinstituteus.org</t>
        </is>
      </c>
      <c r="D1013" s="15" t="inlineStr">
        <is>
          <t>Iowa Leads the Nation in Property Tax Relief: Ranking State Reforms of the Past Decade</t>
        </is>
      </c>
      <c r="E1013" s="4" t="n"/>
      <c r="F1013" s="4" t="inlineStr">
        <is>
          <t>NE, NJ, OH, SD, WY</t>
        </is>
      </c>
      <c r="G1013" s="4" t="inlineStr">
        <is>
          <t>https://archive.commonsenseinstituteus.org/iowa/research/taxes-and-fees/iowa-leads-the-nation-in-property-tax-relief-ranking-state-reforms-of-the-past-decade</t>
        </is>
      </c>
    </row>
    <row r="1014" ht="30" customHeight="1">
      <c r="A1014" s="13" t="inlineStr">
        <is>
          <t>Texas</t>
        </is>
      </c>
      <c r="B1014" s="4" t="inlineStr">
        <is>
          <t>Free-market groups &amp; GOP caucuses</t>
        </is>
      </c>
      <c r="C1014" s="4" t="inlineStr">
        <is>
          <t>taxfoundation.org</t>
        </is>
      </c>
      <c r="D1014" s="15" t="inlineStr">
        <is>
          <t>2026 State Tax Competitiveness Index</t>
        </is>
      </c>
      <c r="E1014" s="4" t="inlineStr">
        <is>
          <t>2025-10-30</t>
        </is>
      </c>
      <c r="F1014" s="4" t="inlineStr">
        <is>
          <t>UT</t>
        </is>
      </c>
      <c r="G1014" s="4" t="inlineStr">
        <is>
          <t>https://taxfoundation.org/research/all/state/2026-state-tax-competitiveness-index/</t>
        </is>
      </c>
    </row>
    <row r="1015" ht="34" customHeight="1">
      <c r="A1015" s="13" t="inlineStr">
        <is>
          <t>Utah</t>
        </is>
      </c>
      <c r="B1015" s="4" t="inlineStr">
        <is>
          <t>News</t>
        </is>
      </c>
      <c r="C1015" s="4" t="inlineStr">
        <is>
          <t>deseret.com</t>
        </is>
      </c>
      <c r="D1015" s="15" t="inlineStr">
        <is>
          <t>Utah tax officials deny tax hikes from 35 cities, school districts and other entities</t>
        </is>
      </c>
      <c r="E1015" s="4" t="inlineStr">
        <is>
          <t>2025-10-02</t>
        </is>
      </c>
      <c r="F1015" s="4" t="n"/>
      <c r="G1015" s="4" t="inlineStr">
        <is>
          <t>https://www.deseret.com/utah/2025/10/02/utah-tax-officials-deny-tax-hikes-from-35-cities-school-districts-and-other-entities/</t>
        </is>
      </c>
    </row>
    <row r="1016" ht="30" customHeight="1">
      <c r="A1016" s="13" t="inlineStr">
        <is>
          <t>Utah</t>
        </is>
      </c>
      <c r="B1016" s="4" t="inlineStr">
        <is>
          <t>News</t>
        </is>
      </c>
      <c r="C1016" s="4" t="inlineStr">
        <is>
          <t>kuer.org</t>
        </is>
      </c>
      <c r="D1016" s="15" t="inlineStr">
        <is>
          <t>Phase out of Utah’s circuit breaker tax relief might be a mixed bag for seniors</t>
        </is>
      </c>
      <c r="E1016" s="4" t="inlineStr">
        <is>
          <t>2025-03-24</t>
        </is>
      </c>
      <c r="F1016" s="4" t="n"/>
      <c r="G1016" s="4" t="inlineStr">
        <is>
          <t>https://www.kuer.org/politics-government/2025-03-24/phase-out-of-utahs-circuit-breaker-tax-relief-might-be-a-mixed-bag-for-seniors</t>
        </is>
      </c>
    </row>
    <row r="1017" ht="30" customHeight="1">
      <c r="A1017" s="13" t="inlineStr">
        <is>
          <t>Utah</t>
        </is>
      </c>
      <c r="B1017" s="4" t="inlineStr">
        <is>
          <t>Bills &amp; legislative documents</t>
        </is>
      </c>
      <c r="C1017" s="4" t="inlineStr">
        <is>
          <t>le.utah.gov</t>
        </is>
      </c>
      <c r="D1017" s="15" t="inlineStr">
        <is>
          <t>Enrolled Copy Property Tax Adjustments</t>
        </is>
      </c>
      <c r="E1017" s="4" t="inlineStr">
        <is>
          <t>2026</t>
        </is>
      </c>
      <c r="F1017" s="4" t="n"/>
      <c r="G1017" s="4" t="inlineStr">
        <is>
          <t>https://le.utah.gov/Session/2026/bills/enrolled/SB0238.pdf</t>
        </is>
      </c>
    </row>
    <row r="1018" ht="34" customHeight="1">
      <c r="A1018" s="13" t="inlineStr">
        <is>
          <t>Utah</t>
        </is>
      </c>
      <c r="B1018" s="4" t="inlineStr">
        <is>
          <t>News</t>
        </is>
      </c>
      <c r="C1018" s="4" t="inlineStr">
        <is>
          <t>ksl.com</t>
        </is>
      </c>
      <c r="D1018" s="15" t="inlineStr">
        <is>
          <t>These Utah cities, school districts, other entities are seeking property tax hikes</t>
        </is>
      </c>
      <c r="E1018" s="4" t="inlineStr">
        <is>
          <t>2025-08-07</t>
        </is>
      </c>
      <c r="F1018" s="4" t="n"/>
      <c r="G1018" s="4" t="inlineStr">
        <is>
          <t>https://www.ksl.com/article/51357666/these-utah-cities-school-districts-other-entities-are-seeking-property-tax-hikes</t>
        </is>
      </c>
    </row>
    <row r="1019" ht="30" customHeight="1">
      <c r="A1019" s="13" t="inlineStr">
        <is>
          <t>Utah</t>
        </is>
      </c>
      <c r="B1019" s="4" t="inlineStr">
        <is>
          <t>Ballot information</t>
        </is>
      </c>
      <c r="C1019" s="4" t="inlineStr">
        <is>
          <t>news.ballotpedia.org</t>
        </is>
      </c>
      <c r="D1019" s="15" t="inlineStr">
        <is>
          <t>voters-in-seven-states-to-decide-13-property-tax-measures-in-2026</t>
        </is>
      </c>
      <c r="E1019" s="4" t="n"/>
      <c r="F1019" s="4" t="inlineStr">
        <is>
          <t>TN, TX, VA, WA, WI, WV, WY</t>
        </is>
      </c>
      <c r="G1019" s="4" t="inlineStr">
        <is>
          <t>https://news.ballotpedia.org/2026/08/27/voters-in-seven-states-to-decide-13-property-tax-measures-in-2026/</t>
        </is>
      </c>
    </row>
    <row r="1020" ht="30" customHeight="1">
      <c r="A1020" s="13" t="inlineStr">
        <is>
          <t>Utah</t>
        </is>
      </c>
      <c r="B1020" s="4" t="inlineStr">
        <is>
          <t>Research &amp; associations</t>
        </is>
      </c>
      <c r="C1020" s="4" t="inlineStr">
        <is>
          <t>apps.lincolninst.edu</t>
        </is>
      </c>
      <c r="D1020" s="15" t="inlineStr">
        <is>
          <t>rate-limits-2022-4.xlsx</t>
        </is>
      </c>
      <c r="E1020" s="4" t="n"/>
      <c r="F1020" s="4" t="inlineStr">
        <is>
          <t>AL, FL, IA, ID, KS, KY, LA, MA, MI, MO, NM, NV, SC, SD, WA, WV, WY</t>
        </is>
      </c>
      <c r="G1020" s="4" t="inlineStr">
        <is>
          <t>https://apps.lincolninst.edu/uploads/summary-tables/rate-limits-summary-tables/rate-limits-2022-4.xlsx</t>
        </is>
      </c>
    </row>
    <row r="1021" ht="30" customHeight="1">
      <c r="A1021" s="13" t="inlineStr">
        <is>
          <t>Utah</t>
        </is>
      </c>
      <c r="B1021" s="4" t="inlineStr">
        <is>
          <t>Research &amp; associations</t>
        </is>
      </c>
      <c r="C1021" s="4" t="inlineStr">
        <is>
          <t>lincolninst.edu</t>
        </is>
      </c>
      <c r="D1021" s="15" t="inlineStr">
        <is>
          <t>truth in taxation 2024.xlsx</t>
        </is>
      </c>
      <c r="E1021" s="4" t="n"/>
      <c r="F1021" s="4" t="inlineStr">
        <is>
          <t>DE, GA, IA, IL, KY, MD, MI, MN, MO, NC, ND, NE, NM, NV, NY, OH, OK, OR, PA, RI, TN, TX, VA, VT, WV, WY</t>
        </is>
      </c>
      <c r="G1021" s="4" t="inlineStr">
        <is>
          <t>https://www.lincolninst.edu/app/uploads/2024/10/truth_in_taxation_2024.xlsx</t>
        </is>
      </c>
    </row>
    <row r="1022" ht="30" customHeight="1">
      <c r="A1022" s="13" t="inlineStr">
        <is>
          <t>Utah</t>
        </is>
      </c>
      <c r="B1022" s="4" t="inlineStr">
        <is>
          <t>Federal government &amp; data</t>
        </is>
      </c>
      <c r="C1022" s="4" t="inlineStr">
        <is>
          <t>www2.census.gov</t>
        </is>
      </c>
      <c r="D1022" s="15" t="inlineStr">
        <is>
          <t>22slsstab1.xlsx</t>
        </is>
      </c>
      <c r="E1022" s="4" t="n"/>
      <c r="F1022" s="4" t="inlineStr">
        <is>
          <t>AL, AR, IA, KS, KY, LA, MA, MD, ME, MI, MN, MO, MS, MT, NC, ND, NE, NH, NJ, NM, NV, NY, OH, OK, OR, PA, RI, SC, SD, TN, TX, VA, VT, WA, WI, WV, WY</t>
        </is>
      </c>
      <c r="G1022" s="4" t="inlineStr">
        <is>
          <t>https://www2.census.gov/programs-surveys/gov-finances/tables/2022/22slsstab1.xlsx</t>
        </is>
      </c>
    </row>
    <row r="1023" ht="30" customHeight="1">
      <c r="A1023" s="13" t="inlineStr">
        <is>
          <t>Utah</t>
        </is>
      </c>
      <c r="B1023" s="4" t="inlineStr">
        <is>
          <t>News</t>
        </is>
      </c>
      <c r="C1023" s="4" t="inlineStr">
        <is>
          <t>utahnewsdispatch.com</t>
        </is>
      </c>
      <c r="D1023" s="15" t="inlineStr">
        <is>
          <t>2026 Truth-in-Taxation list</t>
        </is>
      </c>
      <c r="E1023" s="4" t="n"/>
      <c r="F1023" s="4" t="n"/>
      <c r="G1023" s="4" t="inlineStr">
        <is>
          <t>https://utahnewsdispatch.com/wp-content/uploads/2026/08/2026-Truth-in-Taxation-list-Sheet1-2.pdf</t>
        </is>
      </c>
    </row>
    <row r="1024" ht="30" customHeight="1">
      <c r="A1024" s="13" t="inlineStr">
        <is>
          <t>Utah</t>
        </is>
      </c>
      <c r="B1024" s="4" t="inlineStr">
        <is>
          <t>News</t>
        </is>
      </c>
      <c r="C1024" s="4" t="inlineStr">
        <is>
          <t>ksl.com</t>
        </is>
      </c>
      <c r="D1024" s="15" t="inlineStr">
        <is>
          <t>Why are your taxes increasing? Numerous Utah cities pursue property tax hikes</t>
        </is>
      </c>
      <c r="E1024" s="4" t="inlineStr">
        <is>
          <t>2026-07-01</t>
        </is>
      </c>
      <c r="F1024" s="4" t="n"/>
      <c r="G1024" s="4" t="inlineStr">
        <is>
          <t>https://www.ksl.com/article/news/politics/why-are-your-taxes-increasing-numerous-utah-cities-pursue-property-tax-hikes/51546349</t>
        </is>
      </c>
    </row>
    <row r="1025" ht="30" customHeight="1">
      <c r="A1025" s="13" t="inlineStr">
        <is>
          <t>Utah</t>
        </is>
      </c>
      <c r="B1025" s="4" t="inlineStr">
        <is>
          <t>Free-market groups &amp; GOP caucuses</t>
        </is>
      </c>
      <c r="C1025" s="4" t="inlineStr">
        <is>
          <t>utahtaxpayers.org</t>
        </is>
      </c>
      <c r="D1025" s="15" t="inlineStr">
        <is>
          <t>Legislative Scorecard 2026</t>
        </is>
      </c>
      <c r="E1025" s="4" t="inlineStr">
        <is>
          <t>2026</t>
        </is>
      </c>
      <c r="F1025" s="4" t="n"/>
      <c r="G1025" s="4" t="inlineStr">
        <is>
          <t>https://utahtaxpayers.org/wp-content/uploads/2026/03/Legislative-Scorecard-2026-v2.pdf</t>
        </is>
      </c>
    </row>
    <row r="1026" ht="30" customHeight="1">
      <c r="A1026" s="13" t="inlineStr">
        <is>
          <t>Utah</t>
        </is>
      </c>
      <c r="B1026" s="4" t="inlineStr">
        <is>
          <t>Free-market groups &amp; GOP caucuses</t>
        </is>
      </c>
      <c r="C1026" s="4" t="inlineStr">
        <is>
          <t>alec.org</t>
        </is>
      </c>
      <c r="D1026" s="15" t="inlineStr">
        <is>
          <t>Utah’s Truth-in-Taxation for Property Taxes</t>
        </is>
      </c>
      <c r="E1026" s="4" t="inlineStr">
        <is>
          <t>2019-07-23</t>
        </is>
      </c>
      <c r="F1026" s="4" t="n"/>
      <c r="G1026" s="4" t="inlineStr">
        <is>
          <t>https://alec.org/article/utahs-truth-in-taxation-for-property-taxes/</t>
        </is>
      </c>
    </row>
    <row r="1027" ht="34" customHeight="1">
      <c r="A1027" s="13" t="inlineStr">
        <is>
          <t>Utah</t>
        </is>
      </c>
      <c r="B1027" s="4" t="inlineStr">
        <is>
          <t>Ballot information</t>
        </is>
      </c>
      <c r="C1027" s="4" t="inlineStr">
        <is>
          <t>news.ballotpedia.org</t>
        </is>
      </c>
      <c r="D1027" s="15" t="inlineStr">
        <is>
          <t>Utah legislature refers a constitutional amendment to 2026 ballot that would require initiatives making tax changes to receive a 60% vote of approval</t>
        </is>
      </c>
      <c r="E1027" s="4" t="n"/>
      <c r="F1027" s="4" t="n"/>
      <c r="G1027" s="4" t="inlineStr">
        <is>
          <t>https://news.ballotpedia.org/2025/03/10/utah-legislature-refers-a-constitutional-amendment-to-2026-ballot-that-would-require-initiatives-making-tax-changes-to-receive-a-60-vote-of-approval/</t>
        </is>
      </c>
    </row>
    <row r="1028" ht="34" customHeight="1">
      <c r="A1028" s="13" t="inlineStr">
        <is>
          <t>Utah</t>
        </is>
      </c>
      <c r="B1028" s="4" t="inlineStr">
        <is>
          <t>Local government</t>
        </is>
      </c>
      <c r="C1028" s="4" t="inlineStr">
        <is>
          <t>daviscountyutah.gov</t>
        </is>
      </c>
      <c r="D1028" s="15" t="inlineStr">
        <is>
          <t>OFFICE OF THE DAVIS COUNTY CLERK CERTIFICATION OF CANDIDATES AND BALLOT PROPOSITIONS</t>
        </is>
      </c>
      <c r="E1028" s="4" t="inlineStr">
        <is>
          <t>2026</t>
        </is>
      </c>
      <c r="F1028" s="4" t="n"/>
      <c r="G1028" s="4" t="inlineStr">
        <is>
          <t>https://www.daviscountyutah.gov/Sitefinity/WebsiteTemplates/ClerkAuditor/2026%20General%20Notice.pdf</t>
        </is>
      </c>
    </row>
    <row r="1029" ht="30" customHeight="1">
      <c r="A1029" s="13" t="inlineStr">
        <is>
          <t>Utah</t>
        </is>
      </c>
      <c r="B1029" s="4" t="inlineStr">
        <is>
          <t>Bills &amp; legislative documents</t>
        </is>
      </c>
      <c r="C1029" s="4" t="inlineStr">
        <is>
          <t>le.utah.gov</t>
        </is>
      </c>
      <c r="D1029" s="15" t="inlineStr">
        <is>
          <t>Enrolled Copy Truth in Taxation Amendments</t>
        </is>
      </c>
      <c r="E1029" s="4" t="inlineStr">
        <is>
          <t>2026</t>
        </is>
      </c>
      <c r="F1029" s="4" t="n"/>
      <c r="G1029" s="4" t="inlineStr">
        <is>
          <t>https://le.utah.gov/Session/2026/bills/enrolled/HB0236.pdf</t>
        </is>
      </c>
    </row>
    <row r="1030" ht="30" customHeight="1">
      <c r="A1030" s="13" t="inlineStr">
        <is>
          <t>Utah</t>
        </is>
      </c>
      <c r="B1030" s="4" t="inlineStr">
        <is>
          <t>Free-market groups &amp; GOP caucuses</t>
        </is>
      </c>
      <c r="C1030" s="4" t="inlineStr">
        <is>
          <t>taxfoundation.org</t>
        </is>
      </c>
      <c r="D1030" s="15" t="inlineStr">
        <is>
          <t>2026 State Tax Competitiveness Index</t>
        </is>
      </c>
      <c r="E1030" s="4" t="inlineStr">
        <is>
          <t>2025-10-30</t>
        </is>
      </c>
      <c r="F1030" s="4" t="inlineStr">
        <is>
          <t>TX</t>
        </is>
      </c>
      <c r="G1030" s="4" t="inlineStr">
        <is>
          <t>https://taxfoundation.org/research/all/state/2026-state-tax-competitiveness-index/</t>
        </is>
      </c>
    </row>
    <row r="1031" ht="30" customHeight="1">
      <c r="A1031" s="13" t="inlineStr">
        <is>
          <t>Utah</t>
        </is>
      </c>
      <c r="B1031" s="4" t="inlineStr">
        <is>
          <t>Constitution &amp; statutes</t>
        </is>
      </c>
      <c r="C1031" s="4" t="inlineStr">
        <is>
          <t>le.utah.gov</t>
        </is>
      </c>
      <c r="D1031" s="15" t="inlineStr">
        <is>
          <t>59-2-S908</t>
        </is>
      </c>
      <c r="E1031" s="4" t="n"/>
      <c r="F1031" s="4" t="n"/>
      <c r="G1031" s="4" t="inlineStr">
        <is>
          <t>https://le.utah.gov/xcode/Title59/Chapter2/59-2-S908.html</t>
        </is>
      </c>
    </row>
    <row r="1032" ht="30" customHeight="1">
      <c r="A1032" s="13" t="inlineStr">
        <is>
          <t>Vermont</t>
        </is>
      </c>
      <c r="B1032" s="4" t="inlineStr">
        <is>
          <t>Bills &amp; legislative documents</t>
        </is>
      </c>
      <c r="C1032" s="4" t="inlineStr">
        <is>
          <t>legislature.vermont.gov</t>
        </is>
      </c>
      <c r="D1032" s="15" t="inlineStr">
        <is>
          <t>Act No. 73 Page 1 of 3</t>
        </is>
      </c>
      <c r="E1032" s="4" t="inlineStr">
        <is>
          <t>2025</t>
        </is>
      </c>
      <c r="F1032" s="4" t="n"/>
      <c r="G1032" s="4" t="inlineStr">
        <is>
          <t>https://legislature.vermont.gov/Documents/2026/Docs/ACTS/ACT073/ACT073%20Act%20Summary.pdf</t>
        </is>
      </c>
    </row>
    <row r="1033" ht="30" customHeight="1">
      <c r="A1033" s="13" t="inlineStr">
        <is>
          <t>Vermont</t>
        </is>
      </c>
      <c r="B1033" s="4" t="inlineStr">
        <is>
          <t>State government</t>
        </is>
      </c>
      <c r="C1033" s="4" t="inlineStr">
        <is>
          <t>tax.vermont.gov</t>
        </is>
      </c>
      <c r="D1033" s="15" t="inlineStr">
        <is>
          <t>Property Tax Credit | Department of Taxes</t>
        </is>
      </c>
      <c r="E1033" s="4" t="n"/>
      <c r="F1033" s="4" t="n"/>
      <c r="G1033" s="4" t="inlineStr">
        <is>
          <t>https://tax.vermont.gov/property/property-tax-credit</t>
        </is>
      </c>
    </row>
    <row r="1034" ht="30" customHeight="1">
      <c r="A1034" s="13" t="inlineStr">
        <is>
          <t>Vermont</t>
        </is>
      </c>
      <c r="B1034" s="4" t="inlineStr">
        <is>
          <t>News</t>
        </is>
      </c>
      <c r="C1034" s="4" t="inlineStr">
        <is>
          <t>vermontbiz.com</t>
        </is>
      </c>
      <c r="D1034" s="15" t="inlineStr">
        <is>
          <t>State releases property tax letter with estimated 12% increase</t>
        </is>
      </c>
      <c r="E1034" s="4" t="n"/>
      <c r="F1034" s="4" t="n"/>
      <c r="G1034" s="4" t="inlineStr">
        <is>
          <t>https://vermontbiz.com/node/240664</t>
        </is>
      </c>
    </row>
    <row r="1035" ht="30" customHeight="1">
      <c r="A1035" s="13" t="inlineStr">
        <is>
          <t>Vermont</t>
        </is>
      </c>
      <c r="B1035" s="4" t="inlineStr">
        <is>
          <t>State government</t>
        </is>
      </c>
      <c r="C1035" s="4" t="inlineStr">
        <is>
          <t>education.vermont.gov</t>
        </is>
      </c>
      <c r="D1035" s="15" t="inlineStr">
        <is>
          <t>Home Page | Agency of Education</t>
        </is>
      </c>
      <c r="E1035" s="4" t="n"/>
      <c r="F1035" s="4" t="n"/>
      <c r="G1035" s="4" t="inlineStr">
        <is>
          <t>https://education.vermont.gov/content/statewide-education-property-tax</t>
        </is>
      </c>
    </row>
    <row r="1036" ht="30" customHeight="1">
      <c r="A1036" s="13" t="inlineStr">
        <is>
          <t>Vermont</t>
        </is>
      </c>
      <c r="B1036" s="4" t="inlineStr">
        <is>
          <t>Research &amp; associations</t>
        </is>
      </c>
      <c r="C1036" s="4" t="inlineStr">
        <is>
          <t>lincolninst.edu</t>
        </is>
      </c>
      <c r="D1036" s="15" t="inlineStr">
        <is>
          <t>truth in taxation 2024.xlsx</t>
        </is>
      </c>
      <c r="E1036" s="4" t="n"/>
      <c r="F1036" s="4" t="inlineStr">
        <is>
          <t>DE, GA, IA, IL, KY, MD, MI, MN, MO, NC, ND, NE, NM, NV, NY, OH, OK, OR, PA, RI, TN, TX, UT, VA, WV, WY</t>
        </is>
      </c>
      <c r="G1036" s="4" t="inlineStr">
        <is>
          <t>https://www.lincolninst.edu/app/uploads/2024/10/truth_in_taxation_2024.xlsx</t>
        </is>
      </c>
    </row>
    <row r="1037" ht="30" customHeight="1">
      <c r="A1037" s="13" t="inlineStr">
        <is>
          <t>Vermont</t>
        </is>
      </c>
      <c r="B1037" s="4" t="inlineStr">
        <is>
          <t>Federal government &amp; data</t>
        </is>
      </c>
      <c r="C1037" s="4" t="inlineStr">
        <is>
          <t>www2.census.gov</t>
        </is>
      </c>
      <c r="D1037" s="15" t="inlineStr">
        <is>
          <t>22slsstab1.xlsx</t>
        </is>
      </c>
      <c r="E1037" s="4" t="n"/>
      <c r="F1037" s="4" t="inlineStr">
        <is>
          <t>AL, AR, IA, KS, KY, LA, MA, MD, ME, MI, MN, MO, MS, MT, NC, ND, NE, NH, NJ, NM, NV, NY, OH, OK, OR, PA, RI, SC, SD, TN, TX, UT, VA, WA, WI, WV, WY</t>
        </is>
      </c>
      <c r="G1037" s="4" t="inlineStr">
        <is>
          <t>https://www2.census.gov/programs-surveys/gov-finances/tables/2022/22slsstab1.xlsx</t>
        </is>
      </c>
    </row>
    <row r="1038" ht="30" customHeight="1">
      <c r="A1038" s="13" t="inlineStr">
        <is>
          <t>Vermont</t>
        </is>
      </c>
      <c r="B1038" s="4" t="inlineStr">
        <is>
          <t>Bills &amp; legislative documents</t>
        </is>
      </c>
      <c r="C1038" s="4" t="inlineStr">
        <is>
          <t>legislature.vermont.gov</t>
        </is>
      </c>
      <c r="D1038" s="15" t="inlineStr">
        <is>
          <t>Bill Status H.955 (Act 170)</t>
        </is>
      </c>
      <c r="E1038" s="4" t="n"/>
      <c r="F1038" s="4" t="n"/>
      <c r="G1038" s="4" t="inlineStr">
        <is>
          <t>https://legislature.vermont.gov/bill/status/2026/H.955</t>
        </is>
      </c>
    </row>
    <row r="1039" ht="30" customHeight="1">
      <c r="A1039" s="13" t="inlineStr">
        <is>
          <t>Vermont</t>
        </is>
      </c>
      <c r="B1039" s="4" t="inlineStr">
        <is>
          <t>State government</t>
        </is>
      </c>
      <c r="C1039" s="4" t="inlineStr">
        <is>
          <t>education.vermont.gov</t>
        </is>
      </c>
      <c r="D1039" s="15" t="inlineStr">
        <is>
          <t>Education Transformation</t>
        </is>
      </c>
      <c r="E1039" s="4" t="n"/>
      <c r="F1039" s="4" t="n"/>
      <c r="G1039" s="4" t="inlineStr">
        <is>
          <t>https://education.vermont.gov/node/22021</t>
        </is>
      </c>
    </row>
    <row r="1040" ht="30" customHeight="1">
      <c r="A1040" s="13" t="inlineStr">
        <is>
          <t>Vermont</t>
        </is>
      </c>
      <c r="B1040" s="4" t="inlineStr">
        <is>
          <t>Bills &amp; legislative documents</t>
        </is>
      </c>
      <c r="C1040" s="4" t="inlineStr">
        <is>
          <t>legislature.vermont.gov</t>
        </is>
      </c>
      <c r="D1040" s="15" t="inlineStr">
        <is>
          <t>Page 1 of 18 No. 169. An act relating to homestead property tax yields, the</t>
        </is>
      </c>
      <c r="E1040" s="4" t="inlineStr">
        <is>
          <t>2026</t>
        </is>
      </c>
      <c r="F1040" s="4" t="n"/>
      <c r="G1040" s="4" t="inlineStr">
        <is>
          <t>https://legislature.vermont.gov/Documents/2026/Docs/ACTS/ACT169/ACT169%20As%20Enacted.pdf</t>
        </is>
      </c>
    </row>
    <row r="1041" ht="30" customHeight="1">
      <c r="A1041" s="13" t="inlineStr">
        <is>
          <t>Vermont</t>
        </is>
      </c>
      <c r="B1041" s="4" t="inlineStr">
        <is>
          <t>News</t>
        </is>
      </c>
      <c r="C1041" s="4" t="inlineStr">
        <is>
          <t>vermontbiz.com</t>
        </is>
      </c>
      <c r="D1041" s="15" t="inlineStr">
        <is>
          <t>Boots on the Ground: The Final Bow</t>
        </is>
      </c>
      <c r="E1041" s="4" t="n"/>
      <c r="F1041" s="4" t="n"/>
      <c r="G1041" s="4" t="inlineStr">
        <is>
          <t>https://vermontbiz.com/node/243690</t>
        </is>
      </c>
    </row>
    <row r="1042" ht="30" customHeight="1">
      <c r="A1042" s="13" t="inlineStr">
        <is>
          <t>Vermont</t>
        </is>
      </c>
      <c r="B1042" s="4" t="inlineStr">
        <is>
          <t>Constitution &amp; statutes</t>
        </is>
      </c>
      <c r="C1042" s="4" t="inlineStr">
        <is>
          <t>legislature.vermont.gov</t>
        </is>
      </c>
      <c r="D1042" s="15" t="inlineStr">
        <is>
          <t>32 V.S.A. § 5401. Definitions</t>
        </is>
      </c>
      <c r="E1042" s="4" t="n"/>
      <c r="F1042" s="4" t="n"/>
      <c r="G1042" s="4" t="inlineStr">
        <is>
          <t>https://legislature.vermont.gov/statutes/section/32/135/05401</t>
        </is>
      </c>
    </row>
    <row r="1043" ht="30" customHeight="1">
      <c r="A1043" s="13" t="inlineStr">
        <is>
          <t>Vermont</t>
        </is>
      </c>
      <c r="B1043" s="4" t="inlineStr">
        <is>
          <t>News</t>
        </is>
      </c>
      <c r="C1043" s="4" t="inlineStr">
        <is>
          <t>wamc.org</t>
        </is>
      </c>
      <c r="D1043" s="15" t="inlineStr">
        <is>
          <t>Vermonters to decide two state constitutional amendments</t>
        </is>
      </c>
      <c r="E1043" s="4" t="inlineStr">
        <is>
          <t>2026-07-28</t>
        </is>
      </c>
      <c r="F1043" s="4" t="n"/>
      <c r="G1043" s="4" t="inlineStr">
        <is>
          <t>https://www.wamc.org/news/2026-07-28/vermonters-to-decide-two-state-constitutional-amendments</t>
        </is>
      </c>
    </row>
    <row r="1044" ht="30" customHeight="1">
      <c r="A1044" s="13" t="inlineStr">
        <is>
          <t>Vermont</t>
        </is>
      </c>
      <c r="B1044" s="4" t="inlineStr">
        <is>
          <t>Free-market groups &amp; GOP caucuses</t>
        </is>
      </c>
      <c r="C1044" s="4" t="inlineStr">
        <is>
          <t>fiscalalliancefoundation.org</t>
        </is>
      </c>
      <c r="D1044" s="15" t="inlineStr">
        <is>
          <t>Locked In: The Economic and Fiscal Effects of Vermont’s Proposal 3</t>
        </is>
      </c>
      <c r="E1044" s="4" t="inlineStr">
        <is>
          <t>2026-10-06</t>
        </is>
      </c>
      <c r="F1044" s="4" t="n"/>
      <c r="G1044" s="4" t="inlineStr">
        <is>
          <t>https://fiscalalliancefoundation.org/proposal3/</t>
        </is>
      </c>
    </row>
    <row r="1045" ht="30" customHeight="1">
      <c r="A1045" s="13" t="inlineStr">
        <is>
          <t>Vermont</t>
        </is>
      </c>
      <c r="B1045" s="4" t="inlineStr">
        <is>
          <t>Free-market groups &amp; GOP caucuses</t>
        </is>
      </c>
      <c r="C1045" s="4" t="inlineStr">
        <is>
          <t>fiscalalliancefoundation.org</t>
        </is>
      </c>
      <c r="D1045" s="15" t="inlineStr">
        <is>
          <t>Vermont — Fiscal Alliance Foundation</t>
        </is>
      </c>
      <c r="E1045" s="4" t="n"/>
      <c r="F1045" s="4" t="n"/>
      <c r="G1045" s="4" t="inlineStr">
        <is>
          <t>https://fiscalalliancefoundation.org/vermont.html</t>
        </is>
      </c>
    </row>
    <row r="1046" ht="30" customHeight="1">
      <c r="A1046" s="13" t="inlineStr">
        <is>
          <t>Vermont</t>
        </is>
      </c>
      <c r="B1046" s="4" t="inlineStr">
        <is>
          <t>Free-market groups &amp; GOP caucuses</t>
        </is>
      </c>
      <c r="C1046" s="4" t="inlineStr">
        <is>
          <t>ethanallen.org</t>
        </is>
      </c>
      <c r="D1046" s="15" t="inlineStr">
        <is>
          <t>a modest proposal from 46 states property tax limitations</t>
        </is>
      </c>
      <c r="E1046" s="4" t="n"/>
      <c r="F1046" s="4" t="n"/>
      <c r="G1046" s="4" t="inlineStr">
        <is>
          <t>https://www.ethanallen.org/a_modest_proposal_from_46_states_property_tax_limitations</t>
        </is>
      </c>
    </row>
    <row r="1047" ht="34" customHeight="1">
      <c r="A1047" s="13" t="inlineStr">
        <is>
          <t>Virginia</t>
        </is>
      </c>
      <c r="B1047" s="4" t="inlineStr">
        <is>
          <t>Constitution &amp; statutes</t>
        </is>
      </c>
      <c r="C1047" s="4" t="inlineStr">
        <is>
          <t>law.lis.virginia.gov</t>
        </is>
      </c>
      <c r="D1047" s="15" t="inlineStr">
        <is>
          <t>§ 58.1-3321. Effect on rate when assessment results in tax increase; public hearings; referendum</t>
        </is>
      </c>
      <c r="E1047" s="4" t="n"/>
      <c r="F1047" s="4" t="n"/>
      <c r="G1047" s="4" t="inlineStr">
        <is>
          <t>https://law.lis.virginia.gov/vacode/title58.1/chapter32/section58.1-3321/</t>
        </is>
      </c>
    </row>
    <row r="1048" ht="34" customHeight="1">
      <c r="A1048" s="13" t="inlineStr">
        <is>
          <t>Virginia</t>
        </is>
      </c>
      <c r="B1048" s="4" t="inlineStr">
        <is>
          <t>Constitution &amp; statutes</t>
        </is>
      </c>
      <c r="C1048" s="4" t="inlineStr">
        <is>
          <t>law.lis.virginia.gov</t>
        </is>
      </c>
      <c r="D1048" s="15" t="inlineStr">
        <is>
          <t>§ 58.1-3524. Tangible personal property tax relief; local tax rates on vehicles qualifying for tangible personal property tax relief</t>
        </is>
      </c>
      <c r="E1048" s="4" t="n"/>
      <c r="F1048" s="4" t="n"/>
      <c r="G1048" s="4" t="inlineStr">
        <is>
          <t>https://law.lis.virginia.gov/vacode/title58.1/chapter35/section58.1-3524/</t>
        </is>
      </c>
    </row>
    <row r="1049" ht="30" customHeight="1">
      <c r="A1049" s="13" t="inlineStr">
        <is>
          <t>Virginia</t>
        </is>
      </c>
      <c r="B1049" s="4" t="inlineStr">
        <is>
          <t>Ballot information</t>
        </is>
      </c>
      <c r="C1049" s="4" t="inlineStr">
        <is>
          <t>news.ballotpedia.org</t>
        </is>
      </c>
      <c r="D1049" s="15" t="inlineStr">
        <is>
          <t>voters-in-seven-states-to-decide-13-property-tax-measures-in-2026</t>
        </is>
      </c>
      <c r="E1049" s="4" t="n"/>
      <c r="F1049" s="4" t="inlineStr">
        <is>
          <t>TN, TX, UT, WA, WI, WV, WY</t>
        </is>
      </c>
      <c r="G1049" s="4" t="inlineStr">
        <is>
          <t>https://news.ballotpedia.org/2026/08/27/voters-in-seven-states-to-decide-13-property-tax-measures-in-2026/</t>
        </is>
      </c>
    </row>
    <row r="1050" ht="30" customHeight="1">
      <c r="A1050" s="13" t="inlineStr">
        <is>
          <t>Virginia</t>
        </is>
      </c>
      <c r="B1050" s="4" t="inlineStr">
        <is>
          <t>Research &amp; associations</t>
        </is>
      </c>
      <c r="C1050" s="4" t="inlineStr">
        <is>
          <t>lincolninst.edu</t>
        </is>
      </c>
      <c r="D1050" s="15" t="inlineStr">
        <is>
          <t>truth in taxation 2024.xlsx</t>
        </is>
      </c>
      <c r="E1050" s="4" t="n"/>
      <c r="F1050" s="4" t="inlineStr">
        <is>
          <t>DE, GA, IA, IL, KY, MD, MI, MN, MO, NC, ND, NE, NM, NV, NY, OH, OK, OR, PA, RI, TN, TX, UT, VT, WV, WY</t>
        </is>
      </c>
      <c r="G1050" s="4" t="inlineStr">
        <is>
          <t>https://www.lincolninst.edu/app/uploads/2024/10/truth_in_taxation_2024.xlsx</t>
        </is>
      </c>
    </row>
    <row r="1051" ht="30" customHeight="1">
      <c r="A1051" s="13" t="inlineStr">
        <is>
          <t>Virginia</t>
        </is>
      </c>
      <c r="B1051" s="4" t="inlineStr">
        <is>
          <t>Federal government &amp; data</t>
        </is>
      </c>
      <c r="C1051" s="4" t="inlineStr">
        <is>
          <t>www2.census.gov</t>
        </is>
      </c>
      <c r="D1051" s="15" t="inlineStr">
        <is>
          <t>22slsstab1.xlsx</t>
        </is>
      </c>
      <c r="E1051" s="4" t="n"/>
      <c r="F1051" s="4" t="inlineStr">
        <is>
          <t>AL, AR, IA, KS, KY, LA, MA, MD, ME, MI, MN, MO, MS, MT, NC, ND, NE, NH, NJ, NM, NV, NY, OH, OK, OR, PA, RI, SC, SD, TN, TX, UT, VT, WA, WI, WV, WY</t>
        </is>
      </c>
      <c r="G1051" s="4" t="inlineStr">
        <is>
          <t>https://www2.census.gov/programs-surveys/gov-finances/tables/2022/22slsstab1.xlsx</t>
        </is>
      </c>
    </row>
    <row r="1052" ht="30" customHeight="1">
      <c r="A1052" s="13" t="inlineStr">
        <is>
          <t>Virginia</t>
        </is>
      </c>
      <c r="B1052" s="4" t="inlineStr">
        <is>
          <t>Constitution &amp; statutes</t>
        </is>
      </c>
      <c r="C1052" s="4" t="inlineStr">
        <is>
          <t>law.lis.virginia.gov</t>
        </is>
      </c>
      <c r="D1052" s="15" t="inlineStr">
        <is>
          <t>Constitution of Virginia</t>
        </is>
      </c>
      <c r="E1052" s="4" t="n"/>
      <c r="F1052" s="4" t="n"/>
      <c r="G1052" s="4" t="inlineStr">
        <is>
          <t>https://law.lis.virginia.gov/constitution/article10/section6-a/</t>
        </is>
      </c>
    </row>
    <row r="1053" ht="30" customHeight="1">
      <c r="A1053" s="13" t="inlineStr">
        <is>
          <t>Virginia</t>
        </is>
      </c>
      <c r="B1053" s="4" t="inlineStr">
        <is>
          <t>News</t>
        </is>
      </c>
      <c r="C1053" s="4" t="inlineStr">
        <is>
          <t>vpm.org</t>
        </is>
      </c>
      <c r="D1053" s="15" t="inlineStr">
        <is>
          <t>Virginians Approve Tax Exemption for Military Spouses</t>
        </is>
      </c>
      <c r="E1053" s="4" t="inlineStr">
        <is>
          <t>2024-11-07</t>
        </is>
      </c>
      <c r="F1053" s="4" t="n"/>
      <c r="G1053" s="4" t="inlineStr">
        <is>
          <t>https://www.vpm.org/elections/2024-11-07/virginia-constitution-amendment-surviving-spouses-property-tax</t>
        </is>
      </c>
    </row>
    <row r="1054" ht="30" customHeight="1">
      <c r="A1054" s="13" t="inlineStr">
        <is>
          <t>Virginia</t>
        </is>
      </c>
      <c r="B1054" s="4" t="inlineStr">
        <is>
          <t>State government</t>
        </is>
      </c>
      <c r="C1054" s="4" t="inlineStr">
        <is>
          <t>elections.virginia.gov</t>
        </is>
      </c>
      <c r="D1054" s="15" t="inlineStr">
        <is>
          <t>november-2026-proposed-constitutional-amendments</t>
        </is>
      </c>
      <c r="E1054" s="4" t="n"/>
      <c r="F1054" s="4" t="n"/>
      <c r="G1054" s="4" t="inlineStr">
        <is>
          <t>https://www.elections.virginia.gov/casting-a-ballot/candidate-list/november-2026-proposed-constitutional-amendments/</t>
        </is>
      </c>
    </row>
    <row r="1055" ht="30" customHeight="1">
      <c r="A1055" s="13" t="inlineStr">
        <is>
          <t>Virginia</t>
        </is>
      </c>
      <c r="B1055" s="4" t="inlineStr">
        <is>
          <t>News</t>
        </is>
      </c>
      <c r="C1055" s="4" t="inlineStr">
        <is>
          <t>wmra.org</t>
        </is>
      </c>
      <c r="D1055" s="15" t="inlineStr">
        <is>
          <t>Study of car tax repeal clears House of Delegates</t>
        </is>
      </c>
      <c r="E1055" s="4" t="inlineStr">
        <is>
          <t>2026-02-03</t>
        </is>
      </c>
      <c r="F1055" s="4" t="n"/>
      <c r="G1055" s="4" t="inlineStr">
        <is>
          <t>https://www.wmra.org/2026-02-03/study-of-car-tax-repeal-clears-house-of-delegates</t>
        </is>
      </c>
    </row>
    <row r="1056" ht="30" customHeight="1">
      <c r="A1056" s="13" t="inlineStr">
        <is>
          <t>Virginia</t>
        </is>
      </c>
      <c r="B1056" s="4" t="inlineStr">
        <is>
          <t>Local government</t>
        </is>
      </c>
      <c r="C1056" s="4" t="inlineStr">
        <is>
          <t>fairfaxcounty.gov</t>
        </is>
      </c>
      <c r="D1056" s="15" t="inlineStr">
        <is>
          <t>Author: Ellis, Jesse</t>
        </is>
      </c>
      <c r="E1056" s="4" t="inlineStr">
        <is>
          <t>2026</t>
        </is>
      </c>
      <c r="F1056" s="4" t="n"/>
      <c r="G1056" s="4" t="inlineStr">
        <is>
          <t>https://www.fairfaxcounty.gov/budget/sites/budget/files/Assets/documents/fy2027/advertised/FY2027%20Advertised%20BAAG%20-%20FINAL.pdf</t>
        </is>
      </c>
    </row>
    <row r="1057" ht="30" customHeight="1">
      <c r="A1057" s="13" t="inlineStr">
        <is>
          <t>Virginia</t>
        </is>
      </c>
      <c r="B1057" s="4" t="inlineStr">
        <is>
          <t>News</t>
        </is>
      </c>
      <c r="C1057" s="4" t="inlineStr">
        <is>
          <t>potomaclocal.com</t>
        </is>
      </c>
      <c r="D1057" s="15" t="inlineStr">
        <is>
          <t>Prince William bills to rise $203 under flat tax rate</t>
        </is>
      </c>
      <c r="E1057" s="4" t="inlineStr">
        <is>
          <t>2026-02-18</t>
        </is>
      </c>
      <c r="F1057" s="4" t="n"/>
      <c r="G1057" s="4" t="inlineStr">
        <is>
          <t>https://www.potomaclocal.com/2026/02/18/prince-william-bills-to-rise-203-under-flat-tax-rate/</t>
        </is>
      </c>
    </row>
    <row r="1058" ht="30" customHeight="1">
      <c r="A1058" s="13" t="inlineStr">
        <is>
          <t>Virginia</t>
        </is>
      </c>
      <c r="B1058" s="4" t="inlineStr">
        <is>
          <t>Local government</t>
        </is>
      </c>
      <c r="C1058" s="4" t="inlineStr">
        <is>
          <t>loudoun.gov</t>
        </is>
      </c>
      <c r="D1058" s="15" t="inlineStr">
        <is>
          <t>Current Budget | Loudoun County, VA</t>
        </is>
      </c>
      <c r="E1058" s="4" t="n"/>
      <c r="F1058" s="4" t="n"/>
      <c r="G1058" s="4" t="inlineStr">
        <is>
          <t>https://www.loudoun.gov/2857/Current-Budget</t>
        </is>
      </c>
    </row>
    <row r="1059" ht="30" customHeight="1">
      <c r="A1059" s="13" t="inlineStr">
        <is>
          <t>Virginia</t>
        </is>
      </c>
      <c r="B1059" s="4" t="inlineStr">
        <is>
          <t>Free-market groups &amp; GOP caucuses</t>
        </is>
      </c>
      <c r="C1059" s="4" t="inlineStr">
        <is>
          <t>thomasjeffersoninst.org</t>
        </is>
      </c>
      <c r="D1059" s="15" t="inlineStr">
        <is>
          <t>It's Car Tax Day, Let's Move Forward on Governor Gilmore's 'No Car Tax' Pledge</t>
        </is>
      </c>
      <c r="E1059" s="4" t="inlineStr">
        <is>
          <t>2024-10-07</t>
        </is>
      </c>
      <c r="F1059" s="4" t="n"/>
      <c r="G1059" s="4" t="inlineStr">
        <is>
          <t>https://www.thomasjeffersoninst.org/its-car-tax-day-lets-move-forward-on-governor-gilmores-no-car-tax-pledge/</t>
        </is>
      </c>
    </row>
    <row r="1060" ht="30" customHeight="1">
      <c r="A1060" s="13" t="inlineStr">
        <is>
          <t>Washington</t>
        </is>
      </c>
      <c r="B1060" s="4" t="inlineStr">
        <is>
          <t>News</t>
        </is>
      </c>
      <c r="C1060" s="4" t="inlineStr">
        <is>
          <t>washingtonstatestandard.com</t>
        </is>
      </c>
      <c r="D1060" s="15" t="inlineStr">
        <is>
          <t>washington-democrats-abandon-property-tax-hike</t>
        </is>
      </c>
      <c r="E1060" s="4" t="n"/>
      <c r="F1060" s="4" t="n"/>
      <c r="G1060" s="4" t="inlineStr">
        <is>
          <t>https://washingtonstatestandard.com/2025/04/21/washington-democrats-abandon-property-tax-hike/</t>
        </is>
      </c>
    </row>
    <row r="1061" ht="30" customHeight="1">
      <c r="A1061" s="13" t="inlineStr">
        <is>
          <t>Washington</t>
        </is>
      </c>
      <c r="B1061" s="4" t="inlineStr">
        <is>
          <t>Research &amp; associations</t>
        </is>
      </c>
      <c r="C1061" s="4" t="inlineStr">
        <is>
          <t>apps.lincolninst.edu</t>
        </is>
      </c>
      <c r="D1061" s="15" t="inlineStr">
        <is>
          <t>rate-limits-2022-4.xlsx</t>
        </is>
      </c>
      <c r="E1061" s="4" t="n"/>
      <c r="F1061" s="4" t="inlineStr">
        <is>
          <t>AL, FL, IA, ID, KS, KY, LA, MA, MI, MO, NM, NV, SC, SD, UT, WV, WY</t>
        </is>
      </c>
      <c r="G1061" s="4" t="inlineStr">
        <is>
          <t>https://apps.lincolninst.edu/uploads/summary-tables/rate-limits-summary-tables/rate-limits-2022-4.xlsx</t>
        </is>
      </c>
    </row>
    <row r="1062" ht="30" customHeight="1">
      <c r="A1062" s="13" t="inlineStr">
        <is>
          <t>Washington</t>
        </is>
      </c>
      <c r="B1062" s="4" t="inlineStr">
        <is>
          <t>Research &amp; associations</t>
        </is>
      </c>
      <c r="C1062" s="4" t="inlineStr">
        <is>
          <t>lincolninst.edu</t>
        </is>
      </c>
      <c r="D1062" s="15" t="inlineStr">
        <is>
          <t>levy limits 2022.xlsx</t>
        </is>
      </c>
      <c r="E1062" s="4" t="n"/>
      <c r="F1062" s="4" t="inlineStr">
        <is>
          <t>MA, ME, MI, MN, MO, MS, MT, NM, NV, NY, RI, SD, WI, WV</t>
        </is>
      </c>
      <c r="G1062" s="4" t="inlineStr">
        <is>
          <t>https://www.lincolninst.edu/app/uploads/2024/12/levy_limits_2022.xlsx</t>
        </is>
      </c>
    </row>
    <row r="1063" ht="30" customHeight="1">
      <c r="A1063" s="13" t="inlineStr">
        <is>
          <t>Washington</t>
        </is>
      </c>
      <c r="B1063" s="4" t="inlineStr">
        <is>
          <t>Ballot information</t>
        </is>
      </c>
      <c r="C1063" s="4" t="inlineStr">
        <is>
          <t>news.ballotpedia.org</t>
        </is>
      </c>
      <c r="D1063" s="15" t="inlineStr">
        <is>
          <t>voters-in-seven-states-to-decide-13-property-tax-measures-in-2026</t>
        </is>
      </c>
      <c r="E1063" s="4" t="n"/>
      <c r="F1063" s="4" t="inlineStr">
        <is>
          <t>TN, TX, UT, VA, WI, WV, WY</t>
        </is>
      </c>
      <c r="G1063" s="4" t="inlineStr">
        <is>
          <t>https://news.ballotpedia.org/2026/08/27/voters-in-seven-states-to-decide-13-property-tax-measures-in-2026/</t>
        </is>
      </c>
    </row>
    <row r="1064" ht="30" customHeight="1">
      <c r="A1064" s="13" t="inlineStr">
        <is>
          <t>Washington</t>
        </is>
      </c>
      <c r="B1064" s="4" t="inlineStr">
        <is>
          <t>Federal government &amp; data</t>
        </is>
      </c>
      <c r="C1064" s="4" t="inlineStr">
        <is>
          <t>www2.census.gov</t>
        </is>
      </c>
      <c r="D1064" s="15" t="inlineStr">
        <is>
          <t>22slsstab1.xlsx</t>
        </is>
      </c>
      <c r="E1064" s="4" t="n"/>
      <c r="F1064" s="4" t="inlineStr">
        <is>
          <t>AL, AR, IA, KS, KY, LA, MA, MD, ME, MI, MN, MO, MS, MT, NC, ND, NE, NH, NJ, NM, NV, NY, OH, OK, OR, PA, RI, SC, SD, TN, TX, UT, VA, VT, WI, WV, WY</t>
        </is>
      </c>
      <c r="G1064" s="4" t="inlineStr">
        <is>
          <t>https://www2.census.gov/programs-surveys/gov-finances/tables/2022/22slsstab1.xlsx</t>
        </is>
      </c>
    </row>
    <row r="1065" ht="30" customHeight="1">
      <c r="A1065" s="13" t="inlineStr">
        <is>
          <t>Washington</t>
        </is>
      </c>
      <c r="B1065" s="4" t="inlineStr">
        <is>
          <t>Bills &amp; legislative documents</t>
        </is>
      </c>
      <c r="C1065" s="4" t="inlineStr">
        <is>
          <t>app.leg.wa.gov</t>
        </is>
      </c>
      <c r="D1065" s="15" t="inlineStr">
        <is>
          <t>HB 2049 Washington State Legislature</t>
        </is>
      </c>
      <c r="E1065" s="4" t="n"/>
      <c r="F1065" s="4" t="n"/>
      <c r="G1065" s="4" t="inlineStr">
        <is>
          <t>https://app.leg.wa.gov/billsummary?BillNumber=2049&amp;Year=2025</t>
        </is>
      </c>
    </row>
    <row r="1066" ht="30" customHeight="1">
      <c r="A1066" s="13" t="inlineStr">
        <is>
          <t>Washington</t>
        </is>
      </c>
      <c r="B1066" s="4" t="inlineStr">
        <is>
          <t>Bills &amp; legislative documents</t>
        </is>
      </c>
      <c r="C1066" s="4" t="inlineStr">
        <is>
          <t>lawfilesext.leg.wa.gov</t>
        </is>
      </c>
      <c r="D1066" s="15" t="inlineStr">
        <is>
          <t>2049-S.E HBR FBR 25</t>
        </is>
      </c>
      <c r="E1066" s="4" t="inlineStr">
        <is>
          <t>2025</t>
        </is>
      </c>
      <c r="F1066" s="4" t="n"/>
      <c r="G1066" s="4" t="inlineStr">
        <is>
          <t>https://lawfilesext.leg.wa.gov/biennium/2025-26/Pdf/Bill%20Reports/House/2049-S.E%20HBR%20FBR%2025.pdf</t>
        </is>
      </c>
    </row>
    <row r="1067" ht="30" customHeight="1">
      <c r="A1067" s="13" t="inlineStr">
        <is>
          <t>Washington</t>
        </is>
      </c>
      <c r="B1067" s="4" t="inlineStr">
        <is>
          <t>Bills &amp; legislative documents</t>
        </is>
      </c>
      <c r="C1067" s="4" t="inlineStr">
        <is>
          <t>app.leg.wa.gov</t>
        </is>
      </c>
      <c r="D1067" s="15" t="inlineStr">
        <is>
          <t>SB 6162 Washington State Legislature</t>
        </is>
      </c>
      <c r="E1067" s="4" t="n"/>
      <c r="F1067" s="4" t="n"/>
      <c r="G1067" s="4" t="inlineStr">
        <is>
          <t>https://app.leg.wa.gov/billsummary?BillNumber=6162&amp;Year=2026</t>
        </is>
      </c>
    </row>
    <row r="1068" ht="30" customHeight="1">
      <c r="A1068" s="13" t="inlineStr">
        <is>
          <t>Washington</t>
        </is>
      </c>
      <c r="B1068" s="4" t="inlineStr">
        <is>
          <t>Bills &amp; legislative documents</t>
        </is>
      </c>
      <c r="C1068" s="4" t="inlineStr">
        <is>
          <t>lawfilesext.leg.wa.gov</t>
        </is>
      </c>
      <c r="D1068" s="15" t="inlineStr">
        <is>
          <t>6162-S.E SBR FBR 26</t>
        </is>
      </c>
      <c r="E1068" s="4" t="inlineStr">
        <is>
          <t>2026</t>
        </is>
      </c>
      <c r="F1068" s="4" t="n"/>
      <c r="G1068" s="4" t="inlineStr">
        <is>
          <t>https://lawfilesext.leg.wa.gov/biennium/2025-26/Pdf/Bill%20Reports/Senate/6162-S.E%20SBR%20FBR%2026.pdf</t>
        </is>
      </c>
    </row>
    <row r="1069" ht="30" customHeight="1">
      <c r="A1069" s="13" t="inlineStr">
        <is>
          <t>Washington</t>
        </is>
      </c>
      <c r="B1069" s="4" t="inlineStr">
        <is>
          <t>Bills &amp; legislative documents</t>
        </is>
      </c>
      <c r="C1069" s="4" t="inlineStr">
        <is>
          <t>senatedemocrats.wa.gov</t>
        </is>
      </c>
      <c r="D1069" s="15" t="inlineStr">
        <is>
          <t>KHQ: Washington law makes more people eligible for property tax exemption</t>
        </is>
      </c>
      <c r="E1069" s="4" t="inlineStr">
        <is>
          <t>2026-03-23</t>
        </is>
      </c>
      <c r="F1069" s="4" t="n"/>
      <c r="G1069" s="4" t="inlineStr">
        <is>
          <t>https://senatedemocrats.wa.gov/blog/2026/03/23/khq-washington-law-makes-more-people-eligible-for-property-tax-exemption/</t>
        </is>
      </c>
    </row>
    <row r="1070" ht="30" customHeight="1">
      <c r="A1070" s="13" t="inlineStr">
        <is>
          <t>Washington</t>
        </is>
      </c>
      <c r="B1070" s="4" t="inlineStr">
        <is>
          <t>News</t>
        </is>
      </c>
      <c r="C1070" s="4" t="inlineStr">
        <is>
          <t>thecentersquare.com</t>
        </is>
      </c>
      <c r="D1070" s="15" t="inlineStr">
        <is>
          <t>Impact of WA property tax reform bill debated at House Finance Committee</t>
        </is>
      </c>
      <c r="E1070" s="4" t="inlineStr">
        <is>
          <t>2026-02-27</t>
        </is>
      </c>
      <c r="F1070" s="4" t="n"/>
      <c r="G1070" s="4" t="inlineStr">
        <is>
          <t>https://thecentersquare.com/washington/article_e0ea71b0-85dd-40b8-8be4-7180d00692a6.html</t>
        </is>
      </c>
    </row>
    <row r="1071" ht="30" customHeight="1">
      <c r="A1071" s="13" t="inlineStr">
        <is>
          <t>Washington</t>
        </is>
      </c>
      <c r="B1071" s="4" t="inlineStr">
        <is>
          <t>News</t>
        </is>
      </c>
      <c r="C1071" s="4" t="inlineStr">
        <is>
          <t>yakimaherald.com</t>
        </is>
      </c>
      <c r="D1071" s="15" t="inlineStr">
        <is>
          <t>Seattle’s appetite for new property taxes approaching its legal limit</t>
        </is>
      </c>
      <c r="E1071" s="4" t="inlineStr">
        <is>
          <t>2026-01-12</t>
        </is>
      </c>
      <c r="F1071" s="4" t="n"/>
      <c r="G1071" s="4" t="inlineStr">
        <is>
          <t>https://www.yakimaherald.com/news/seattle-s-appetite-for-new-property-taxes-approaching-its-legal-limit/article_77c48458-9ad9-51a6-8615-4cb07ebca280.html</t>
        </is>
      </c>
    </row>
    <row r="1072" ht="30" customHeight="1">
      <c r="A1072" s="13" t="inlineStr">
        <is>
          <t>Washington</t>
        </is>
      </c>
      <c r="B1072" s="4" t="inlineStr">
        <is>
          <t>News</t>
        </is>
      </c>
      <c r="C1072" s="4" t="inlineStr">
        <is>
          <t>komonews.com</t>
        </is>
      </c>
      <c r="D1072" s="15" t="inlineStr">
        <is>
          <t>Seattle voters to decide $480M library levy that would raise property taxes</t>
        </is>
      </c>
      <c r="E1072" s="4" t="inlineStr">
        <is>
          <t>2026-07-29</t>
        </is>
      </c>
      <c r="F1072" s="4" t="n"/>
      <c r="G1072" s="4" t="inlineStr">
        <is>
          <t>https://komonews.com/news/local/seattle-voters-to-decide-480m-library-levy-that-would-raise-property-taxes-27-branches-operating-budget-public-library-august-4-building-maintenance-services-tom-fay</t>
        </is>
      </c>
    </row>
    <row r="1073" ht="30" customHeight="1">
      <c r="A1073" s="13" t="inlineStr">
        <is>
          <t>Washington</t>
        </is>
      </c>
      <c r="B1073" s="4" t="inlineStr">
        <is>
          <t>Local government</t>
        </is>
      </c>
      <c r="C1073" s="4" t="inlineStr">
        <is>
          <t>content.govdelivery.com</t>
        </is>
      </c>
      <c r="D1073" s="15" t="inlineStr">
        <is>
          <t>Statement from Mayor Wilson on Library Levy Election Results</t>
        </is>
      </c>
      <c r="E1073" s="4" t="n"/>
      <c r="F1073" s="4" t="n"/>
      <c r="G1073" s="4" t="inlineStr">
        <is>
          <t>https://content.govdelivery.com/accounts/WASEATTLE/bulletins/423ae08</t>
        </is>
      </c>
    </row>
    <row r="1074" ht="30" customHeight="1">
      <c r="A1074" s="13" t="inlineStr">
        <is>
          <t>Washington</t>
        </is>
      </c>
      <c r="B1074" s="4" t="inlineStr">
        <is>
          <t>Ballot information</t>
        </is>
      </c>
      <c r="C1074" s="4" t="inlineStr">
        <is>
          <t>ballotpedia.org</t>
        </is>
      </c>
      <c r="D1074" s="15" t="inlineStr">
        <is>
          <t>Washington 2026 ballot measures</t>
        </is>
      </c>
      <c r="E1074" s="4" t="n"/>
      <c r="F1074" s="4" t="n"/>
      <c r="G1074" s="4" t="inlineStr">
        <is>
          <t>https://ballotpedia.org/Washington_2026_ballot_measures</t>
        </is>
      </c>
    </row>
    <row r="1075" ht="30" customHeight="1">
      <c r="A1075" s="13" t="inlineStr">
        <is>
          <t>Washington</t>
        </is>
      </c>
      <c r="B1075" s="4" t="inlineStr">
        <is>
          <t>Free-market groups &amp; GOP caucuses</t>
        </is>
      </c>
      <c r="C1075" s="4" t="inlineStr">
        <is>
          <t>washingtonpolicy.org</t>
        </is>
      </c>
      <c r="D1075" s="15" t="inlineStr">
        <is>
          <t>Senate Bill 5798 is a massive tax increase on the homeowners of Washington</t>
        </is>
      </c>
      <c r="E1075" s="4" t="inlineStr">
        <is>
          <t>2025-03-28</t>
        </is>
      </c>
      <c r="F1075" s="4" t="n"/>
      <c r="G1075" s="4" t="inlineStr">
        <is>
          <t>https://washingtonpolicy.org/publications/detail/senate-bill-5798-is-a-massive-tax-increase-on-the-homeowners-of-washington</t>
        </is>
      </c>
    </row>
    <row r="1076" ht="30" customHeight="1">
      <c r="A1076" s="13" t="inlineStr">
        <is>
          <t>West Virginia</t>
        </is>
      </c>
      <c r="B1076" s="4" t="inlineStr">
        <is>
          <t>Bills &amp; legislative documents</t>
        </is>
      </c>
      <c r="C1076" s="4" t="inlineStr">
        <is>
          <t>code.wvlegislature.gov</t>
        </is>
      </c>
      <c r="D1076" s="15" t="inlineStr">
        <is>
          <t>West Virginia Code Section 11-8-6E</t>
        </is>
      </c>
      <c r="E1076" s="4" t="n"/>
      <c r="F1076" s="4" t="n"/>
      <c r="G1076" s="4" t="inlineStr">
        <is>
          <t>https://code.wvlegislature.gov/11-8-6E/</t>
        </is>
      </c>
    </row>
    <row r="1077" ht="30" customHeight="1">
      <c r="A1077" s="13" t="inlineStr">
        <is>
          <t>West Virginia</t>
        </is>
      </c>
      <c r="B1077" s="4" t="inlineStr">
        <is>
          <t>Research &amp; associations</t>
        </is>
      </c>
      <c r="C1077" s="4" t="inlineStr">
        <is>
          <t>apps.lincolninst.edu</t>
        </is>
      </c>
      <c r="D1077" s="15" t="inlineStr">
        <is>
          <t>rate-limits-2022-4.xlsx</t>
        </is>
      </c>
      <c r="E1077" s="4" t="n"/>
      <c r="F1077" s="4" t="inlineStr">
        <is>
          <t>AL, FL, IA, ID, KS, KY, LA, MA, MI, MO, NM, NV, SC, SD, UT, WA, WY</t>
        </is>
      </c>
      <c r="G1077" s="4" t="inlineStr">
        <is>
          <t>https://apps.lincolninst.edu/uploads/summary-tables/rate-limits-summary-tables/rate-limits-2022-4.xlsx</t>
        </is>
      </c>
    </row>
    <row r="1078" ht="30" customHeight="1">
      <c r="A1078" s="13" t="inlineStr">
        <is>
          <t>West Virginia</t>
        </is>
      </c>
      <c r="B1078" s="4" t="inlineStr">
        <is>
          <t>Research &amp; associations</t>
        </is>
      </c>
      <c r="C1078" s="4" t="inlineStr">
        <is>
          <t>lincolninst.edu</t>
        </is>
      </c>
      <c r="D1078" s="15" t="inlineStr">
        <is>
          <t>levy limits 2022.xlsx</t>
        </is>
      </c>
      <c r="E1078" s="4" t="n"/>
      <c r="F1078" s="4" t="inlineStr">
        <is>
          <t>MA, ME, MI, MN, MO, MS, MT, NM, NV, NY, RI, SD, WA, WI</t>
        </is>
      </c>
      <c r="G1078" s="4" t="inlineStr">
        <is>
          <t>https://www.lincolninst.edu/app/uploads/2024/12/levy_limits_2022.xlsx</t>
        </is>
      </c>
    </row>
    <row r="1079" ht="30" customHeight="1">
      <c r="A1079" s="13" t="inlineStr">
        <is>
          <t>West Virginia</t>
        </is>
      </c>
      <c r="B1079" s="4" t="inlineStr">
        <is>
          <t>Research &amp; associations</t>
        </is>
      </c>
      <c r="C1079" s="4" t="inlineStr">
        <is>
          <t>lincolninst.edu</t>
        </is>
      </c>
      <c r="D1079" s="15" t="inlineStr">
        <is>
          <t>truth in taxation 2024.xlsx</t>
        </is>
      </c>
      <c r="E1079" s="4" t="n"/>
      <c r="F1079" s="4" t="inlineStr">
        <is>
          <t>DE, GA, IA, IL, KY, MD, MI, MN, MO, NC, ND, NE, NM, NV, NY, OH, OK, OR, PA, RI, TN, TX, UT, VA, VT, WY</t>
        </is>
      </c>
      <c r="G1079" s="4" t="inlineStr">
        <is>
          <t>https://www.lincolninst.edu/app/uploads/2024/10/truth_in_taxation_2024.xlsx</t>
        </is>
      </c>
    </row>
    <row r="1080" ht="30" customHeight="1">
      <c r="A1080" s="13" t="inlineStr">
        <is>
          <t>West Virginia</t>
        </is>
      </c>
      <c r="B1080" s="4" t="inlineStr">
        <is>
          <t>Ballot information</t>
        </is>
      </c>
      <c r="C1080" s="4" t="inlineStr">
        <is>
          <t>news.ballotpedia.org</t>
        </is>
      </c>
      <c r="D1080" s="15" t="inlineStr">
        <is>
          <t>voters-in-seven-states-to-decide-13-property-tax-measures-in-2026</t>
        </is>
      </c>
      <c r="E1080" s="4" t="n"/>
      <c r="F1080" s="4" t="inlineStr">
        <is>
          <t>TN, TX, UT, VA, WA, WI, WY</t>
        </is>
      </c>
      <c r="G1080" s="4" t="inlineStr">
        <is>
          <t>https://news.ballotpedia.org/2026/08/27/voters-in-seven-states-to-decide-13-property-tax-measures-in-2026/</t>
        </is>
      </c>
    </row>
    <row r="1081" ht="30" customHeight="1">
      <c r="A1081" s="13" t="inlineStr">
        <is>
          <t>West Virginia</t>
        </is>
      </c>
      <c r="B1081" s="4" t="inlineStr">
        <is>
          <t>Federal government &amp; data</t>
        </is>
      </c>
      <c r="C1081" s="4" t="inlineStr">
        <is>
          <t>www2.census.gov</t>
        </is>
      </c>
      <c r="D1081" s="15" t="inlineStr">
        <is>
          <t>22slsstab1.xlsx</t>
        </is>
      </c>
      <c r="E1081" s="4" t="n"/>
      <c r="F1081" s="4" t="inlineStr">
        <is>
          <t>AL, AR, IA, KS, KY, LA, MA, MD, ME, MI, MN, MO, MS, MT, NC, ND, NE, NH, NJ, NM, NV, NY, OH, OK, OR, PA, RI, SC, SD, TN, TX, UT, VA, VT, WA, WI, WY</t>
        </is>
      </c>
      <c r="G1081" s="4" t="inlineStr">
        <is>
          <t>https://www2.census.gov/programs-surveys/gov-finances/tables/2022/22slsstab1.xlsx</t>
        </is>
      </c>
    </row>
    <row r="1082" ht="30" customHeight="1">
      <c r="A1082" s="13" t="inlineStr">
        <is>
          <t>West Virginia</t>
        </is>
      </c>
      <c r="B1082" s="4" t="inlineStr">
        <is>
          <t>Bills &amp; legislative documents</t>
        </is>
      </c>
      <c r="C1082" s="4" t="inlineStr">
        <is>
          <t>code.wvlegislature.gov</t>
        </is>
      </c>
      <c r="D1082" s="15" t="inlineStr">
        <is>
          <t>West Virginia Code Section 11-8-6F</t>
        </is>
      </c>
      <c r="E1082" s="4" t="n"/>
      <c r="F1082" s="4" t="n"/>
      <c r="G1082" s="4" t="inlineStr">
        <is>
          <t>https://code.wvlegislature.gov/11-8-6F/</t>
        </is>
      </c>
    </row>
    <row r="1083" ht="30" customHeight="1">
      <c r="A1083" s="13" t="inlineStr">
        <is>
          <t>West Virginia</t>
        </is>
      </c>
      <c r="B1083" s="4" t="inlineStr">
        <is>
          <t>Bills &amp; legislative documents</t>
        </is>
      </c>
      <c r="C1083" s="4" t="inlineStr">
        <is>
          <t>code.wvlegislature.gov</t>
        </is>
      </c>
      <c r="D1083" s="15" t="inlineStr">
        <is>
          <t>West Virginia Code Section 11-8-6G</t>
        </is>
      </c>
      <c r="E1083" s="4" t="n"/>
      <c r="F1083" s="4" t="n"/>
      <c r="G1083" s="4" t="inlineStr">
        <is>
          <t>https://code.wvlegislature.gov/11-8-6G/</t>
        </is>
      </c>
    </row>
    <row r="1084" ht="30" customHeight="1">
      <c r="A1084" s="13" t="inlineStr">
        <is>
          <t>West Virginia</t>
        </is>
      </c>
      <c r="B1084" s="4" t="inlineStr">
        <is>
          <t>Bills &amp; legislative documents</t>
        </is>
      </c>
      <c r="C1084" s="4" t="inlineStr">
        <is>
          <t>wvlegislature.gov</t>
        </is>
      </c>
      <c r="D1084" s="15" t="inlineStr">
        <is>
          <t>West Virginia Constitution</t>
        </is>
      </c>
      <c r="E1084" s="4" t="n"/>
      <c r="F1084" s="4" t="n"/>
      <c r="G1084" s="4" t="inlineStr">
        <is>
          <t>https://www.wvlegislature.gov/WVCODE/WV_CON.cfm</t>
        </is>
      </c>
    </row>
    <row r="1085" ht="30" customHeight="1">
      <c r="A1085" s="13" t="inlineStr">
        <is>
          <t>West Virginia</t>
        </is>
      </c>
      <c r="B1085" s="4" t="inlineStr">
        <is>
          <t>Bills &amp; legislative documents</t>
        </is>
      </c>
      <c r="C1085" s="4" t="inlineStr">
        <is>
          <t>bills.wvlegislature.gov</t>
        </is>
      </c>
      <c r="D1085" s="15" t="inlineStr">
        <is>
          <t>Bill History – West Virginia Legislature Bills</t>
        </is>
      </c>
      <c r="E1085" s="4" t="n"/>
      <c r="F1085" s="4" t="n"/>
      <c r="G1085" s="4" t="inlineStr">
        <is>
          <t>https://bills.wvlegislature.gov/bill/history/2026/RS/SB167</t>
        </is>
      </c>
    </row>
    <row r="1086" ht="30" customHeight="1">
      <c r="A1086" s="13" t="inlineStr">
        <is>
          <t>West Virginia</t>
        </is>
      </c>
      <c r="B1086" s="4" t="inlineStr">
        <is>
          <t>Bills &amp; legislative documents</t>
        </is>
      </c>
      <c r="C1086" s="4" t="inlineStr">
        <is>
          <t>wvlegislature.gov</t>
        </is>
      </c>
      <c r="D1086" s="15" t="inlineStr">
        <is>
          <t>Bill Status - Complete Bill History (Bills history)</t>
        </is>
      </c>
      <c r="E1086" s="4" t="n"/>
      <c r="F1086" s="4" t="n"/>
      <c r="G1086" s="4" t="inlineStr">
        <is>
          <t>https://www.wvlegislature.gov/Bill_Status/Bills_history.cfm?input=144&amp;year=2026&amp;sessiontype=RS&amp;btype=bill</t>
        </is>
      </c>
    </row>
    <row r="1087" ht="30" customHeight="1">
      <c r="A1087" s="13" t="inlineStr">
        <is>
          <t>West Virginia</t>
        </is>
      </c>
      <c r="B1087" s="4" t="inlineStr">
        <is>
          <t>Bills &amp; legislative documents</t>
        </is>
      </c>
      <c r="C1087" s="4" t="inlineStr">
        <is>
          <t>wvlegislature.gov</t>
        </is>
      </c>
      <c r="D1087" s="15" t="inlineStr">
        <is>
          <t>Bill Status - Complete Bill History (Bills history)</t>
        </is>
      </c>
      <c r="E1087" s="4" t="n"/>
      <c r="F1087" s="4" t="n"/>
      <c r="G1087" s="4" t="inlineStr">
        <is>
          <t>https://www.wvlegislature.gov/Bill_Status/Bills_history.cfm?input=724&amp;year=2025&amp;sessiontype=RS&amp;btype=bill</t>
        </is>
      </c>
    </row>
    <row r="1088" ht="30" customHeight="1">
      <c r="A1088" s="13" t="inlineStr">
        <is>
          <t>West Virginia</t>
        </is>
      </c>
      <c r="B1088" s="4" t="inlineStr">
        <is>
          <t>State government</t>
        </is>
      </c>
      <c r="C1088" s="4" t="inlineStr">
        <is>
          <t>tax.wv.gov</t>
        </is>
      </c>
      <c r="D1088" s="15" t="inlineStr">
        <is>
          <t>Income Tax Credits for Property Taxes Paid</t>
        </is>
      </c>
      <c r="E1088" s="4" t="n"/>
      <c r="F1088" s="4" t="n"/>
      <c r="G1088" s="4" t="inlineStr">
        <is>
          <t>https://tax.wv.gov/Individuals/Pages/IncomeTaxCreditsForPropertyTaxesPaid.aspx</t>
        </is>
      </c>
    </row>
    <row r="1089" ht="30" customHeight="1">
      <c r="A1089" s="13" t="inlineStr">
        <is>
          <t>West Virginia</t>
        </is>
      </c>
      <c r="B1089" s="4" t="inlineStr">
        <is>
          <t>News</t>
        </is>
      </c>
      <c r="C1089" s="4" t="inlineStr">
        <is>
          <t>wvmetronews.com</t>
        </is>
      </c>
      <c r="D1089" s="15" t="inlineStr">
        <is>
          <t>Vehicle Tax Credit Confusion</t>
        </is>
      </c>
      <c r="E1089" s="4" t="inlineStr">
        <is>
          <t>2023-07-25</t>
        </is>
      </c>
      <c r="F1089" s="4" t="n"/>
      <c r="G1089" s="4" t="inlineStr">
        <is>
          <t>https://wvmetronews.com/2023/07/25/vehicle-tax-credit-confusion/</t>
        </is>
      </c>
    </row>
    <row r="1090" ht="30" customHeight="1">
      <c r="A1090" s="13" t="inlineStr">
        <is>
          <t>West Virginia</t>
        </is>
      </c>
      <c r="B1090" s="4" t="inlineStr">
        <is>
          <t>Research &amp; associations</t>
        </is>
      </c>
      <c r="C1090" s="4" t="inlineStr">
        <is>
          <t>wvpolicy.org</t>
        </is>
      </c>
      <c r="D1090" s="15" t="inlineStr">
        <is>
          <t>LIVE BLOG: WVPB Follows The 2026 Primary Election</t>
        </is>
      </c>
      <c r="E1090" s="4" t="inlineStr">
        <is>
          <t>2026-05-12</t>
        </is>
      </c>
      <c r="F1090" s="4" t="n"/>
      <c r="G1090" s="4" t="inlineStr">
        <is>
          <t>https://wvpolicy.org/live-blog-wvpb-follows-the-2026-primary-election/</t>
        </is>
      </c>
    </row>
    <row r="1091" ht="34" customHeight="1">
      <c r="A1091" s="13" t="inlineStr">
        <is>
          <t>West Virginia</t>
        </is>
      </c>
      <c r="B1091" s="4" t="inlineStr">
        <is>
          <t>Research &amp; associations</t>
        </is>
      </c>
      <c r="C1091" s="4" t="inlineStr">
        <is>
          <t>wvpolicy.org</t>
        </is>
      </c>
      <c r="D1091" s="15" t="inlineStr">
        <is>
          <t>Voters in 10 Counties Have the Opportunity to Support Their Public Schools May 12</t>
        </is>
      </c>
      <c r="E1091" s="4" t="inlineStr">
        <is>
          <t>2026-05-04</t>
        </is>
      </c>
      <c r="F1091" s="4" t="n"/>
      <c r="G1091" s="4" t="inlineStr">
        <is>
          <t>https://wvpolicy.org/voters-in-10-counties-have-the-opportunity-to-support-their-public-schools-may-12/</t>
        </is>
      </c>
    </row>
    <row r="1092" ht="30" customHeight="1">
      <c r="A1092" s="13" t="inlineStr">
        <is>
          <t>West Virginia</t>
        </is>
      </c>
      <c r="B1092" s="4" t="inlineStr">
        <is>
          <t>News</t>
        </is>
      </c>
      <c r="C1092" s="4" t="inlineStr">
        <is>
          <t>wchstv.com</t>
        </is>
      </c>
      <c r="D1092" s="15" t="inlineStr">
        <is>
          <t>School excess, public library levies approved in Kanawha County</t>
        </is>
      </c>
      <c r="E1092" s="4" t="inlineStr">
        <is>
          <t>2022-11-09</t>
        </is>
      </c>
      <c r="F1092" s="4" t="n"/>
      <c r="G1092" s="4" t="inlineStr">
        <is>
          <t>https://wchstv.com/news/local/school-excess-public-library-levies-approved-in-kanawha-county</t>
        </is>
      </c>
    </row>
    <row r="1093" ht="30" customHeight="1">
      <c r="A1093" s="13" t="inlineStr">
        <is>
          <t>West Virginia</t>
        </is>
      </c>
      <c r="B1093" s="4" t="inlineStr">
        <is>
          <t>News</t>
        </is>
      </c>
      <c r="C1093" s="4" t="inlineStr">
        <is>
          <t>yahoo.com</t>
        </is>
      </c>
      <c r="D1093" s="15" t="inlineStr">
        <is>
          <t>County, municipalities, BOE 'lay the levy' for the 2026 fiscal year</t>
        </is>
      </c>
      <c r="E1093" s="4" t="inlineStr">
        <is>
          <t>2025-04-17</t>
        </is>
      </c>
      <c r="F1093" s="4" t="n"/>
      <c r="G1093" s="4" t="inlineStr">
        <is>
          <t>https://www.yahoo.com/news/county-municipalities-boe-lay-levy-023400449.html</t>
        </is>
      </c>
    </row>
    <row r="1094" ht="30" customHeight="1">
      <c r="A1094" s="13" t="inlineStr">
        <is>
          <t>West Virginia</t>
        </is>
      </c>
      <c r="B1094" s="4" t="inlineStr">
        <is>
          <t>Ballot information</t>
        </is>
      </c>
      <c r="C1094" s="4" t="inlineStr">
        <is>
          <t>ballotpedia.org</t>
        </is>
      </c>
      <c r="D1094" s="15" t="inlineStr">
        <is>
          <t>West Virginia 2026 ballot measures</t>
        </is>
      </c>
      <c r="E1094" s="4" t="n"/>
      <c r="F1094" s="4" t="n"/>
      <c r="G1094" s="4" t="inlineStr">
        <is>
          <t>https://ballotpedia.org/West_Virginia_2026_ballot_measures</t>
        </is>
      </c>
    </row>
    <row r="1095" ht="30" customHeight="1">
      <c r="A1095" s="13" t="inlineStr">
        <is>
          <t>West Virginia</t>
        </is>
      </c>
      <c r="B1095" s="4" t="inlineStr">
        <is>
          <t>Free-market groups &amp; GOP caucuses</t>
        </is>
      </c>
      <c r="C1095" s="4" t="inlineStr">
        <is>
          <t>cardinalinstitute.com</t>
        </is>
      </c>
      <c r="D1095" s="15" t="inlineStr">
        <is>
          <t>Keep the Receipt for Tax Rebates</t>
        </is>
      </c>
      <c r="E1095" s="4" t="inlineStr">
        <is>
          <t>2023-02-18</t>
        </is>
      </c>
      <c r="F1095" s="4" t="n"/>
      <c r="G1095" s="4" t="inlineStr">
        <is>
          <t>https://cardinalinstitute.com/tax-debates-and-tax-rebates/</t>
        </is>
      </c>
    </row>
    <row r="1096" ht="30" customHeight="1">
      <c r="A1096" s="13" t="inlineStr">
        <is>
          <t>West Virginia</t>
        </is>
      </c>
      <c r="B1096" s="4" t="inlineStr">
        <is>
          <t>Free-market groups &amp; GOP caucuses</t>
        </is>
      </c>
      <c r="C1096" s="4" t="inlineStr">
        <is>
          <t>cardinalinstitute.com</t>
        </is>
      </c>
      <c r="D1096" s="15" t="inlineStr">
        <is>
          <t>Amendment 2: What You Need To Know</t>
        </is>
      </c>
      <c r="E1096" s="4" t="inlineStr">
        <is>
          <t>2022-09-29</t>
        </is>
      </c>
      <c r="F1096" s="4" t="n"/>
      <c r="G1096" s="4" t="inlineStr">
        <is>
          <t>https://cardinalinstitute.com/amendment-2-what-you-need-to-know/</t>
        </is>
      </c>
    </row>
    <row r="1097" ht="30" customHeight="1">
      <c r="A1097" s="13" t="inlineStr">
        <is>
          <t>Wisconsin</t>
        </is>
      </c>
      <c r="B1097" s="4" t="inlineStr">
        <is>
          <t>Constitution &amp; statutes</t>
        </is>
      </c>
      <c r="C1097" s="4" t="inlineStr">
        <is>
          <t>docs.legis.wisconsin.gov</t>
        </is>
      </c>
      <c r="D1097" s="15" t="inlineStr">
        <is>
          <t>Wisconsin Legislature: 66.0602</t>
        </is>
      </c>
      <c r="E1097" s="4" t="n"/>
      <c r="F1097" s="4" t="n"/>
      <c r="G1097" s="4" t="inlineStr">
        <is>
          <t>https://docs.legis.wisconsin.gov/statutes/statutes/66/vi/0602</t>
        </is>
      </c>
    </row>
    <row r="1098" ht="30" customHeight="1">
      <c r="A1098" s="13" t="inlineStr">
        <is>
          <t>Wisconsin</t>
        </is>
      </c>
      <c r="B1098" s="4" t="inlineStr">
        <is>
          <t>State government</t>
        </is>
      </c>
      <c r="C1098" s="4" t="inlineStr">
        <is>
          <t>revenue.wi.gov</t>
        </is>
      </c>
      <c r="D1098" s="15" t="inlineStr">
        <is>
          <t>State School Levies Credit</t>
        </is>
      </c>
      <c r="E1098" s="4" t="inlineStr">
        <is>
          <t>2025</t>
        </is>
      </c>
      <c r="F1098" s="4" t="n"/>
      <c r="G1098" s="4" t="inlineStr">
        <is>
          <t>https://www.revenue.wi.gov/DORReports/School_Levy_Paper_2025.pdf</t>
        </is>
      </c>
    </row>
    <row r="1099" ht="30" customHeight="1">
      <c r="A1099" s="13" t="inlineStr">
        <is>
          <t>Wisconsin</t>
        </is>
      </c>
      <c r="B1099" s="4" t="inlineStr">
        <is>
          <t>News</t>
        </is>
      </c>
      <c r="C1099" s="4" t="inlineStr">
        <is>
          <t>wxpr.org</t>
        </is>
      </c>
      <c r="D1099" s="15" t="inlineStr">
        <is>
          <t>Study finds Wisconsin voters approved a record number of school referenda</t>
        </is>
      </c>
      <c r="E1099" s="4" t="inlineStr">
        <is>
          <t>2024-11-14</t>
        </is>
      </c>
      <c r="F1099" s="4" t="n"/>
      <c r="G1099" s="4" t="inlineStr">
        <is>
          <t>https://www.wxpr.org/election/2024-11-14/study-finds-wisconsin-voters-approved-a-record-number-of-school-referenda</t>
        </is>
      </c>
    </row>
    <row r="1100" ht="30" customHeight="1">
      <c r="A1100" s="13" t="inlineStr">
        <is>
          <t>Wisconsin</t>
        </is>
      </c>
      <c r="B1100" s="4" t="inlineStr">
        <is>
          <t>Research &amp; associations</t>
        </is>
      </c>
      <c r="C1100" s="4" t="inlineStr">
        <is>
          <t>lincolninst.edu</t>
        </is>
      </c>
      <c r="D1100" s="15" t="inlineStr">
        <is>
          <t>levy limits 2022.xlsx</t>
        </is>
      </c>
      <c r="E1100" s="4" t="n"/>
      <c r="F1100" s="4" t="inlineStr">
        <is>
          <t>MA, ME, MI, MN, MO, MS, MT, NM, NV, NY, RI, SD, WA, WV</t>
        </is>
      </c>
      <c r="G1100" s="4" t="inlineStr">
        <is>
          <t>https://www.lincolninst.edu/app/uploads/2024/12/levy_limits_2022.xlsx</t>
        </is>
      </c>
    </row>
    <row r="1101" ht="30" customHeight="1">
      <c r="A1101" s="13" t="inlineStr">
        <is>
          <t>Wisconsin</t>
        </is>
      </c>
      <c r="B1101" s="4" t="inlineStr">
        <is>
          <t>Research &amp; associations</t>
        </is>
      </c>
      <c r="C1101" s="4" t="inlineStr">
        <is>
          <t>lincolninst.edu</t>
        </is>
      </c>
      <c r="D1101" s="15" t="inlineStr">
        <is>
          <t>revenue and expenditure limits 2022.xlsx</t>
        </is>
      </c>
      <c r="E1101" s="4" t="n"/>
      <c r="F1101" s="4" t="n"/>
      <c r="G1101" s="4" t="inlineStr">
        <is>
          <t>https://www.lincolninst.edu/app/uploads/2024/12/revenue_and_expenditure_limits_2022.xlsx</t>
        </is>
      </c>
    </row>
    <row r="1102" ht="30" customHeight="1">
      <c r="A1102" s="13" t="inlineStr">
        <is>
          <t>Wisconsin</t>
        </is>
      </c>
      <c r="B1102" s="4" t="inlineStr">
        <is>
          <t>Ballot information</t>
        </is>
      </c>
      <c r="C1102" s="4" t="inlineStr">
        <is>
          <t>news.ballotpedia.org</t>
        </is>
      </c>
      <c r="D1102" s="15" t="inlineStr">
        <is>
          <t>voters-in-seven-states-to-decide-13-property-tax-measures-in-2026</t>
        </is>
      </c>
      <c r="E1102" s="4" t="n"/>
      <c r="F1102" s="4" t="inlineStr">
        <is>
          <t>TN, TX, UT, VA, WA, WV, WY</t>
        </is>
      </c>
      <c r="G1102" s="4" t="inlineStr">
        <is>
          <t>https://news.ballotpedia.org/2026/08/27/voters-in-seven-states-to-decide-13-property-tax-measures-in-2026/</t>
        </is>
      </c>
    </row>
    <row r="1103" ht="30" customHeight="1">
      <c r="A1103" s="13" t="inlineStr">
        <is>
          <t>Wisconsin</t>
        </is>
      </c>
      <c r="B1103" s="4" t="inlineStr">
        <is>
          <t>Federal government &amp; data</t>
        </is>
      </c>
      <c r="C1103" s="4" t="inlineStr">
        <is>
          <t>www2.census.gov</t>
        </is>
      </c>
      <c r="D1103" s="15" t="inlineStr">
        <is>
          <t>22slsstab1.xlsx</t>
        </is>
      </c>
      <c r="E1103" s="4" t="n"/>
      <c r="F1103" s="4" t="inlineStr">
        <is>
          <t>AL, AR, IA, KS, KY, LA, MA, MD, ME, MI, MN, MO, MS, MT, NC, ND, NE, NH, NJ, NM, NV, NY, OH, OK, OR, PA, RI, SC, SD, TN, TX, UT, VA, VT, WA, WV, WY</t>
        </is>
      </c>
      <c r="G1103" s="4" t="inlineStr">
        <is>
          <t>https://www2.census.gov/programs-surveys/gov-finances/tables/2022/22slsstab1.xlsx</t>
        </is>
      </c>
    </row>
    <row r="1104" ht="34" customHeight="1">
      <c r="A1104" s="13" t="inlineStr">
        <is>
          <t>Wisconsin</t>
        </is>
      </c>
      <c r="B1104" s="4" t="inlineStr">
        <is>
          <t>Research &amp; associations</t>
        </is>
      </c>
      <c r="C1104" s="4" t="inlineStr">
        <is>
          <t>staffordlaw.com</t>
        </is>
      </c>
      <c r="D1104" s="15" t="inlineStr">
        <is>
          <t>Wisconsin Supreme Court Upholds Governor’s “400-Year Veto” and Affirms Expansive Partial-Veto Power | Wisconsin Attorneys</t>
        </is>
      </c>
      <c r="E1104" s="4" t="inlineStr">
        <is>
          <t>2025-04-30</t>
        </is>
      </c>
      <c r="F1104" s="4" t="n"/>
      <c r="G1104" s="4" t="inlineStr">
        <is>
          <t>https://www.staffordlaw.com/blog/litigation/wisconsin-supreme-court-upholds-governors-400-year-veto-and-affirms-expansive-partial-veto-power/</t>
        </is>
      </c>
    </row>
    <row r="1105" ht="30" customHeight="1">
      <c r="A1105" s="13" t="inlineStr">
        <is>
          <t>Wisconsin</t>
        </is>
      </c>
      <c r="B1105" s="4" t="inlineStr">
        <is>
          <t>News</t>
        </is>
      </c>
      <c r="C1105" s="4" t="inlineStr">
        <is>
          <t>biztimes.com</t>
        </is>
      </c>
      <c r="D1105" s="15" t="inlineStr">
        <is>
          <t>Report: School funding gaps widen as referendum approval rates slip</t>
        </is>
      </c>
      <c r="E1105" s="4" t="inlineStr">
        <is>
          <t>2026-04-17</t>
        </is>
      </c>
      <c r="F1105" s="4" t="n"/>
      <c r="G1105" s="4" t="inlineStr">
        <is>
          <t>https://biztimes.com/report-school-funding-gaps-widen-as-referendum-approval-rates-slip/</t>
        </is>
      </c>
    </row>
    <row r="1106" ht="30" customHeight="1">
      <c r="A1106" s="13" t="inlineStr">
        <is>
          <t>Wisconsin</t>
        </is>
      </c>
      <c r="B1106" s="4" t="inlineStr">
        <is>
          <t>News</t>
        </is>
      </c>
      <c r="C1106" s="4" t="inlineStr">
        <is>
          <t>spectrumnews1.com</t>
        </is>
      </c>
      <c r="D1106" s="15" t="inlineStr">
        <is>
          <t>Support for Wisconsin school referenda continues to weaken</t>
        </is>
      </c>
      <c r="E1106" s="4" t="inlineStr">
        <is>
          <t>2026-05-18</t>
        </is>
      </c>
      <c r="F1106" s="4" t="n"/>
      <c r="G1106" s="4" t="inlineStr">
        <is>
          <t>https://spectrumnews1.com/wi/milwaukee/news/2026/05/18/support-for-school-referenda-weakens</t>
        </is>
      </c>
    </row>
    <row r="1107" ht="30" customHeight="1">
      <c r="A1107" s="13" t="inlineStr">
        <is>
          <t>Wisconsin</t>
        </is>
      </c>
      <c r="B1107" s="4" t="inlineStr">
        <is>
          <t>News</t>
        </is>
      </c>
      <c r="C1107" s="4" t="inlineStr">
        <is>
          <t>tmj4.com</t>
        </is>
      </c>
      <c r="D1107" s="15" t="inlineStr">
        <is>
          <t>Voters approve $252 million referendum for Milwaukee Public Schools</t>
        </is>
      </c>
      <c r="E1107" s="4" t="inlineStr">
        <is>
          <t>2024-04-03</t>
        </is>
      </c>
      <c r="F1107" s="4" t="n"/>
      <c r="G1107" s="4" t="inlineStr">
        <is>
          <t>https://www.tmj4.com/america-votes/voters-approve-252-million-referendum-for-milwaukee-public-schools</t>
        </is>
      </c>
    </row>
    <row r="1108" ht="30" customHeight="1">
      <c r="A1108" s="13" t="inlineStr">
        <is>
          <t>Wisconsin</t>
        </is>
      </c>
      <c r="B1108" s="4" t="inlineStr">
        <is>
          <t>Free-market groups &amp; GOP caucuses</t>
        </is>
      </c>
      <c r="C1108" s="4" t="inlineStr">
        <is>
          <t>badgerinstitute.org</t>
        </is>
      </c>
      <c r="D1108" s="15" t="inlineStr">
        <is>
          <t>Badger Institute urges “no” vote on MPS referendum</t>
        </is>
      </c>
      <c r="E1108" s="4" t="inlineStr">
        <is>
          <t>2024-03-14</t>
        </is>
      </c>
      <c r="F1108" s="4" t="n"/>
      <c r="G1108" s="4" t="inlineStr">
        <is>
          <t>https://www.badgerinstitute.org/badger-institute-urges-no-vote-on-mps-referendum/</t>
        </is>
      </c>
    </row>
    <row r="1109" ht="30" customHeight="1">
      <c r="A1109" s="13" t="inlineStr">
        <is>
          <t>Wisconsin</t>
        </is>
      </c>
      <c r="B1109" s="4" t="inlineStr">
        <is>
          <t>Free-market groups &amp; GOP caucuses</t>
        </is>
      </c>
      <c r="C1109" s="4" t="inlineStr">
        <is>
          <t>badgerinstitute.org</t>
        </is>
      </c>
      <c r="D1109" s="15" t="inlineStr">
        <is>
          <t>How a development tool can increase property taxes</t>
        </is>
      </c>
      <c r="E1109" s="4" t="inlineStr">
        <is>
          <t>2026-08-20</t>
        </is>
      </c>
      <c r="F1109" s="4" t="n"/>
      <c r="G1109" s="4" t="inlineStr">
        <is>
          <t>https://www.badgerinstitute.org/how-a-development-tool-can-increase-property-taxes/</t>
        </is>
      </c>
    </row>
    <row r="1110" ht="30" customHeight="1">
      <c r="A1110" s="13" t="inlineStr">
        <is>
          <t>Wisconsin</t>
        </is>
      </c>
      <c r="B1110" s="4" t="inlineStr">
        <is>
          <t>Free-market groups &amp; GOP caucuses</t>
        </is>
      </c>
      <c r="C1110" s="4" t="inlineStr">
        <is>
          <t>badgerinstitute.org</t>
        </is>
      </c>
      <c r="D1110" s="15" t="inlineStr">
        <is>
          <t>Failure of tax-and-schools deal offers chance to do better</t>
        </is>
      </c>
      <c r="E1110" s="4" t="inlineStr">
        <is>
          <t>2026-05-14</t>
        </is>
      </c>
      <c r="F1110" s="4" t="n"/>
      <c r="G1110" s="4" t="inlineStr">
        <is>
          <t>https://www.badgerinstitute.org/failure-of-tax-and-schools-deal-offers-chance-to-do-better/</t>
        </is>
      </c>
    </row>
    <row r="1111" ht="30" customHeight="1">
      <c r="A1111" s="13" t="inlineStr">
        <is>
          <t>Wisconsin</t>
        </is>
      </c>
      <c r="B1111" s="4" t="inlineStr">
        <is>
          <t>Free-market groups &amp; GOP caucuses</t>
        </is>
      </c>
      <c r="C1111" s="4" t="inlineStr">
        <is>
          <t>reforminggovernment.org</t>
        </is>
      </c>
      <c r="D1111" s="15" t="inlineStr">
        <is>
          <t>Decoupling vote has IRG talking about property taxes, again</t>
        </is>
      </c>
      <c r="E1111" s="4" t="inlineStr">
        <is>
          <t>2026-01-28</t>
        </is>
      </c>
      <c r="F1111" s="4" t="n"/>
      <c r="G1111" s="4" t="inlineStr">
        <is>
          <t>https://reforminggovernment.org/decoupling-vote-has-irg-talking-about-property-taxes-again/</t>
        </is>
      </c>
    </row>
    <row r="1112" ht="30" customHeight="1">
      <c r="A1112" s="13" t="inlineStr">
        <is>
          <t>Wisconsin</t>
        </is>
      </c>
      <c r="B1112" s="4" t="inlineStr">
        <is>
          <t>Ballot information</t>
        </is>
      </c>
      <c r="C1112" s="4" t="inlineStr">
        <is>
          <t>ballotpedia.org</t>
        </is>
      </c>
      <c r="D1112" s="15" t="inlineStr">
        <is>
          <t>Wisconsin 2026 ballot measures</t>
        </is>
      </c>
      <c r="E1112" s="4" t="n"/>
      <c r="F1112" s="4" t="n"/>
      <c r="G1112" s="4" t="inlineStr">
        <is>
          <t>https://ballotpedia.org/Wisconsin_2026_ballot_measures</t>
        </is>
      </c>
    </row>
    <row r="1113" ht="30" customHeight="1">
      <c r="A1113" s="13" t="inlineStr">
        <is>
          <t>Wyoming</t>
        </is>
      </c>
      <c r="B1113" s="4" t="inlineStr">
        <is>
          <t>Research &amp; associations</t>
        </is>
      </c>
      <c r="C1113" s="4" t="inlineStr">
        <is>
          <t>aarp.org</t>
        </is>
      </c>
      <c r="D1113" s="15" t="inlineStr">
        <is>
          <t>Property Tax Relief From The 2025 Legislative Session</t>
        </is>
      </c>
      <c r="E1113" s="4" t="inlineStr">
        <is>
          <t>2025-03-13</t>
        </is>
      </c>
      <c r="F1113" s="4" t="n"/>
      <c r="G1113" s="4" t="inlineStr">
        <is>
          <t>https://www.aarp.org/states/wyoming/property-tax-relief-from-the-2025-legislative-session/</t>
        </is>
      </c>
    </row>
    <row r="1114" ht="34" customHeight="1">
      <c r="A1114" s="13" t="inlineStr">
        <is>
          <t>Wyoming</t>
        </is>
      </c>
      <c r="B1114" s="4" t="inlineStr">
        <is>
          <t>Ballot information</t>
        </is>
      </c>
      <c r="C1114" s="4" t="inlineStr">
        <is>
          <t>news.ballotpedia.org</t>
        </is>
      </c>
      <c r="D1114" s="15" t="inlineStr">
        <is>
          <t>wyoming-voters-to-decide-on-ballot-initiative-to-exempt-50-of-home-property-value-from-taxes-the-first-initiative-to-appear-on-the-states-ballot-in-30-years</t>
        </is>
      </c>
      <c r="E1114" s="4" t="n"/>
      <c r="F1114" s="4" t="n"/>
      <c r="G1114" s="4" t="inlineStr">
        <is>
          <t>https://news.ballotpedia.org/2025/01/08/wyoming-voters-to-decide-on-ballot-initiative-to-exempt-50-of-home-property-value-from-taxes-the-first-initiative-to-appear-on-the-states-ballot-in-30-years/</t>
        </is>
      </c>
    </row>
    <row r="1115" ht="30" customHeight="1">
      <c r="A1115" s="13" t="inlineStr">
        <is>
          <t>Wyoming</t>
        </is>
      </c>
      <c r="B1115" s="4" t="inlineStr">
        <is>
          <t>Ballot information</t>
        </is>
      </c>
      <c r="C1115" s="4" t="inlineStr">
        <is>
          <t>news.ballotpedia.org</t>
        </is>
      </c>
      <c r="D1115" s="15" t="inlineStr">
        <is>
          <t>voters-in-seven-states-to-decide-13-property-tax-measures-in-2026</t>
        </is>
      </c>
      <c r="E1115" s="4" t="n"/>
      <c r="F1115" s="4" t="inlineStr">
        <is>
          <t>TN, TX, UT, VA, WA, WI, WV</t>
        </is>
      </c>
      <c r="G1115" s="4" t="inlineStr">
        <is>
          <t>https://news.ballotpedia.org/2026/08/27/voters-in-seven-states-to-decide-13-property-tax-measures-in-2026/</t>
        </is>
      </c>
    </row>
    <row r="1116" ht="30" customHeight="1">
      <c r="A1116" s="13" t="inlineStr">
        <is>
          <t>Wyoming</t>
        </is>
      </c>
      <c r="B1116" s="4" t="inlineStr">
        <is>
          <t>Research &amp; associations</t>
        </is>
      </c>
      <c r="C1116" s="4" t="inlineStr">
        <is>
          <t>apps.lincolninst.edu</t>
        </is>
      </c>
      <c r="D1116" s="15" t="inlineStr">
        <is>
          <t>rate-limits-2022-4.xlsx</t>
        </is>
      </c>
      <c r="E1116" s="4" t="n"/>
      <c r="F1116" s="4" t="inlineStr">
        <is>
          <t>AL, FL, IA, ID, KS, KY, LA, MA, MI, MO, NM, NV, SC, SD, UT, WA, WV</t>
        </is>
      </c>
      <c r="G1116" s="4" t="inlineStr">
        <is>
          <t>https://apps.lincolninst.edu/uploads/summary-tables/rate-limits-summary-tables/rate-limits-2022-4.xlsx</t>
        </is>
      </c>
    </row>
    <row r="1117" ht="30" customHeight="1">
      <c r="A1117" s="13" t="inlineStr">
        <is>
          <t>Wyoming</t>
        </is>
      </c>
      <c r="B1117" s="4" t="inlineStr">
        <is>
          <t>Research &amp; associations</t>
        </is>
      </c>
      <c r="C1117" s="4" t="inlineStr">
        <is>
          <t>lincolninst.edu</t>
        </is>
      </c>
      <c r="D1117" s="15" t="inlineStr">
        <is>
          <t>truth in taxation 2024.xlsx</t>
        </is>
      </c>
      <c r="E1117" s="4" t="n"/>
      <c r="F1117" s="4" t="inlineStr">
        <is>
          <t>DE, GA, IA, IL, KY, MD, MI, MN, MO, NC, ND, NE, NM, NV, NY, OH, OK, OR, PA, RI, TN, TX, UT, VA, VT, WV</t>
        </is>
      </c>
      <c r="G1117" s="4" t="inlineStr">
        <is>
          <t>https://www.lincolninst.edu/app/uploads/2024/10/truth_in_taxation_2024.xlsx</t>
        </is>
      </c>
    </row>
    <row r="1118" ht="30" customHeight="1">
      <c r="A1118" s="13" t="inlineStr">
        <is>
          <t>Wyoming</t>
        </is>
      </c>
      <c r="B1118" s="4" t="inlineStr">
        <is>
          <t>Federal government &amp; data</t>
        </is>
      </c>
      <c r="C1118" s="4" t="inlineStr">
        <is>
          <t>www2.census.gov</t>
        </is>
      </c>
      <c r="D1118" s="15" t="inlineStr">
        <is>
          <t>22slsstab1.xlsx</t>
        </is>
      </c>
      <c r="E1118" s="4" t="n"/>
      <c r="F1118" s="4" t="inlineStr">
        <is>
          <t>AL, AR, IA, KS, KY, LA, MA, MD, ME, MI, MN, MO, MS, MT, NC, ND, NE, NH, NJ, NM, NV, NY, OH, OK, OR, PA, RI, SC, SD, TN, TX, UT, VA, VT, WA, WI, WV</t>
        </is>
      </c>
      <c r="G1118" s="4" t="inlineStr">
        <is>
          <t>https://www2.census.gov/programs-surveys/gov-finances/tables/2022/22slsstab1.xlsx</t>
        </is>
      </c>
    </row>
    <row r="1119" ht="30" customHeight="1">
      <c r="A1119" s="13" t="inlineStr">
        <is>
          <t>Wyoming</t>
        </is>
      </c>
      <c r="B1119" s="4" t="inlineStr">
        <is>
          <t>Ballot information</t>
        </is>
      </c>
      <c r="C1119" s="4" t="inlineStr">
        <is>
          <t>ballotpedia.org</t>
        </is>
      </c>
      <c r="D1119" s="15" t="inlineStr">
        <is>
          <t>Wyoming 2026 ballot measures</t>
        </is>
      </c>
      <c r="E1119" s="4" t="n"/>
      <c r="F1119" s="4" t="n"/>
      <c r="G1119" s="4" t="inlineStr">
        <is>
          <t>https://ballotpedia.org/Wyoming_2026_ballot_measures</t>
        </is>
      </c>
    </row>
    <row r="1120" ht="30" customHeight="1">
      <c r="A1120" s="13" t="inlineStr">
        <is>
          <t>Wyoming</t>
        </is>
      </c>
      <c r="B1120" s="4" t="inlineStr">
        <is>
          <t>Bills &amp; legislative documents</t>
        </is>
      </c>
      <c r="C1120" s="4" t="inlineStr">
        <is>
          <t>wyoleg.gov</t>
        </is>
      </c>
      <c r="D1120" s="15" t="inlineStr">
        <is>
          <t>24LSO-0108</t>
        </is>
      </c>
      <c r="E1120" s="4" t="inlineStr">
        <is>
          <t>2021</t>
        </is>
      </c>
      <c r="F1120" s="4" t="n"/>
      <c r="G1120" s="4" t="inlineStr">
        <is>
          <t>https://wyoleg.gov/2024/Enroll/HB0045.pdf</t>
        </is>
      </c>
    </row>
    <row r="1121" ht="30" customHeight="1">
      <c r="A1121" s="13" t="inlineStr">
        <is>
          <t>Wyoming</t>
        </is>
      </c>
      <c r="B1121" s="4" t="inlineStr">
        <is>
          <t>Bills &amp; legislative documents</t>
        </is>
      </c>
      <c r="C1121" s="4" t="inlineStr">
        <is>
          <t>wyoleg.gov</t>
        </is>
      </c>
      <c r="D1121" s="15" t="inlineStr">
        <is>
          <t>25LSO-0171</t>
        </is>
      </c>
      <c r="E1121" s="4" t="inlineStr">
        <is>
          <t>2021</t>
        </is>
      </c>
      <c r="F1121" s="4" t="n"/>
      <c r="G1121" s="4" t="inlineStr">
        <is>
          <t>https://wyoleg.gov/2025/Enroll/SF0069.pdf</t>
        </is>
      </c>
    </row>
    <row r="1122" ht="34" customHeight="1">
      <c r="A1122" s="13" t="inlineStr">
        <is>
          <t>Wyoming</t>
        </is>
      </c>
      <c r="B1122" s="4" t="inlineStr">
        <is>
          <t>News</t>
        </is>
      </c>
      <c r="C1122" s="4" t="inlineStr">
        <is>
          <t>wtop.com</t>
        </is>
      </c>
      <c r="D1122" s="15" t="inlineStr">
        <is>
          <t>Wyoming local governments’ ability to collect property taxes in limbo due to uncertainty over 4% cap</t>
        </is>
      </c>
      <c r="E1122" s="4" t="inlineStr">
        <is>
          <t>2026-06-15</t>
        </is>
      </c>
      <c r="F1122" s="4" t="n"/>
      <c r="G1122" s="4" t="inlineStr">
        <is>
          <t>https://wtop.com/news/2026/06/wyoming-local-governments-ability-to-collect-property-taxes-in-limbo-due-to-uncertainty-over-4-cap/</t>
        </is>
      </c>
    </row>
    <row r="1123" ht="34" customHeight="1">
      <c r="A1123" s="13" t="inlineStr">
        <is>
          <t>Wyoming</t>
        </is>
      </c>
      <c r="B1123" s="4" t="inlineStr">
        <is>
          <t>News</t>
        </is>
      </c>
      <c r="C1123" s="4" t="inlineStr">
        <is>
          <t>cowboystatedaily.com</t>
        </is>
      </c>
      <c r="D1123" s="15" t="inlineStr">
        <is>
          <t>Judge Orders Wyoming Board Of Equalization To Enforce 4% Property Tax Cap — For Now</t>
        </is>
      </c>
      <c r="E1123" s="4" t="inlineStr">
        <is>
          <t>2026-06-19</t>
        </is>
      </c>
      <c r="F1123" s="4" t="n"/>
      <c r="G1123" s="4" t="inlineStr">
        <is>
          <t>https://cowboystatedaily.com/2026/06/19/judge-orders-wyoming-board-of-equalization-to-enforce-4-property-tax-cap-for-now/</t>
        </is>
      </c>
    </row>
    <row r="1124" ht="30" customHeight="1">
      <c r="A1124" s="13" t="inlineStr">
        <is>
          <t>Wyoming</t>
        </is>
      </c>
      <c r="B1124" s="4" t="inlineStr">
        <is>
          <t>News</t>
        </is>
      </c>
      <c r="C1124" s="4" t="inlineStr">
        <is>
          <t>wyomingnews.com</t>
        </is>
      </c>
      <c r="D1124" s="15" t="inlineStr">
        <is>
          <t>Seven property tax bills killed on introduction so far</t>
        </is>
      </c>
      <c r="E1124" s="4" t="inlineStr">
        <is>
          <t>2026-02-15</t>
        </is>
      </c>
      <c r="F1124" s="4" t="n"/>
      <c r="G1124" s="4" t="inlineStr">
        <is>
          <t>https://www.wyomingnews.com/rawlinstimes/seven-property-tax-bills-killed-on-introduction-so-far/article_3d1fbbd2-f501-47d8-b755-29808c24a59e.html</t>
        </is>
      </c>
    </row>
    <row r="1125" ht="34" customHeight="1">
      <c r="A1125" s="13" t="inlineStr">
        <is>
          <t>Wyoming</t>
        </is>
      </c>
      <c r="B1125" s="4" t="inlineStr">
        <is>
          <t>Free-market groups &amp; GOP caucuses</t>
        </is>
      </c>
      <c r="C1125" s="4" t="inlineStr">
        <is>
          <t>wyliberty.org</t>
        </is>
      </c>
      <c r="D1125" s="15" t="inlineStr">
        <is>
          <t>WY 2026 HJ 4 - Residential Property Tax Value – Constitutional Amendment - Wyoming Liberty Group</t>
        </is>
      </c>
      <c r="E1125" s="4" t="inlineStr">
        <is>
          <t>2026-02-11</t>
        </is>
      </c>
      <c r="F1125" s="4" t="n"/>
      <c r="G1125" s="4" t="inlineStr">
        <is>
          <t>https://wyliberty.org/blog/political-perspectives/wy-2026-hj-4-residential-property-tax-value-constitutional-amendment</t>
        </is>
      </c>
    </row>
    <row r="1126" ht="34" customHeight="1">
      <c r="A1126" s="13" t="inlineStr">
        <is>
          <t>Wyoming</t>
        </is>
      </c>
      <c r="B1126" s="4" t="inlineStr">
        <is>
          <t>Free-market groups &amp; GOP caucuses</t>
        </is>
      </c>
      <c r="C1126" s="4" t="inlineStr">
        <is>
          <t>archive.commonsenseinstituteus.org</t>
        </is>
      </c>
      <c r="D1126" s="15" t="inlineStr">
        <is>
          <t>Iowa Leads the Nation in Property Tax Relief: Ranking State Reforms of the Past Decade</t>
        </is>
      </c>
      <c r="E1126" s="4" t="n"/>
      <c r="F1126" s="4" t="inlineStr">
        <is>
          <t>NE, NJ, OH, SD, TX</t>
        </is>
      </c>
      <c r="G1126" s="4" t="inlineStr">
        <is>
          <t>https://archive.commonsenseinstituteus.org/iowa/research/taxes-and-fees/iowa-leads-the-nation-in-property-tax-relief-ranking-state-reforms-of-the-past-decade</t>
        </is>
      </c>
    </row>
    <row r="1127" ht="30" customHeight="1">
      <c r="A1127" s="13" t="inlineStr">
        <is>
          <t>Wyoming</t>
        </is>
      </c>
      <c r="B1127" s="4" t="inlineStr">
        <is>
          <t>Bills &amp; legislative documents</t>
        </is>
      </c>
      <c r="C1127" s="4" t="inlineStr">
        <is>
          <t>wyoleg.gov</t>
        </is>
      </c>
      <c r="D1127" s="15" t="inlineStr">
        <is>
          <t>26LSO-0099</t>
        </is>
      </c>
      <c r="E1127" s="4" t="inlineStr">
        <is>
          <t>2021</t>
        </is>
      </c>
      <c r="F1127" s="4" t="n"/>
      <c r="G1127" s="4" t="inlineStr">
        <is>
          <t>https://wyoleg.gov/2026/Enroll/HB0045.pdf</t>
        </is>
      </c>
    </row>
    <row r="1128" ht="30" customHeight="1">
      <c r="A1128" s="13" t="inlineStr">
        <is>
          <t>Wyoming</t>
        </is>
      </c>
      <c r="B1128" s="4" t="inlineStr">
        <is>
          <t>Bills &amp; legislative documents</t>
        </is>
      </c>
      <c r="C1128" s="4" t="inlineStr">
        <is>
          <t>wyoleg.gov</t>
        </is>
      </c>
      <c r="D1128" s="15" t="inlineStr">
        <is>
          <t>Digest HB0045.docx</t>
        </is>
      </c>
      <c r="E1128" s="4" t="inlineStr">
        <is>
          <t>2013</t>
        </is>
      </c>
      <c r="F1128" s="4" t="n"/>
      <c r="G1128" s="4" t="inlineStr">
        <is>
          <t>https://wyoleg.gov/2026/Digest/HB0045.pdf</t>
        </is>
      </c>
    </row>
    <row r="1129" ht="30" customHeight="1">
      <c r="A1129" s="13" t="inlineStr">
        <is>
          <t>Wyoming</t>
        </is>
      </c>
      <c r="B1129" s="4" t="inlineStr">
        <is>
          <t>Other</t>
        </is>
      </c>
      <c r="C1129" s="4" t="inlineStr">
        <is>
          <t>sos.wyo.gov</t>
        </is>
      </c>
      <c r="D1129" s="15" t="inlineStr">
        <is>
          <t>2026 Statewide Ballot Propositions</t>
        </is>
      </c>
      <c r="E1129" s="4" t="inlineStr">
        <is>
          <t>2026</t>
        </is>
      </c>
      <c r="F1129" s="4" t="n"/>
      <c r="G1129" s="4" t="inlineStr">
        <is>
          <t>https://sos.wyo.gov/Elections/Docs/2026/2026_Statewide_Ballot_Propositions.pdf</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s>
  <pageMargins left="0.75" right="0.75" top="1" bottom="1" header="0.5" footer="0.5"/>
  <tableParts count="1">
    <tablePart xmlns:r="http://schemas.openxmlformats.org/officeDocument/2006/relationships" r:id="rId1129"/>
  </tableParts>
</worksheet>
</file>

<file path=xl/worksheets/sheet4.xml><?xml version="1.0" encoding="utf-8"?>
<worksheet xmlns="http://schemas.openxmlformats.org/spreadsheetml/2006/main">
  <sheetPr>
    <outlinePr summaryBelow="1" summaryRight="1"/>
    <pageSetUpPr/>
  </sheetPr>
  <dimension ref="A1:R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4" customWidth="1" min="18" max="18"/>
  </cols>
  <sheetData>
    <row r="1" ht="48" customHeight="1">
      <c r="A1" s="3" t="inlineStr">
        <is>
          <t>State</t>
        </is>
      </c>
      <c r="B1" s="3" t="inlineStr">
        <is>
          <t>Tax Foundation 2026 rank (1 = lowest)</t>
        </is>
      </c>
      <c r="C1" s="3" t="inlineStr">
        <is>
          <t>2010 (2006–10 survey)</t>
        </is>
      </c>
      <c r="D1" s="3" t="inlineStr">
        <is>
          <t>2011 (2007–11 survey)</t>
        </is>
      </c>
      <c r="E1" s="3" t="inlineStr">
        <is>
          <t>2012 (2008–12 survey)</t>
        </is>
      </c>
      <c r="F1" s="3" t="inlineStr">
        <is>
          <t>2013 (2009–13 survey)</t>
        </is>
      </c>
      <c r="G1" s="3" t="inlineStr">
        <is>
          <t>2014 (2010–14 survey)</t>
        </is>
      </c>
      <c r="H1" s="3" t="inlineStr">
        <is>
          <t>2015 (2011–15 survey)</t>
        </is>
      </c>
      <c r="I1" s="3" t="inlineStr">
        <is>
          <t>2016 (2012–16 survey)</t>
        </is>
      </c>
      <c r="J1" s="3" t="inlineStr">
        <is>
          <t>2017 (2013–17 survey)</t>
        </is>
      </c>
      <c r="K1" s="3" t="inlineStr">
        <is>
          <t>2018 (2014–18 survey)</t>
        </is>
      </c>
      <c r="L1" s="3" t="inlineStr">
        <is>
          <t>2019 (2015–19 survey)</t>
        </is>
      </c>
      <c r="M1" s="3" t="inlineStr">
        <is>
          <t>2020 (2016–20 survey)</t>
        </is>
      </c>
      <c r="N1" s="3" t="inlineStr">
        <is>
          <t>2021 (2017–21 survey)</t>
        </is>
      </c>
      <c r="O1" s="3" t="inlineStr">
        <is>
          <t>2022 (2018–22 survey)</t>
        </is>
      </c>
      <c r="P1" s="3" t="inlineStr">
        <is>
          <t>2023 (2019–23 survey)</t>
        </is>
      </c>
      <c r="Q1" s="3" t="inlineStr">
        <is>
          <t>2024 (2020–24 survey)</t>
        </is>
      </c>
      <c r="R1" s="3" t="inlineStr">
        <is>
          <t>Change 2010–2024 (percentage points)</t>
        </is>
      </c>
    </row>
    <row r="2">
      <c r="A2" s="16" t="inlineStr">
        <is>
          <t>United States</t>
        </is>
      </c>
      <c r="C2" s="17" t="n">
        <v>1.004</v>
      </c>
      <c r="D2" s="17" t="n">
        <v>1.0598</v>
      </c>
      <c r="E2" s="17" t="n">
        <v>1.1078</v>
      </c>
      <c r="F2" s="17" t="n">
        <v>1.1474</v>
      </c>
      <c r="G2" s="17" t="n">
        <v>1.157</v>
      </c>
      <c r="H2" s="17" t="n">
        <v>1.139</v>
      </c>
      <c r="I2" s="17" t="n">
        <v>1.126</v>
      </c>
      <c r="J2" s="17" t="n">
        <v>1.1156</v>
      </c>
      <c r="K2" s="17" t="n">
        <v>1.1076</v>
      </c>
      <c r="L2" s="17" t="n">
        <v>1.0956</v>
      </c>
      <c r="M2" s="17" t="n">
        <v>1.08</v>
      </c>
      <c r="N2" s="17" t="n">
        <v>1.0865</v>
      </c>
      <c r="O2" s="17" t="n">
        <v>0.9982</v>
      </c>
      <c r="P2" s="17" t="n">
        <v>0.9683</v>
      </c>
      <c r="Q2" s="17" t="n">
        <v>0.9397</v>
      </c>
      <c r="R2" s="17" t="n">
        <v>-0.0643</v>
      </c>
    </row>
    <row r="3">
      <c r="A3" s="16" t="inlineStr">
        <is>
          <t>Alabama</t>
        </is>
      </c>
      <c r="B3" t="n">
        <v>2</v>
      </c>
      <c r="C3" s="17" t="n">
        <v>0.3739</v>
      </c>
      <c r="D3" s="17" t="n">
        <v>0.3865</v>
      </c>
      <c r="E3" s="17" t="n">
        <v>0.409</v>
      </c>
      <c r="F3" s="17" t="n">
        <v>0.4155</v>
      </c>
      <c r="G3" s="17" t="n">
        <v>0.4161</v>
      </c>
      <c r="H3" s="17" t="n">
        <v>0.4053</v>
      </c>
      <c r="I3" s="17" t="n">
        <v>0.4012</v>
      </c>
      <c r="J3" s="17" t="n">
        <v>0.3954</v>
      </c>
      <c r="K3" s="17" t="n">
        <v>0.3955</v>
      </c>
      <c r="L3" s="17" t="n">
        <v>0.3904</v>
      </c>
      <c r="M3" s="17" t="n">
        <v>0.3918</v>
      </c>
      <c r="N3" s="17" t="n">
        <v>0.4</v>
      </c>
      <c r="O3" s="17" t="n">
        <v>0.3729</v>
      </c>
      <c r="P3" s="17" t="n">
        <v>0.367</v>
      </c>
      <c r="Q3" s="17" t="n">
        <v>0.3655</v>
      </c>
      <c r="R3" s="17" t="n">
        <v>-0.008399999999999999</v>
      </c>
    </row>
    <row r="4">
      <c r="A4" s="16" t="inlineStr">
        <is>
          <t>Alaska</t>
        </is>
      </c>
      <c r="B4" t="n">
        <v>31</v>
      </c>
      <c r="C4" s="17" t="n">
        <v>0.9961</v>
      </c>
      <c r="D4" s="17" t="n">
        <v>1.0047</v>
      </c>
      <c r="E4" s="17" t="n">
        <v>1.0587</v>
      </c>
      <c r="F4" s="17" t="n">
        <v>1.0636</v>
      </c>
      <c r="G4" s="17" t="n">
        <v>1.0556</v>
      </c>
      <c r="H4" s="17" t="n">
        <v>1.0211</v>
      </c>
      <c r="I4" s="17" t="n">
        <v>1.0167</v>
      </c>
      <c r="J4" s="17" t="n">
        <v>1.0227</v>
      </c>
      <c r="K4" s="17" t="n">
        <v>1.0227</v>
      </c>
      <c r="L4" s="17" t="n">
        <v>1.0218</v>
      </c>
      <c r="M4" s="17" t="n">
        <v>1.0198</v>
      </c>
      <c r="N4" s="17" t="n">
        <v>1.0406</v>
      </c>
      <c r="O4" s="17" t="n">
        <v>0.9661999999999999</v>
      </c>
      <c r="P4" s="17" t="n">
        <v>0.9546</v>
      </c>
      <c r="Q4" s="17" t="n">
        <v>0.9357</v>
      </c>
      <c r="R4" s="17" t="n">
        <v>-0.0604</v>
      </c>
    </row>
    <row r="5">
      <c r="A5" s="16" t="inlineStr">
        <is>
          <t>Arizona</t>
        </is>
      </c>
      <c r="B5" t="n">
        <v>4</v>
      </c>
      <c r="C5" s="17" t="n">
        <v>0.575</v>
      </c>
      <c r="D5" s="17" t="n">
        <v>0.6362</v>
      </c>
      <c r="E5" s="17" t="n">
        <v>0.7055</v>
      </c>
      <c r="F5" s="17" t="n">
        <v>0.7502</v>
      </c>
      <c r="G5" s="17" t="n">
        <v>0.7488</v>
      </c>
      <c r="H5" s="17" t="n">
        <v>0.7191</v>
      </c>
      <c r="I5" s="17" t="n">
        <v>0.6964</v>
      </c>
      <c r="J5" s="17" t="n">
        <v>0.6815</v>
      </c>
      <c r="K5" s="17" t="n">
        <v>0.6736</v>
      </c>
      <c r="L5" s="17" t="n">
        <v>0.6631</v>
      </c>
      <c r="M5" s="17" t="n">
        <v>0.6458</v>
      </c>
      <c r="N5" s="17" t="n">
        <v>0.6256</v>
      </c>
      <c r="O5" s="17" t="n">
        <v>0.5477</v>
      </c>
      <c r="P5" s="17" t="n">
        <v>0.5109</v>
      </c>
      <c r="Q5" s="17" t="n">
        <v>0.4766</v>
      </c>
      <c r="R5" s="17" t="n">
        <v>-0.0984</v>
      </c>
    </row>
    <row r="6">
      <c r="A6" s="16" t="inlineStr">
        <is>
          <t>Arkansas</t>
        </is>
      </c>
      <c r="B6" t="n">
        <v>14</v>
      </c>
      <c r="C6" s="17" t="n">
        <v>0.5588</v>
      </c>
      <c r="D6" s="17" t="n">
        <v>0.58</v>
      </c>
      <c r="E6" s="17" t="n">
        <v>0.6153999999999999</v>
      </c>
      <c r="F6" s="17" t="n">
        <v>0.6283</v>
      </c>
      <c r="G6" s="17" t="n">
        <v>0.6404</v>
      </c>
      <c r="H6" s="17" t="n">
        <v>0.6294999999999999</v>
      </c>
      <c r="I6" s="17" t="n">
        <v>0.6291</v>
      </c>
      <c r="J6" s="17" t="n">
        <v>0.6357</v>
      </c>
      <c r="K6" s="17" t="n">
        <v>0.6409</v>
      </c>
      <c r="L6" s="17" t="n">
        <v>0.6377</v>
      </c>
      <c r="M6" s="17" t="n">
        <v>0.6366000000000001</v>
      </c>
      <c r="N6" s="17" t="n">
        <v>0.6421</v>
      </c>
      <c r="O6" s="17" t="n">
        <v>0.5909</v>
      </c>
      <c r="P6" s="17" t="n">
        <v>0.5736</v>
      </c>
      <c r="Q6" s="17" t="n">
        <v>0.5581</v>
      </c>
      <c r="R6" s="17" t="n">
        <v>-0.0007</v>
      </c>
    </row>
    <row r="7">
      <c r="A7" s="16" t="inlineStr">
        <is>
          <t>California</t>
        </is>
      </c>
      <c r="B7" t="n">
        <v>19</v>
      </c>
      <c r="C7" s="17" t="n">
        <v>0.6933</v>
      </c>
      <c r="D7" s="17" t="n">
        <v>0.7575</v>
      </c>
      <c r="E7" s="17" t="n">
        <v>0.7784</v>
      </c>
      <c r="F7" s="17" t="n">
        <v>0.8083</v>
      </c>
      <c r="G7" s="17" t="n">
        <v>0.8018</v>
      </c>
      <c r="H7" s="17" t="n">
        <v>0.7783</v>
      </c>
      <c r="I7" s="17" t="n">
        <v>0.7585</v>
      </c>
      <c r="J7" s="17" t="n">
        <v>0.7439</v>
      </c>
      <c r="K7" s="17" t="n">
        <v>0.7352</v>
      </c>
      <c r="L7" s="17" t="n">
        <v>0.7311</v>
      </c>
      <c r="M7" s="17" t="n">
        <v>0.7302999999999999</v>
      </c>
      <c r="N7" s="17" t="n">
        <v>0.747</v>
      </c>
      <c r="O7" s="17" t="n">
        <v>0.7007</v>
      </c>
      <c r="P7" s="17" t="n">
        <v>0.6996</v>
      </c>
      <c r="Q7" s="17" t="n">
        <v>0.6979</v>
      </c>
      <c r="R7" s="17" t="n">
        <v>0.0046</v>
      </c>
    </row>
    <row r="8">
      <c r="A8" s="16" t="inlineStr">
        <is>
          <t>Colorado</t>
        </is>
      </c>
      <c r="B8" t="n">
        <v>7</v>
      </c>
      <c r="C8" s="17" t="n">
        <v>0.5841</v>
      </c>
      <c r="D8" s="17" t="n">
        <v>0.6063</v>
      </c>
      <c r="E8" s="17" t="n">
        <v>0.6188</v>
      </c>
      <c r="F8" s="17" t="n">
        <v>0.6348</v>
      </c>
      <c r="G8" s="17" t="n">
        <v>0.6315</v>
      </c>
      <c r="H8" s="17" t="n">
        <v>0.6101</v>
      </c>
      <c r="I8" s="17" t="n">
        <v>0.5914</v>
      </c>
      <c r="J8" s="17" t="n">
        <v>0.5789</v>
      </c>
      <c r="K8" s="17" t="n">
        <v>0.5637</v>
      </c>
      <c r="L8" s="17" t="n">
        <v>0.5514</v>
      </c>
      <c r="M8" s="17" t="n">
        <v>0.5416</v>
      </c>
      <c r="N8" s="17" t="n">
        <v>0.5463</v>
      </c>
      <c r="O8" s="17" t="n">
        <v>0.5034</v>
      </c>
      <c r="P8" s="17" t="n">
        <v>0.4983</v>
      </c>
      <c r="Q8" s="17" t="n">
        <v>0.4995</v>
      </c>
      <c r="R8" s="17" t="n">
        <v>-0.08459999999999999</v>
      </c>
    </row>
    <row r="9">
      <c r="A9" s="16" t="inlineStr">
        <is>
          <t>Connecticut</t>
        </is>
      </c>
      <c r="B9" t="n">
        <v>48</v>
      </c>
      <c r="C9" s="17" t="n">
        <v>1.377</v>
      </c>
      <c r="D9" s="17" t="n">
        <v>1.4626</v>
      </c>
      <c r="E9" s="17" t="n">
        <v>1.4482</v>
      </c>
      <c r="F9" s="17" t="n">
        <v>1.5195</v>
      </c>
      <c r="G9" s="17" t="n">
        <v>1.5564</v>
      </c>
      <c r="H9" s="17" t="n">
        <v>1.5877</v>
      </c>
      <c r="I9" s="17" t="n">
        <v>1.618</v>
      </c>
      <c r="J9" s="17" t="n">
        <v>1.6648</v>
      </c>
      <c r="K9" s="17" t="n">
        <v>1.7018</v>
      </c>
      <c r="L9" s="17" t="n">
        <v>1.7491</v>
      </c>
      <c r="M9" s="17" t="n">
        <v>1.7572</v>
      </c>
      <c r="N9" s="17" t="n">
        <v>1.7897</v>
      </c>
      <c r="O9" s="17" t="n">
        <v>1.6623</v>
      </c>
      <c r="P9" s="17" t="n">
        <v>1.6153</v>
      </c>
      <c r="Q9" s="17" t="n">
        <v>1.5375</v>
      </c>
      <c r="R9" s="17" t="n">
        <v>0.1605</v>
      </c>
    </row>
    <row r="10">
      <c r="A10" s="16" t="inlineStr">
        <is>
          <t>Delaware</t>
        </is>
      </c>
      <c r="B10" t="n">
        <v>12</v>
      </c>
      <c r="C10" s="17" t="n">
        <v>0.4382</v>
      </c>
      <c r="D10" s="17" t="n">
        <v>0.469</v>
      </c>
      <c r="E10" s="17" t="n">
        <v>0.5057</v>
      </c>
      <c r="F10" s="17" t="n">
        <v>0.5326</v>
      </c>
      <c r="G10" s="17" t="n">
        <v>0.5465</v>
      </c>
      <c r="H10" s="17" t="n">
        <v>0.5554</v>
      </c>
      <c r="I10" s="17" t="n">
        <v>0.5629</v>
      </c>
      <c r="J10" s="17" t="n">
        <v>0.5760999999999999</v>
      </c>
      <c r="K10" s="17" t="n">
        <v>0.5845</v>
      </c>
      <c r="L10" s="17" t="n">
        <v>0.5921</v>
      </c>
      <c r="M10" s="17" t="n">
        <v>0.5941</v>
      </c>
      <c r="N10" s="17" t="n">
        <v>0.6133</v>
      </c>
      <c r="O10" s="17" t="n">
        <v>0.5638</v>
      </c>
      <c r="P10" s="17" t="n">
        <v>0.5481</v>
      </c>
      <c r="Q10" s="17" t="n">
        <v>0.537</v>
      </c>
      <c r="R10" s="17" t="n">
        <v>0.0988</v>
      </c>
    </row>
    <row r="11">
      <c r="A11" s="16" t="inlineStr">
        <is>
          <t>Florida</t>
        </is>
      </c>
      <c r="B11" t="n">
        <v>24</v>
      </c>
      <c r="C11" s="17" t="n">
        <v>0.9446</v>
      </c>
      <c r="D11" s="17" t="n">
        <v>1.0166</v>
      </c>
      <c r="E11" s="17" t="n">
        <v>1.0546</v>
      </c>
      <c r="F11" s="17" t="n">
        <v>1.085</v>
      </c>
      <c r="G11" s="17" t="n">
        <v>1.0753</v>
      </c>
      <c r="H11" s="17" t="n">
        <v>1.0327</v>
      </c>
      <c r="I11" s="17" t="n">
        <v>0.9928</v>
      </c>
      <c r="J11" s="17" t="n">
        <v>0.9657</v>
      </c>
      <c r="K11" s="17" t="n">
        <v>0.9429999999999999</v>
      </c>
      <c r="L11" s="17" t="n">
        <v>0.9223</v>
      </c>
      <c r="M11" s="17" t="n">
        <v>0.9084</v>
      </c>
      <c r="N11" s="17" t="n">
        <v>0.9126</v>
      </c>
      <c r="O11" s="17" t="n">
        <v>0.828</v>
      </c>
      <c r="P11" s="17" t="n">
        <v>0.7987</v>
      </c>
      <c r="Q11" s="17" t="n">
        <v>0.7788</v>
      </c>
      <c r="R11" s="17" t="n">
        <v>-0.1658</v>
      </c>
    </row>
    <row r="12">
      <c r="A12" s="16" t="inlineStr">
        <is>
          <t>Georgia</t>
        </is>
      </c>
      <c r="B12" t="n">
        <v>26</v>
      </c>
      <c r="C12" s="17" t="n">
        <v>0.8288</v>
      </c>
      <c r="D12" s="17" t="n">
        <v>0.8737</v>
      </c>
      <c r="E12" s="17" t="n">
        <v>0.9343</v>
      </c>
      <c r="F12" s="17" t="n">
        <v>0.9712</v>
      </c>
      <c r="G12" s="17" t="n">
        <v>0.98</v>
      </c>
      <c r="H12" s="17" t="n">
        <v>0.9537</v>
      </c>
      <c r="I12" s="17" t="n">
        <v>0.9351</v>
      </c>
      <c r="J12" s="17" t="n">
        <v>0.9272</v>
      </c>
      <c r="K12" s="17" t="n">
        <v>0.9212</v>
      </c>
      <c r="L12" s="17" t="n">
        <v>0.9154</v>
      </c>
      <c r="M12" s="17" t="n">
        <v>0.9111</v>
      </c>
      <c r="N12" s="17" t="n">
        <v>0.9211</v>
      </c>
      <c r="O12" s="17" t="n">
        <v>0.84</v>
      </c>
      <c r="P12" s="17" t="n">
        <v>0.8162</v>
      </c>
      <c r="Q12" s="17" t="n">
        <v>0.7942</v>
      </c>
      <c r="R12" s="17" t="n">
        <v>-0.0346</v>
      </c>
    </row>
    <row r="13">
      <c r="A13" s="16" t="inlineStr">
        <is>
          <t>Hawaii</t>
        </is>
      </c>
      <c r="B13" t="n">
        <v>1</v>
      </c>
      <c r="C13" s="17" t="n">
        <v>0.2847</v>
      </c>
      <c r="D13" s="17" t="n">
        <v>0.2956</v>
      </c>
      <c r="E13" s="17" t="n">
        <v>0.2943</v>
      </c>
      <c r="F13" s="17" t="n">
        <v>0.2989</v>
      </c>
      <c r="G13" s="17" t="n">
        <v>0.2956</v>
      </c>
      <c r="H13" s="17" t="n">
        <v>0.2903</v>
      </c>
      <c r="I13" s="17" t="n">
        <v>0.2925</v>
      </c>
      <c r="J13" s="17" t="n">
        <v>0.2983</v>
      </c>
      <c r="K13" s="17" t="n">
        <v>0.3024</v>
      </c>
      <c r="L13" s="17" t="n">
        <v>0.3087</v>
      </c>
      <c r="M13" s="17" t="n">
        <v>0.3104</v>
      </c>
      <c r="N13" s="17" t="n">
        <v>0.3152</v>
      </c>
      <c r="O13" s="17" t="n">
        <v>0.2917</v>
      </c>
      <c r="P13" s="17" t="n">
        <v>0.2958</v>
      </c>
      <c r="Q13" s="17" t="n">
        <v>0.295</v>
      </c>
      <c r="R13" s="17" t="n">
        <v>0.0103</v>
      </c>
    </row>
    <row r="14">
      <c r="A14" s="16" t="inlineStr">
        <is>
          <t>Idaho</t>
        </is>
      </c>
      <c r="B14" t="n">
        <v>6</v>
      </c>
      <c r="C14" s="17" t="n">
        <v>0.6830000000000001</v>
      </c>
      <c r="D14" s="17" t="n">
        <v>0.6929</v>
      </c>
      <c r="E14" s="17" t="n">
        <v>0.7291</v>
      </c>
      <c r="F14" s="17" t="n">
        <v>0.7494</v>
      </c>
      <c r="G14" s="17" t="n">
        <v>0.7634</v>
      </c>
      <c r="H14" s="17" t="n">
        <v>0.7569</v>
      </c>
      <c r="I14" s="17" t="n">
        <v>0.7504999999999999</v>
      </c>
      <c r="J14" s="17" t="n">
        <v>0.7519</v>
      </c>
      <c r="K14" s="17" t="n">
        <v>0.7502</v>
      </c>
      <c r="L14" s="17" t="n">
        <v>0.7292999999999999</v>
      </c>
      <c r="M14" s="17" t="n">
        <v>0.7017</v>
      </c>
      <c r="N14" s="17" t="n">
        <v>0.6652</v>
      </c>
      <c r="O14" s="17" t="n">
        <v>0.573</v>
      </c>
      <c r="P14" s="17" t="n">
        <v>0.5339</v>
      </c>
      <c r="Q14" s="17" t="n">
        <v>0.4953</v>
      </c>
      <c r="R14" s="17" t="n">
        <v>-0.1877</v>
      </c>
    </row>
    <row r="15">
      <c r="A15" s="16" t="inlineStr">
        <is>
          <t>Illinois</t>
        </is>
      </c>
      <c r="B15" t="n">
        <v>49</v>
      </c>
      <c r="C15" s="17" t="n">
        <v>1.5607</v>
      </c>
      <c r="D15" s="17" t="n">
        <v>1.6667</v>
      </c>
      <c r="E15" s="17" t="n">
        <v>1.808</v>
      </c>
      <c r="F15" s="17" t="n">
        <v>1.9218</v>
      </c>
      <c r="G15" s="17" t="n">
        <v>1.9973</v>
      </c>
      <c r="H15" s="17" t="n">
        <v>2.0174</v>
      </c>
      <c r="I15" s="17" t="n">
        <v>2.0295</v>
      </c>
      <c r="J15" s="17" t="n">
        <v>2.0348</v>
      </c>
      <c r="K15" s="17" t="n">
        <v>2.0456</v>
      </c>
      <c r="L15" s="17" t="n">
        <v>2.0506</v>
      </c>
      <c r="M15" s="17" t="n">
        <v>2.0454</v>
      </c>
      <c r="N15" s="17" t="n">
        <v>2.0823</v>
      </c>
      <c r="O15" s="17" t="n">
        <v>1.9541</v>
      </c>
      <c r="P15" s="17" t="n">
        <v>1.9144</v>
      </c>
      <c r="Q15" s="17" t="n">
        <v>1.8759</v>
      </c>
      <c r="R15" s="17" t="n">
        <v>0.3152</v>
      </c>
    </row>
    <row r="16">
      <c r="A16" s="16" t="inlineStr">
        <is>
          <t>Indiana</t>
        </is>
      </c>
      <c r="B16" t="n">
        <v>22</v>
      </c>
      <c r="C16" s="17" t="n">
        <v>0.9769</v>
      </c>
      <c r="D16" s="17" t="n">
        <v>0.965</v>
      </c>
      <c r="E16" s="17" t="n">
        <v>0.9626</v>
      </c>
      <c r="F16" s="17" t="n">
        <v>0.9262</v>
      </c>
      <c r="G16" s="17" t="n">
        <v>0.9079</v>
      </c>
      <c r="H16" s="17" t="n">
        <v>0.8825</v>
      </c>
      <c r="I16" s="17" t="n">
        <v>0.8732</v>
      </c>
      <c r="J16" s="17" t="n">
        <v>0.868</v>
      </c>
      <c r="K16" s="17" t="n">
        <v>0.8655</v>
      </c>
      <c r="L16" s="17" t="n">
        <v>0.8573</v>
      </c>
      <c r="M16" s="17" t="n">
        <v>0.8411</v>
      </c>
      <c r="N16" s="17" t="n">
        <v>0.8431999999999999</v>
      </c>
      <c r="O16" s="17" t="n">
        <v>0.7805</v>
      </c>
      <c r="P16" s="17" t="n">
        <v>0.7719</v>
      </c>
      <c r="Q16" s="17" t="n">
        <v>0.7596000000000001</v>
      </c>
      <c r="R16" s="17" t="n">
        <v>-0.2173</v>
      </c>
    </row>
    <row r="17">
      <c r="A17" s="16" t="inlineStr">
        <is>
          <t>Iowa</t>
        </is>
      </c>
      <c r="B17" t="n">
        <v>42</v>
      </c>
      <c r="C17" s="17" t="n">
        <v>1.2417</v>
      </c>
      <c r="D17" s="17" t="n">
        <v>1.2775</v>
      </c>
      <c r="E17" s="17" t="n">
        <v>1.3526</v>
      </c>
      <c r="F17" s="17" t="n">
        <v>1.3919</v>
      </c>
      <c r="G17" s="17" t="n">
        <v>1.417</v>
      </c>
      <c r="H17" s="17" t="n">
        <v>1.4189</v>
      </c>
      <c r="I17" s="17" t="n">
        <v>1.4354</v>
      </c>
      <c r="J17" s="17" t="n">
        <v>1.469</v>
      </c>
      <c r="K17" s="17" t="n">
        <v>1.5</v>
      </c>
      <c r="L17" s="17" t="n">
        <v>1.5059</v>
      </c>
      <c r="M17" s="17" t="n">
        <v>1.5028</v>
      </c>
      <c r="N17" s="17" t="n">
        <v>1.5241</v>
      </c>
      <c r="O17" s="17" t="n">
        <v>1.4117</v>
      </c>
      <c r="P17" s="17" t="n">
        <v>1.3647</v>
      </c>
      <c r="Q17" s="17" t="n">
        <v>1.3271</v>
      </c>
      <c r="R17" s="17" t="n">
        <v>0.0854</v>
      </c>
    </row>
    <row r="18">
      <c r="A18" s="16" t="inlineStr">
        <is>
          <t>Kansas</t>
        </is>
      </c>
      <c r="B18" t="n">
        <v>38</v>
      </c>
      <c r="C18" s="17" t="n">
        <v>1.2355</v>
      </c>
      <c r="D18" s="17" t="n">
        <v>1.2666</v>
      </c>
      <c r="E18" s="17" t="n">
        <v>1.3309</v>
      </c>
      <c r="F18" s="17" t="n">
        <v>1.3563</v>
      </c>
      <c r="G18" s="17" t="n">
        <v>1.3591</v>
      </c>
      <c r="H18" s="17" t="n">
        <v>1.338</v>
      </c>
      <c r="I18" s="17" t="n">
        <v>1.3246</v>
      </c>
      <c r="J18" s="17" t="n">
        <v>1.3266</v>
      </c>
      <c r="K18" s="17" t="n">
        <v>1.3299</v>
      </c>
      <c r="L18" s="17" t="n">
        <v>1.3334</v>
      </c>
      <c r="M18" s="17" t="n">
        <v>1.3169</v>
      </c>
      <c r="N18" s="17" t="n">
        <v>1.3416</v>
      </c>
      <c r="O18" s="17" t="n">
        <v>1.2477</v>
      </c>
      <c r="P18" s="17" t="n">
        <v>1.2246</v>
      </c>
      <c r="Q18" s="17" t="n">
        <v>1.2106</v>
      </c>
      <c r="R18" s="17" t="n">
        <v>-0.0249</v>
      </c>
    </row>
    <row r="19">
      <c r="A19" s="16" t="inlineStr">
        <is>
          <t>Kentucky</t>
        </is>
      </c>
      <c r="B19" t="n">
        <v>20</v>
      </c>
      <c r="C19" s="17" t="n">
        <v>0.7255</v>
      </c>
      <c r="D19" s="17" t="n">
        <v>0.7428</v>
      </c>
      <c r="E19" s="17" t="n">
        <v>0.78</v>
      </c>
      <c r="F19" s="17" t="n">
        <v>0.795</v>
      </c>
      <c r="G19" s="17" t="n">
        <v>0.8053</v>
      </c>
      <c r="H19" s="17" t="n">
        <v>0.7984</v>
      </c>
      <c r="I19" s="17" t="n">
        <v>0.8042</v>
      </c>
      <c r="J19" s="17" t="n">
        <v>0.8113</v>
      </c>
      <c r="K19" s="17" t="n">
        <v>0.8201000000000001</v>
      </c>
      <c r="L19" s="17" t="n">
        <v>0.8176</v>
      </c>
      <c r="M19" s="17" t="n">
        <v>0.8153</v>
      </c>
      <c r="N19" s="17" t="n">
        <v>0.8280999999999999</v>
      </c>
      <c r="O19" s="17" t="n">
        <v>0.7727000000000001</v>
      </c>
      <c r="P19" s="17" t="n">
        <v>0.757</v>
      </c>
      <c r="Q19" s="17" t="n">
        <v>0.7449</v>
      </c>
      <c r="R19" s="17" t="n">
        <v>0.0194</v>
      </c>
    </row>
    <row r="20">
      <c r="A20" s="16" t="inlineStr">
        <is>
          <t>Louisiana</t>
        </is>
      </c>
      <c r="B20" t="n">
        <v>13</v>
      </c>
      <c r="C20" s="17" t="n">
        <v>0.4081</v>
      </c>
      <c r="D20" s="17" t="n">
        <v>0.4327</v>
      </c>
      <c r="E20" s="17" t="n">
        <v>0.47</v>
      </c>
      <c r="F20" s="17" t="n">
        <v>0.493</v>
      </c>
      <c r="G20" s="17" t="n">
        <v>0.5046</v>
      </c>
      <c r="H20" s="17" t="n">
        <v>0.5016</v>
      </c>
      <c r="I20" s="17" t="n">
        <v>0.5064</v>
      </c>
      <c r="J20" s="17" t="n">
        <v>0.5165</v>
      </c>
      <c r="K20" s="17" t="n">
        <v>0.5227000000000001</v>
      </c>
      <c r="L20" s="17" t="n">
        <v>0.5266999999999999</v>
      </c>
      <c r="M20" s="17" t="n">
        <v>0.5361</v>
      </c>
      <c r="N20" s="17" t="n">
        <v>0.5583</v>
      </c>
      <c r="O20" s="17" t="n">
        <v>0.5309</v>
      </c>
      <c r="P20" s="17" t="n">
        <v>0.5375</v>
      </c>
      <c r="Q20" s="17" t="n">
        <v>0.5457</v>
      </c>
      <c r="R20" s="17" t="n">
        <v>0.1376</v>
      </c>
    </row>
    <row r="21">
      <c r="A21" s="16" t="inlineStr">
        <is>
          <t>Maine</t>
        </is>
      </c>
      <c r="B21" t="n">
        <v>32</v>
      </c>
      <c r="C21" s="17" t="n">
        <v>1.0212</v>
      </c>
      <c r="D21" s="17" t="n">
        <v>1.0628</v>
      </c>
      <c r="E21" s="17" t="n">
        <v>1.1263</v>
      </c>
      <c r="F21" s="17" t="n">
        <v>1.1632</v>
      </c>
      <c r="G21" s="17" t="n">
        <v>1.1903</v>
      </c>
      <c r="H21" s="17" t="n">
        <v>1.2062</v>
      </c>
      <c r="I21" s="17" t="n">
        <v>1.2317</v>
      </c>
      <c r="J21" s="17" t="n">
        <v>1.2577</v>
      </c>
      <c r="K21" s="17" t="n">
        <v>1.2727</v>
      </c>
      <c r="L21" s="17" t="n">
        <v>1.279</v>
      </c>
      <c r="M21" s="17" t="n">
        <v>1.2506</v>
      </c>
      <c r="N21" s="17" t="n">
        <v>1.2363</v>
      </c>
      <c r="O21" s="17" t="n">
        <v>1.1031</v>
      </c>
      <c r="P21" s="17" t="n">
        <v>1.0445</v>
      </c>
      <c r="Q21" s="17" t="n">
        <v>0.9838</v>
      </c>
      <c r="R21" s="17" t="n">
        <v>-0.0374</v>
      </c>
    </row>
    <row r="22">
      <c r="A22" s="16" t="inlineStr">
        <is>
          <t>Maryland</t>
        </is>
      </c>
      <c r="B22" t="n">
        <v>30</v>
      </c>
      <c r="C22" s="17" t="n">
        <v>0.7998</v>
      </c>
      <c r="D22" s="17" t="n">
        <v>0.8662</v>
      </c>
      <c r="E22" s="17" t="n">
        <v>0.9407</v>
      </c>
      <c r="F22" s="17" t="n">
        <v>1</v>
      </c>
      <c r="G22" s="17" t="n">
        <v>1.0274</v>
      </c>
      <c r="H22" s="17" t="n">
        <v>1.0242</v>
      </c>
      <c r="I22" s="17" t="n">
        <v>1.0259</v>
      </c>
      <c r="J22" s="17" t="n">
        <v>1.0304</v>
      </c>
      <c r="K22" s="17" t="n">
        <v>1.041</v>
      </c>
      <c r="L22" s="17" t="n">
        <v>1.0468</v>
      </c>
      <c r="M22" s="17" t="n">
        <v>1.0402</v>
      </c>
      <c r="N22" s="17" t="n">
        <v>1.0485</v>
      </c>
      <c r="O22" s="17" t="n">
        <v>0.9701</v>
      </c>
      <c r="P22" s="17" t="n">
        <v>0.9474</v>
      </c>
      <c r="Q22" s="17" t="n">
        <v>0.9236</v>
      </c>
      <c r="R22" s="17" t="n">
        <v>0.1238</v>
      </c>
    </row>
    <row r="23">
      <c r="A23" s="16" t="inlineStr">
        <is>
          <t>Massachusetts</t>
        </is>
      </c>
      <c r="B23" t="n">
        <v>35</v>
      </c>
      <c r="C23" s="17" t="n">
        <v>0.9648</v>
      </c>
      <c r="D23" s="17" t="n">
        <v>1.0234</v>
      </c>
      <c r="E23" s="17" t="n">
        <v>1.0743</v>
      </c>
      <c r="F23" s="17" t="n">
        <v>1.1184</v>
      </c>
      <c r="G23" s="17" t="n">
        <v>1.1378</v>
      </c>
      <c r="H23" s="17" t="n">
        <v>1.1382</v>
      </c>
      <c r="I23" s="17" t="n">
        <v>1.1485</v>
      </c>
      <c r="J23" s="17" t="n">
        <v>1.1528</v>
      </c>
      <c r="K23" s="17" t="n">
        <v>1.1533</v>
      </c>
      <c r="L23" s="17" t="n">
        <v>1.1524</v>
      </c>
      <c r="M23" s="17" t="n">
        <v>1.1375</v>
      </c>
      <c r="N23" s="17" t="n">
        <v>1.139</v>
      </c>
      <c r="O23" s="17" t="n">
        <v>1.0553</v>
      </c>
      <c r="P23" s="17" t="n">
        <v>1.0288</v>
      </c>
      <c r="Q23" s="17" t="n">
        <v>1.0028</v>
      </c>
      <c r="R23" s="17" t="n">
        <v>0.038</v>
      </c>
    </row>
    <row r="24">
      <c r="A24" s="16" t="inlineStr">
        <is>
          <t>Michigan</t>
        </is>
      </c>
      <c r="B24" t="n">
        <v>37</v>
      </c>
      <c r="C24" s="17" t="n">
        <v>1.4103</v>
      </c>
      <c r="D24" s="17" t="n">
        <v>1.4908</v>
      </c>
      <c r="E24" s="17" t="n">
        <v>1.5908</v>
      </c>
      <c r="F24" s="17" t="n">
        <v>1.6299</v>
      </c>
      <c r="G24" s="17" t="n">
        <v>1.6106</v>
      </c>
      <c r="H24" s="17" t="n">
        <v>1.548</v>
      </c>
      <c r="I24" s="17" t="n">
        <v>1.5033</v>
      </c>
      <c r="J24" s="17" t="n">
        <v>1.4728</v>
      </c>
      <c r="K24" s="17" t="n">
        <v>1.4412</v>
      </c>
      <c r="L24" s="17" t="n">
        <v>1.4138</v>
      </c>
      <c r="M24" s="17" t="n">
        <v>1.3782</v>
      </c>
      <c r="N24" s="17" t="n">
        <v>1.3782</v>
      </c>
      <c r="O24" s="17" t="n">
        <v>1.2652</v>
      </c>
      <c r="P24" s="17" t="n">
        <v>1.2283</v>
      </c>
      <c r="Q24" s="17" t="n">
        <v>1.1904</v>
      </c>
      <c r="R24" s="17" t="n">
        <v>-0.2199</v>
      </c>
    </row>
    <row r="25">
      <c r="A25" s="16" t="inlineStr">
        <is>
          <t>Minnesota</t>
        </is>
      </c>
      <c r="B25" t="n">
        <v>34</v>
      </c>
      <c r="C25" s="17" t="n">
        <v>0.9383</v>
      </c>
      <c r="D25" s="17" t="n">
        <v>0.9973</v>
      </c>
      <c r="E25" s="17" t="n">
        <v>1.0766</v>
      </c>
      <c r="F25" s="17" t="n">
        <v>1.123</v>
      </c>
      <c r="G25" s="17" t="n">
        <v>1.1385</v>
      </c>
      <c r="H25" s="17" t="n">
        <v>1.1255</v>
      </c>
      <c r="I25" s="17" t="n">
        <v>1.1222</v>
      </c>
      <c r="J25" s="17" t="n">
        <v>1.1158</v>
      </c>
      <c r="K25" s="17" t="n">
        <v>1.111</v>
      </c>
      <c r="L25" s="17" t="n">
        <v>1.1073</v>
      </c>
      <c r="M25" s="17" t="n">
        <v>1.0973</v>
      </c>
      <c r="N25" s="17" t="n">
        <v>1.1073</v>
      </c>
      <c r="O25" s="17" t="n">
        <v>1.0285</v>
      </c>
      <c r="P25" s="17" t="n">
        <v>1.0123</v>
      </c>
      <c r="Q25" s="17" t="n">
        <v>0.9988</v>
      </c>
      <c r="R25" s="17" t="n">
        <v>0.0605</v>
      </c>
    </row>
    <row r="26">
      <c r="A26" s="16" t="inlineStr">
        <is>
          <t>Mississippi</t>
        </is>
      </c>
      <c r="B26" t="n">
        <v>15</v>
      </c>
      <c r="C26" s="17" t="n">
        <v>0.5558</v>
      </c>
      <c r="D26" s="17" t="n">
        <v>0.5755</v>
      </c>
      <c r="E26" s="17" t="n">
        <v>0.612</v>
      </c>
      <c r="F26" s="17" t="n">
        <v>0.6314</v>
      </c>
      <c r="G26" s="17" t="n">
        <v>0.6502</v>
      </c>
      <c r="H26" s="17" t="n">
        <v>0.643</v>
      </c>
      <c r="I26" s="17" t="n">
        <v>0.644</v>
      </c>
      <c r="J26" s="17" t="n">
        <v>0.646</v>
      </c>
      <c r="K26" s="17" t="n">
        <v>0.6514</v>
      </c>
      <c r="L26" s="17" t="n">
        <v>0.6469</v>
      </c>
      <c r="M26" s="17" t="n">
        <v>0.6515</v>
      </c>
      <c r="N26" s="17" t="n">
        <v>0.6691</v>
      </c>
      <c r="O26" s="17" t="n">
        <v>0.6224</v>
      </c>
      <c r="P26" s="17" t="n">
        <v>0.6037</v>
      </c>
      <c r="Q26" s="17" t="n">
        <v>0.584</v>
      </c>
      <c r="R26" s="17" t="n">
        <v>0.0282</v>
      </c>
    </row>
    <row r="27">
      <c r="A27" s="16" t="inlineStr">
        <is>
          <t>Missouri</t>
        </is>
      </c>
      <c r="B27" t="n">
        <v>28</v>
      </c>
      <c r="C27" s="17" t="n">
        <v>0.9067</v>
      </c>
      <c r="D27" s="17" t="n">
        <v>0.9408</v>
      </c>
      <c r="E27" s="17" t="n">
        <v>0.9938</v>
      </c>
      <c r="F27" s="17" t="n">
        <v>1.0187</v>
      </c>
      <c r="G27" s="17" t="n">
        <v>1.0335</v>
      </c>
      <c r="H27" s="17" t="n">
        <v>1.0254</v>
      </c>
      <c r="I27" s="17" t="n">
        <v>1.017</v>
      </c>
      <c r="J27" s="17" t="n">
        <v>1.0126</v>
      </c>
      <c r="K27" s="17" t="n">
        <v>1.0117</v>
      </c>
      <c r="L27" s="17" t="n">
        <v>1.0049</v>
      </c>
      <c r="M27" s="17" t="n">
        <v>0.9941</v>
      </c>
      <c r="N27" s="17" t="n">
        <v>1.0078</v>
      </c>
      <c r="O27" s="17" t="n">
        <v>0.9308999999999999</v>
      </c>
      <c r="P27" s="17" t="n">
        <v>0.911</v>
      </c>
      <c r="Q27" s="17" t="n">
        <v>0.889</v>
      </c>
      <c r="R27" s="17" t="n">
        <v>-0.0177</v>
      </c>
    </row>
    <row r="28">
      <c r="A28" s="16" t="inlineStr">
        <is>
          <t>Montana</t>
        </is>
      </c>
      <c r="B28" t="n">
        <v>16</v>
      </c>
      <c r="C28" s="17" t="n">
        <v>0.7297</v>
      </c>
      <c r="D28" s="17" t="n">
        <v>0.7368</v>
      </c>
      <c r="E28" s="17" t="n">
        <v>0.7498</v>
      </c>
      <c r="F28" s="17" t="n">
        <v>0.7632</v>
      </c>
      <c r="G28" s="17" t="n">
        <v>0.7677</v>
      </c>
      <c r="H28" s="17" t="n">
        <v>0.7594</v>
      </c>
      <c r="I28" s="17" t="n">
        <v>0.7638</v>
      </c>
      <c r="J28" s="17" t="n">
        <v>0.7628</v>
      </c>
      <c r="K28" s="17" t="n">
        <v>0.7625999999999999</v>
      </c>
      <c r="L28" s="17" t="n">
        <v>0.7635</v>
      </c>
      <c r="M28" s="17" t="n">
        <v>0.7503</v>
      </c>
      <c r="N28" s="17" t="n">
        <v>0.7387</v>
      </c>
      <c r="O28" s="17" t="n">
        <v>0.6622</v>
      </c>
      <c r="P28" s="17" t="n">
        <v>0.6408</v>
      </c>
      <c r="Q28" s="17" t="n">
        <v>0.6139</v>
      </c>
      <c r="R28" s="17" t="n">
        <v>-0.1158</v>
      </c>
    </row>
    <row r="29">
      <c r="A29" s="16" t="inlineStr">
        <is>
          <t>Nebraska</t>
        </is>
      </c>
      <c r="B29" t="n">
        <v>45</v>
      </c>
      <c r="C29" s="17" t="n">
        <v>1.6757</v>
      </c>
      <c r="D29" s="17" t="n">
        <v>1.7003</v>
      </c>
      <c r="E29" s="17" t="n">
        <v>1.7622</v>
      </c>
      <c r="F29" s="17" t="n">
        <v>1.7647</v>
      </c>
      <c r="G29" s="17" t="n">
        <v>1.7464</v>
      </c>
      <c r="H29" s="17" t="n">
        <v>1.6986</v>
      </c>
      <c r="I29" s="17" t="n">
        <v>1.6737</v>
      </c>
      <c r="J29" s="17" t="n">
        <v>1.6727</v>
      </c>
      <c r="K29" s="17" t="n">
        <v>1.6528</v>
      </c>
      <c r="L29" s="17" t="n">
        <v>1.6353</v>
      </c>
      <c r="M29" s="17" t="n">
        <v>1.6143</v>
      </c>
      <c r="N29" s="17" t="n">
        <v>1.6327</v>
      </c>
      <c r="O29" s="17" t="n">
        <v>1.5035</v>
      </c>
      <c r="P29" s="17" t="n">
        <v>1.4775</v>
      </c>
      <c r="Q29" s="17" t="n">
        <v>1.4406</v>
      </c>
      <c r="R29" s="17" t="n">
        <v>-0.2351</v>
      </c>
    </row>
    <row r="30">
      <c r="A30" s="16" t="inlineStr">
        <is>
          <t>Nevada</t>
        </is>
      </c>
      <c r="B30" t="n">
        <v>8</v>
      </c>
      <c r="C30" s="17" t="n">
        <v>0.671</v>
      </c>
      <c r="D30" s="17" t="n">
        <v>0.7524</v>
      </c>
      <c r="E30" s="17" t="n">
        <v>0.8448</v>
      </c>
      <c r="F30" s="17" t="n">
        <v>0.9023</v>
      </c>
      <c r="G30" s="17" t="n">
        <v>0.8699</v>
      </c>
      <c r="H30" s="17" t="n">
        <v>0.8035</v>
      </c>
      <c r="I30" s="17" t="n">
        <v>0.7532</v>
      </c>
      <c r="J30" s="17" t="n">
        <v>0.6984</v>
      </c>
      <c r="K30" s="17" t="n">
        <v>0.6634</v>
      </c>
      <c r="L30" s="17" t="n">
        <v>0.6325</v>
      </c>
      <c r="M30" s="17" t="n">
        <v>0.6019</v>
      </c>
      <c r="N30" s="17" t="n">
        <v>0.5893</v>
      </c>
      <c r="O30" s="17" t="n">
        <v>0.5316</v>
      </c>
      <c r="P30" s="17" t="n">
        <v>0.5127</v>
      </c>
      <c r="Q30" s="17" t="n">
        <v>0.5034999999999999</v>
      </c>
      <c r="R30" s="17" t="n">
        <v>-0.1675</v>
      </c>
    </row>
    <row r="31">
      <c r="A31" s="16" t="inlineStr">
        <is>
          <t>New Hampshire</t>
        </is>
      </c>
      <c r="B31" t="n">
        <v>46</v>
      </c>
      <c r="C31" s="17" t="n">
        <v>1.6359</v>
      </c>
      <c r="D31" s="17" t="n">
        <v>1.7227</v>
      </c>
      <c r="E31" s="17" t="n">
        <v>1.8514</v>
      </c>
      <c r="F31" s="17" t="n">
        <v>1.9257</v>
      </c>
      <c r="G31" s="17" t="n">
        <v>1.9735</v>
      </c>
      <c r="H31" s="17" t="n">
        <v>1.9849</v>
      </c>
      <c r="I31" s="17" t="n">
        <v>1.9928</v>
      </c>
      <c r="J31" s="17" t="n">
        <v>2.0194</v>
      </c>
      <c r="K31" s="17" t="n">
        <v>2.0288</v>
      </c>
      <c r="L31" s="17" t="n">
        <v>2.0127</v>
      </c>
      <c r="M31" s="17" t="n">
        <v>1.9605</v>
      </c>
      <c r="N31" s="17" t="n">
        <v>1.93</v>
      </c>
      <c r="O31" s="17" t="n">
        <v>1.7114</v>
      </c>
      <c r="P31" s="17" t="n">
        <v>1.616</v>
      </c>
      <c r="Q31" s="17" t="n">
        <v>1.5033</v>
      </c>
      <c r="R31" s="17" t="n">
        <v>-0.1326</v>
      </c>
    </row>
    <row r="32">
      <c r="A32" s="16" t="inlineStr">
        <is>
          <t>New Jersey</t>
        </is>
      </c>
      <c r="B32" t="n">
        <v>50</v>
      </c>
      <c r="C32" s="17" t="n">
        <v>1.6905</v>
      </c>
      <c r="D32" s="17" t="n">
        <v>1.8031</v>
      </c>
      <c r="E32" s="17" t="n">
        <v>1.9324</v>
      </c>
      <c r="F32" s="17" t="n">
        <v>2.0349</v>
      </c>
      <c r="G32" s="17" t="n">
        <v>2.1036</v>
      </c>
      <c r="H32" s="17" t="n">
        <v>2.1255</v>
      </c>
      <c r="I32" s="17" t="n">
        <v>2.1551</v>
      </c>
      <c r="J32" s="17" t="n">
        <v>2.1818</v>
      </c>
      <c r="K32" s="17" t="n">
        <v>2.2107</v>
      </c>
      <c r="L32" s="17" t="n">
        <v>2.2203</v>
      </c>
      <c r="M32" s="17" t="n">
        <v>2.2103</v>
      </c>
      <c r="N32" s="17" t="n">
        <v>2.2349</v>
      </c>
      <c r="O32" s="17" t="n">
        <v>2.0589</v>
      </c>
      <c r="P32" s="17" t="n">
        <v>1.9799</v>
      </c>
      <c r="Q32" s="17" t="n">
        <v>1.8848</v>
      </c>
      <c r="R32" s="17" t="n">
        <v>0.1943</v>
      </c>
    </row>
    <row r="33">
      <c r="A33" s="16" t="inlineStr">
        <is>
          <t>New Mexico</t>
        </is>
      </c>
      <c r="B33" t="n">
        <v>17</v>
      </c>
      <c r="C33" s="17" t="n">
        <v>0.5544</v>
      </c>
      <c r="D33" s="17" t="n">
        <v>0.5789</v>
      </c>
      <c r="E33" s="17" t="n">
        <v>0.6198</v>
      </c>
      <c r="F33" s="17" t="n">
        <v>0.6461</v>
      </c>
      <c r="G33" s="17" t="n">
        <v>0.6569</v>
      </c>
      <c r="H33" s="17" t="n">
        <v>0.6583</v>
      </c>
      <c r="I33" s="17" t="n">
        <v>0.669</v>
      </c>
      <c r="J33" s="17" t="n">
        <v>0.6695</v>
      </c>
      <c r="K33" s="17" t="n">
        <v>0.6753</v>
      </c>
      <c r="L33" s="17" t="n">
        <v>0.6616</v>
      </c>
      <c r="M33" s="17" t="n">
        <v>0.662</v>
      </c>
      <c r="N33" s="17" t="n">
        <v>0.6717</v>
      </c>
      <c r="O33" s="17" t="n">
        <v>0.6366000000000001</v>
      </c>
      <c r="P33" s="17" t="n">
        <v>0.6162</v>
      </c>
      <c r="Q33" s="17" t="n">
        <v>0.6266</v>
      </c>
      <c r="R33" s="17" t="n">
        <v>0.0722</v>
      </c>
    </row>
    <row r="34">
      <c r="A34" s="16" t="inlineStr">
        <is>
          <t>New York</t>
        </is>
      </c>
      <c r="B34" t="n">
        <v>40</v>
      </c>
      <c r="C34" s="17" t="n">
        <v>1.2894</v>
      </c>
      <c r="D34" s="17" t="n">
        <v>1.3573</v>
      </c>
      <c r="E34" s="17" t="n">
        <v>1.3556</v>
      </c>
      <c r="F34" s="17" t="n">
        <v>1.4035</v>
      </c>
      <c r="G34" s="17" t="n">
        <v>1.4222</v>
      </c>
      <c r="H34" s="17" t="n">
        <v>1.4117</v>
      </c>
      <c r="I34" s="17" t="n">
        <v>1.405</v>
      </c>
      <c r="J34" s="17" t="n">
        <v>1.3961</v>
      </c>
      <c r="K34" s="17" t="n">
        <v>1.3958</v>
      </c>
      <c r="L34" s="17" t="n">
        <v>1.3854</v>
      </c>
      <c r="M34" s="17" t="n">
        <v>1.3791</v>
      </c>
      <c r="N34" s="17" t="n">
        <v>1.4016</v>
      </c>
      <c r="O34" s="17" t="n">
        <v>1.326</v>
      </c>
      <c r="P34" s="17" t="n">
        <v>1.3099</v>
      </c>
      <c r="Q34" s="17" t="n">
        <v>1.2959</v>
      </c>
      <c r="R34" s="17" t="n">
        <v>0.0065</v>
      </c>
    </row>
    <row r="35">
      <c r="A35" s="16" t="inlineStr">
        <is>
          <t>North Carolina</t>
        </is>
      </c>
      <c r="B35" t="n">
        <v>18</v>
      </c>
      <c r="C35" s="17" t="n">
        <v>0.7479</v>
      </c>
      <c r="D35" s="17" t="n">
        <v>0.772</v>
      </c>
      <c r="E35" s="17" t="n">
        <v>0.8131</v>
      </c>
      <c r="F35" s="17" t="n">
        <v>0.835</v>
      </c>
      <c r="G35" s="17" t="n">
        <v>0.8493000000000001</v>
      </c>
      <c r="H35" s="17" t="n">
        <v>0.8413</v>
      </c>
      <c r="I35" s="17" t="n">
        <v>0.8456</v>
      </c>
      <c r="J35" s="17" t="n">
        <v>0.8477</v>
      </c>
      <c r="K35" s="17" t="n">
        <v>0.8506</v>
      </c>
      <c r="L35" s="17" t="n">
        <v>0.8398</v>
      </c>
      <c r="M35" s="17" t="n">
        <v>0.8209</v>
      </c>
      <c r="N35" s="17" t="n">
        <v>0.8155</v>
      </c>
      <c r="O35" s="17" t="n">
        <v>0.7322</v>
      </c>
      <c r="P35" s="17" t="n">
        <v>0.6935</v>
      </c>
      <c r="Q35" s="17" t="n">
        <v>0.663</v>
      </c>
      <c r="R35" s="17" t="n">
        <v>-0.0849</v>
      </c>
    </row>
    <row r="36">
      <c r="A36" s="16" t="inlineStr">
        <is>
          <t>North Dakota</t>
        </is>
      </c>
      <c r="B36" t="n">
        <v>29</v>
      </c>
      <c r="C36" s="17" t="n">
        <v>1.3927</v>
      </c>
      <c r="D36" s="17" t="n">
        <v>1.3514</v>
      </c>
      <c r="E36" s="17" t="n">
        <v>1.3441</v>
      </c>
      <c r="F36" s="17" t="n">
        <v>1.2837</v>
      </c>
      <c r="G36" s="17" t="n">
        <v>1.1727</v>
      </c>
      <c r="H36" s="17" t="n">
        <v>1.0686</v>
      </c>
      <c r="I36" s="17" t="n">
        <v>1.0004</v>
      </c>
      <c r="J36" s="17" t="n">
        <v>0.9647</v>
      </c>
      <c r="K36" s="17" t="n">
        <v>0.9514</v>
      </c>
      <c r="L36" s="17" t="n">
        <v>0.9443</v>
      </c>
      <c r="M36" s="17" t="n">
        <v>0.9486</v>
      </c>
      <c r="N36" s="17" t="n">
        <v>0.9787</v>
      </c>
      <c r="O36" s="17" t="n">
        <v>0.9303</v>
      </c>
      <c r="P36" s="17" t="n">
        <v>0.9172</v>
      </c>
      <c r="Q36" s="17" t="n">
        <v>0.9223</v>
      </c>
      <c r="R36" s="17" t="n">
        <v>-0.4704</v>
      </c>
    </row>
    <row r="37">
      <c r="A37" s="16" t="inlineStr">
        <is>
          <t>Ohio</t>
        </is>
      </c>
      <c r="B37" t="n">
        <v>43</v>
      </c>
      <c r="C37" s="17" t="n">
        <v>1.3692</v>
      </c>
      <c r="D37" s="17" t="n">
        <v>1.4253</v>
      </c>
      <c r="E37" s="17" t="n">
        <v>1.5127</v>
      </c>
      <c r="F37" s="17" t="n">
        <v>1.5676</v>
      </c>
      <c r="G37" s="17" t="n">
        <v>1.5955</v>
      </c>
      <c r="H37" s="17" t="n">
        <v>1.5906</v>
      </c>
      <c r="I37" s="17" t="n">
        <v>1.5951</v>
      </c>
      <c r="J37" s="17" t="n">
        <v>1.6062</v>
      </c>
      <c r="K37" s="17" t="n">
        <v>1.6177</v>
      </c>
      <c r="L37" s="17" t="n">
        <v>1.6103</v>
      </c>
      <c r="M37" s="17" t="n">
        <v>1.5803</v>
      </c>
      <c r="N37" s="17" t="n">
        <v>1.5912</v>
      </c>
      <c r="O37" s="17" t="n">
        <v>1.4643</v>
      </c>
      <c r="P37" s="17" t="n">
        <v>1.411</v>
      </c>
      <c r="Q37" s="17" t="n">
        <v>1.3602</v>
      </c>
      <c r="R37" s="17" t="n">
        <v>-0.008999999999999999</v>
      </c>
    </row>
    <row r="38">
      <c r="A38" s="16" t="inlineStr">
        <is>
          <t>Oklahoma</t>
        </is>
      </c>
      <c r="B38" t="n">
        <v>25</v>
      </c>
      <c r="C38" s="17" t="n">
        <v>0.7763</v>
      </c>
      <c r="D38" s="17" t="n">
        <v>0.7998</v>
      </c>
      <c r="E38" s="17" t="n">
        <v>0.8388</v>
      </c>
      <c r="F38" s="17" t="n">
        <v>0.8577</v>
      </c>
      <c r="G38" s="17" t="n">
        <v>0.8666</v>
      </c>
      <c r="H38" s="17" t="n">
        <v>0.8578</v>
      </c>
      <c r="I38" s="17" t="n">
        <v>0.8611</v>
      </c>
      <c r="J38" s="17" t="n">
        <v>0.8738</v>
      </c>
      <c r="K38" s="17" t="n">
        <v>0.8826000000000001</v>
      </c>
      <c r="L38" s="17" t="n">
        <v>0.884</v>
      </c>
      <c r="M38" s="17" t="n">
        <v>0.8816000000000001</v>
      </c>
      <c r="N38" s="17" t="n">
        <v>0.8923</v>
      </c>
      <c r="O38" s="17" t="n">
        <v>0.8218</v>
      </c>
      <c r="P38" s="17" t="n">
        <v>0.8008</v>
      </c>
      <c r="Q38" s="17" t="n">
        <v>0.7911</v>
      </c>
      <c r="R38" s="17" t="n">
        <v>0.0148</v>
      </c>
    </row>
    <row r="39">
      <c r="A39" s="16" t="inlineStr">
        <is>
          <t>Oregon</t>
        </is>
      </c>
      <c r="B39" t="n">
        <v>27</v>
      </c>
      <c r="C39" s="17" t="n">
        <v>0.8025</v>
      </c>
      <c r="D39" s="17" t="n">
        <v>0.8455</v>
      </c>
      <c r="E39" s="17" t="n">
        <v>0.9272</v>
      </c>
      <c r="F39" s="17" t="n">
        <v>0.9846</v>
      </c>
      <c r="G39" s="17" t="n">
        <v>1.0251</v>
      </c>
      <c r="H39" s="17" t="n">
        <v>1.0204</v>
      </c>
      <c r="I39" s="17" t="n">
        <v>1.0124</v>
      </c>
      <c r="J39" s="17" t="n">
        <v>0.9944</v>
      </c>
      <c r="K39" s="17" t="n">
        <v>0.9802999999999999</v>
      </c>
      <c r="L39" s="17" t="n">
        <v>0.9641999999999999</v>
      </c>
      <c r="M39" s="17" t="n">
        <v>0.9412</v>
      </c>
      <c r="N39" s="17" t="n">
        <v>0.9321</v>
      </c>
      <c r="O39" s="17" t="n">
        <v>0.8547</v>
      </c>
      <c r="P39" s="17" t="n">
        <v>0.829</v>
      </c>
      <c r="Q39" s="17" t="n">
        <v>0.8058999999999999</v>
      </c>
      <c r="R39" s="17" t="n">
        <v>0.0034</v>
      </c>
    </row>
    <row r="40">
      <c r="A40" s="16" t="inlineStr">
        <is>
          <t>Pennsylvania</t>
        </is>
      </c>
      <c r="B40" t="n">
        <v>39</v>
      </c>
      <c r="C40" s="17" t="n">
        <v>1.3084</v>
      </c>
      <c r="D40" s="17" t="n">
        <v>1.3399</v>
      </c>
      <c r="E40" s="17" t="n">
        <v>1.4032</v>
      </c>
      <c r="F40" s="17" t="n">
        <v>1.4432</v>
      </c>
      <c r="G40" s="17" t="n">
        <v>1.4712</v>
      </c>
      <c r="H40" s="17" t="n">
        <v>1.4705</v>
      </c>
      <c r="I40" s="17" t="n">
        <v>1.4849</v>
      </c>
      <c r="J40" s="17" t="n">
        <v>1.5034</v>
      </c>
      <c r="K40" s="17" t="n">
        <v>1.5101</v>
      </c>
      <c r="L40" s="17" t="n">
        <v>1.5077</v>
      </c>
      <c r="M40" s="17" t="n">
        <v>1.4904</v>
      </c>
      <c r="N40" s="17" t="n">
        <v>1.4901</v>
      </c>
      <c r="O40" s="17" t="n">
        <v>1.3672</v>
      </c>
      <c r="P40" s="17" t="n">
        <v>1.3147</v>
      </c>
      <c r="Q40" s="17" t="n">
        <v>1.2554</v>
      </c>
      <c r="R40" s="17" t="n">
        <v>-0.053</v>
      </c>
    </row>
    <row r="41">
      <c r="A41" s="16" t="inlineStr">
        <is>
          <t>Rhode Island</t>
        </is>
      </c>
      <c r="B41" t="n">
        <v>36</v>
      </c>
      <c r="C41" s="17" t="n">
        <v>1.1787</v>
      </c>
      <c r="D41" s="17" t="n">
        <v>1.2651</v>
      </c>
      <c r="E41" s="17" t="n">
        <v>1.3537</v>
      </c>
      <c r="F41" s="17" t="n">
        <v>1.4338</v>
      </c>
      <c r="G41" s="17" t="n">
        <v>1.4779</v>
      </c>
      <c r="H41" s="17" t="n">
        <v>1.5096</v>
      </c>
      <c r="I41" s="17" t="n">
        <v>1.5298</v>
      </c>
      <c r="J41" s="17" t="n">
        <v>1.5302</v>
      </c>
      <c r="K41" s="17" t="n">
        <v>1.5252</v>
      </c>
      <c r="L41" s="17" t="n">
        <v>1.51</v>
      </c>
      <c r="M41" s="17" t="n">
        <v>1.4297</v>
      </c>
      <c r="N41" s="17" t="n">
        <v>1.3983</v>
      </c>
      <c r="O41" s="17" t="n">
        <v>1.2679</v>
      </c>
      <c r="P41" s="17" t="n">
        <v>1.1918</v>
      </c>
      <c r="Q41" s="17" t="n">
        <v>1.1162</v>
      </c>
      <c r="R41" s="17" t="n">
        <v>-0.0625</v>
      </c>
    </row>
    <row r="42">
      <c r="A42" s="16" t="inlineStr">
        <is>
          <t>South Carolina</t>
        </is>
      </c>
      <c r="B42" t="n">
        <v>5</v>
      </c>
      <c r="C42" s="17" t="n">
        <v>0.5482</v>
      </c>
      <c r="D42" s="17" t="n">
        <v>0.5439000000000001</v>
      </c>
      <c r="E42" s="17" t="n">
        <v>0.5389</v>
      </c>
      <c r="F42" s="17" t="n">
        <v>0.5536</v>
      </c>
      <c r="G42" s="17" t="n">
        <v>0.5593</v>
      </c>
      <c r="H42" s="17" t="n">
        <v>0.556</v>
      </c>
      <c r="I42" s="17" t="n">
        <v>0.5551</v>
      </c>
      <c r="J42" s="17" t="n">
        <v>0.5548999999999999</v>
      </c>
      <c r="K42" s="17" t="n">
        <v>0.5589</v>
      </c>
      <c r="L42" s="17" t="n">
        <v>0.5561</v>
      </c>
      <c r="M42" s="17" t="n">
        <v>0.5558999999999999</v>
      </c>
      <c r="N42" s="17" t="n">
        <v>0.5668</v>
      </c>
      <c r="O42" s="17" t="n">
        <v>0.5234</v>
      </c>
      <c r="P42" s="17" t="n">
        <v>0.5084</v>
      </c>
      <c r="Q42" s="17" t="n">
        <v>0.4875</v>
      </c>
      <c r="R42" s="17" t="n">
        <v>-0.0607</v>
      </c>
    </row>
    <row r="43">
      <c r="A43" s="16" t="inlineStr">
        <is>
          <t>South Dakota</t>
        </is>
      </c>
      <c r="B43" t="n">
        <v>33</v>
      </c>
      <c r="C43" s="17" t="n">
        <v>1.2063</v>
      </c>
      <c r="D43" s="17" t="n">
        <v>1.2133</v>
      </c>
      <c r="E43" s="17" t="n">
        <v>1.2471</v>
      </c>
      <c r="F43" s="17" t="n">
        <v>1.2528</v>
      </c>
      <c r="G43" s="17" t="n">
        <v>1.25</v>
      </c>
      <c r="H43" s="17" t="n">
        <v>1.2257</v>
      </c>
      <c r="I43" s="17" t="n">
        <v>1.213</v>
      </c>
      <c r="J43" s="17" t="n">
        <v>1.2237</v>
      </c>
      <c r="K43" s="17" t="n">
        <v>1.22</v>
      </c>
      <c r="L43" s="17" t="n">
        <v>1.2099</v>
      </c>
      <c r="M43" s="17" t="n">
        <v>1.1774</v>
      </c>
      <c r="N43" s="17" t="n">
        <v>1.1684</v>
      </c>
      <c r="O43" s="17" t="n">
        <v>1.0578</v>
      </c>
      <c r="P43" s="17" t="n">
        <v>1.0257</v>
      </c>
      <c r="Q43" s="17" t="n">
        <v>0.9972</v>
      </c>
      <c r="R43" s="17" t="n">
        <v>-0.2091</v>
      </c>
    </row>
    <row r="44">
      <c r="A44" s="16" t="inlineStr">
        <is>
          <t>Tennessee</t>
        </is>
      </c>
      <c r="B44" t="n">
        <v>10</v>
      </c>
      <c r="C44" s="17" t="n">
        <v>0.7154</v>
      </c>
      <c r="D44" s="17" t="n">
        <v>0.7268</v>
      </c>
      <c r="E44" s="17" t="n">
        <v>0.7524</v>
      </c>
      <c r="F44" s="17" t="n">
        <v>0.7624</v>
      </c>
      <c r="G44" s="17" t="n">
        <v>0.7658</v>
      </c>
      <c r="H44" s="17" t="n">
        <v>0.7557</v>
      </c>
      <c r="I44" s="17" t="n">
        <v>0.7493</v>
      </c>
      <c r="J44" s="17" t="n">
        <v>0.7407</v>
      </c>
      <c r="K44" s="17" t="n">
        <v>0.7316</v>
      </c>
      <c r="L44" s="17" t="n">
        <v>0.7089</v>
      </c>
      <c r="M44" s="17" t="n">
        <v>0.6795</v>
      </c>
      <c r="N44" s="17" t="n">
        <v>0.6676</v>
      </c>
      <c r="O44" s="17" t="n">
        <v>0.5944</v>
      </c>
      <c r="P44" s="17" t="n">
        <v>0.556</v>
      </c>
      <c r="Q44" s="17" t="n">
        <v>0.5203</v>
      </c>
      <c r="R44" s="17" t="n">
        <v>-0.1951</v>
      </c>
    </row>
    <row r="45">
      <c r="A45" s="16" t="inlineStr">
        <is>
          <t>Texas</t>
        </is>
      </c>
      <c r="B45" t="n">
        <v>44</v>
      </c>
      <c r="C45" s="17" t="n">
        <v>1.7676</v>
      </c>
      <c r="D45" s="17" t="n">
        <v>1.7685</v>
      </c>
      <c r="E45" s="17" t="n">
        <v>1.7831</v>
      </c>
      <c r="F45" s="17" t="n">
        <v>1.792</v>
      </c>
      <c r="G45" s="17" t="n">
        <v>1.7742</v>
      </c>
      <c r="H45" s="17" t="n">
        <v>1.7286</v>
      </c>
      <c r="I45" s="17" t="n">
        <v>1.7033</v>
      </c>
      <c r="J45" s="17" t="n">
        <v>1.6955</v>
      </c>
      <c r="K45" s="17" t="n">
        <v>1.6934</v>
      </c>
      <c r="L45" s="17" t="n">
        <v>1.6821</v>
      </c>
      <c r="M45" s="17" t="n">
        <v>1.664</v>
      </c>
      <c r="N45" s="17" t="n">
        <v>1.6773</v>
      </c>
      <c r="O45" s="17" t="n">
        <v>1.533</v>
      </c>
      <c r="P45" s="17" t="n">
        <v>1.4731</v>
      </c>
      <c r="Q45" s="17" t="n">
        <v>1.402</v>
      </c>
      <c r="R45" s="17" t="n">
        <v>-0.3656</v>
      </c>
    </row>
    <row r="46">
      <c r="A46" s="16" t="inlineStr">
        <is>
          <t>Utah</t>
        </is>
      </c>
      <c r="B46" t="n">
        <v>3</v>
      </c>
      <c r="C46" s="17" t="n">
        <v>0.5729</v>
      </c>
      <c r="D46" s="17" t="n">
        <v>0.5946</v>
      </c>
      <c r="E46" s="17" t="n">
        <v>0.6404</v>
      </c>
      <c r="F46" s="17" t="n">
        <v>0.6642</v>
      </c>
      <c r="G46" s="17" t="n">
        <v>0.6698</v>
      </c>
      <c r="H46" s="17" t="n">
        <v>0.6619</v>
      </c>
      <c r="I46" s="17" t="n">
        <v>0.6524</v>
      </c>
      <c r="J46" s="17" t="n">
        <v>0.6384</v>
      </c>
      <c r="K46" s="17" t="n">
        <v>0.6239</v>
      </c>
      <c r="L46" s="17" t="n">
        <v>0.6109</v>
      </c>
      <c r="M46" s="17" t="n">
        <v>0.5865</v>
      </c>
      <c r="N46" s="17" t="n">
        <v>0.5703</v>
      </c>
      <c r="O46" s="17" t="n">
        <v>0.5134</v>
      </c>
      <c r="P46" s="17" t="n">
        <v>0.496</v>
      </c>
      <c r="Q46" s="17" t="n">
        <v>0.4764</v>
      </c>
      <c r="R46" s="17" t="n">
        <v>-0.0965</v>
      </c>
    </row>
    <row r="47">
      <c r="A47" s="16" t="inlineStr">
        <is>
          <t>Vermont</t>
        </is>
      </c>
      <c r="B47" t="n">
        <v>47</v>
      </c>
      <c r="C47" s="17" t="n">
        <v>1.4883</v>
      </c>
      <c r="D47" s="17" t="n">
        <v>1.5234</v>
      </c>
      <c r="E47" s="17" t="n">
        <v>1.5954</v>
      </c>
      <c r="F47" s="17" t="n">
        <v>1.6357</v>
      </c>
      <c r="G47" s="17" t="n">
        <v>1.6675</v>
      </c>
      <c r="H47" s="17" t="n">
        <v>1.6833</v>
      </c>
      <c r="I47" s="17" t="n">
        <v>1.7191</v>
      </c>
      <c r="J47" s="17" t="n">
        <v>1.7623</v>
      </c>
      <c r="K47" s="17" t="n">
        <v>1.7991</v>
      </c>
      <c r="L47" s="17" t="n">
        <v>1.8176</v>
      </c>
      <c r="M47" s="17" t="n">
        <v>1.8167</v>
      </c>
      <c r="N47" s="17" t="n">
        <v>1.8258</v>
      </c>
      <c r="O47" s="17" t="n">
        <v>1.6503</v>
      </c>
      <c r="P47" s="17" t="n">
        <v>1.583</v>
      </c>
      <c r="Q47" s="17" t="n">
        <v>1.5122</v>
      </c>
      <c r="R47" s="17" t="n">
        <v>0.0239</v>
      </c>
    </row>
    <row r="48">
      <c r="A48" s="16" t="inlineStr">
        <is>
          <t>Virginia</t>
        </is>
      </c>
      <c r="B48" t="n">
        <v>23</v>
      </c>
      <c r="C48" s="17" t="n">
        <v>0.7547</v>
      </c>
      <c r="D48" s="17" t="n">
        <v>0.7872</v>
      </c>
      <c r="E48" s="17" t="n">
        <v>0.8255</v>
      </c>
      <c r="F48" s="17" t="n">
        <v>0.8427</v>
      </c>
      <c r="G48" s="17" t="n">
        <v>0.8438</v>
      </c>
      <c r="H48" s="17" t="n">
        <v>0.8372000000000001</v>
      </c>
      <c r="I48" s="17" t="n">
        <v>0.8408</v>
      </c>
      <c r="J48" s="17" t="n">
        <v>0.8502999999999999</v>
      </c>
      <c r="K48" s="17" t="n">
        <v>0.8635</v>
      </c>
      <c r="L48" s="17" t="n">
        <v>0.8703</v>
      </c>
      <c r="M48" s="17" t="n">
        <v>0.8666</v>
      </c>
      <c r="N48" s="17" t="n">
        <v>0.8746</v>
      </c>
      <c r="O48" s="17" t="n">
        <v>0.8119</v>
      </c>
      <c r="P48" s="17" t="n">
        <v>0.7946</v>
      </c>
      <c r="Q48" s="17" t="n">
        <v>0.7786</v>
      </c>
      <c r="R48" s="17" t="n">
        <v>0.0239</v>
      </c>
    </row>
    <row r="49">
      <c r="A49" s="16" t="inlineStr">
        <is>
          <t>Washington</t>
        </is>
      </c>
      <c r="B49" t="n">
        <v>21</v>
      </c>
      <c r="C49" s="17" t="n">
        <v>0.832</v>
      </c>
      <c r="D49" s="17" t="n">
        <v>0.8698</v>
      </c>
      <c r="E49" s="17" t="n">
        <v>0.9267</v>
      </c>
      <c r="F49" s="17" t="n">
        <v>0.9697</v>
      </c>
      <c r="G49" s="17" t="n">
        <v>0.9859</v>
      </c>
      <c r="H49" s="17" t="n">
        <v>0.9771</v>
      </c>
      <c r="I49" s="17" t="n">
        <v>0.9599</v>
      </c>
      <c r="J49" s="17" t="n">
        <v>0.9361</v>
      </c>
      <c r="K49" s="17" t="n">
        <v>0.9185</v>
      </c>
      <c r="L49" s="17" t="n">
        <v>0.9011</v>
      </c>
      <c r="M49" s="17" t="n">
        <v>0.8806</v>
      </c>
      <c r="N49" s="17" t="n">
        <v>0.8732</v>
      </c>
      <c r="O49" s="17" t="n">
        <v>0.7945</v>
      </c>
      <c r="P49" s="17" t="n">
        <v>0.7723</v>
      </c>
      <c r="Q49" s="17" t="n">
        <v>0.7543</v>
      </c>
      <c r="R49" s="17" t="n">
        <v>-0.07770000000000001</v>
      </c>
    </row>
    <row r="50">
      <c r="A50" s="16" t="inlineStr">
        <is>
          <t>West Virginia</t>
        </is>
      </c>
      <c r="B50" t="n">
        <v>9</v>
      </c>
      <c r="C50" s="17" t="n">
        <v>0.4683</v>
      </c>
      <c r="D50" s="17" t="n">
        <v>0.4824</v>
      </c>
      <c r="E50" s="17" t="n">
        <v>0.5129</v>
      </c>
      <c r="F50" s="17" t="n">
        <v>0.5258</v>
      </c>
      <c r="G50" s="17" t="n">
        <v>0.5306</v>
      </c>
      <c r="H50" s="17" t="n">
        <v>0.532</v>
      </c>
      <c r="I50" s="17" t="n">
        <v>0.5327</v>
      </c>
      <c r="J50" s="17" t="n">
        <v>0.5405</v>
      </c>
      <c r="K50" s="17" t="n">
        <v>0.551</v>
      </c>
      <c r="L50" s="17" t="n">
        <v>0.5479000000000001</v>
      </c>
      <c r="M50" s="17" t="n">
        <v>0.5477</v>
      </c>
      <c r="N50" s="17" t="n">
        <v>0.5677</v>
      </c>
      <c r="O50" s="17" t="n">
        <v>0.5286</v>
      </c>
      <c r="P50" s="17" t="n">
        <v>0.511</v>
      </c>
      <c r="Q50" s="17" t="n">
        <v>0.5054</v>
      </c>
      <c r="R50" s="17" t="n">
        <v>0.0371</v>
      </c>
    </row>
    <row r="51">
      <c r="A51" s="16" t="inlineStr">
        <is>
          <t>Wisconsin</t>
        </is>
      </c>
      <c r="B51" t="n">
        <v>41</v>
      </c>
      <c r="C51" s="17" t="n">
        <v>1.5977</v>
      </c>
      <c r="D51" s="17" t="n">
        <v>1.6419</v>
      </c>
      <c r="E51" s="17" t="n">
        <v>1.7245</v>
      </c>
      <c r="F51" s="17" t="n">
        <v>1.7732</v>
      </c>
      <c r="G51" s="17" t="n">
        <v>1.7985</v>
      </c>
      <c r="H51" s="17" t="n">
        <v>1.7819</v>
      </c>
      <c r="I51" s="17" t="n">
        <v>1.765</v>
      </c>
      <c r="J51" s="17" t="n">
        <v>1.7542</v>
      </c>
      <c r="K51" s="17" t="n">
        <v>1.7276</v>
      </c>
      <c r="L51" s="17" t="n">
        <v>1.6871</v>
      </c>
      <c r="M51" s="17" t="n">
        <v>1.6324</v>
      </c>
      <c r="N51" s="17" t="n">
        <v>1.61</v>
      </c>
      <c r="O51" s="17" t="n">
        <v>1.4597</v>
      </c>
      <c r="P51" s="17" t="n">
        <v>1.3942</v>
      </c>
      <c r="Q51" s="17" t="n">
        <v>1.3238</v>
      </c>
      <c r="R51" s="17" t="n">
        <v>-0.2739</v>
      </c>
    </row>
    <row r="52">
      <c r="A52" s="16" t="inlineStr">
        <is>
          <t>Wyoming</t>
        </is>
      </c>
      <c r="B52" t="n">
        <v>11</v>
      </c>
      <c r="C52" s="17" t="n">
        <v>0.5327</v>
      </c>
      <c r="D52" s="17" t="n">
        <v>0.5655</v>
      </c>
      <c r="E52" s="17" t="n">
        <v>0.5595</v>
      </c>
      <c r="F52" s="17" t="n">
        <v>0.573</v>
      </c>
      <c r="G52" s="17" t="n">
        <v>0.5669999999999999</v>
      </c>
      <c r="H52" s="17" t="n">
        <v>0.5591</v>
      </c>
      <c r="I52" s="17" t="n">
        <v>0.5476</v>
      </c>
      <c r="J52" s="17" t="n">
        <v>0.5580000000000001</v>
      </c>
      <c r="K52" s="17" t="n">
        <v>0.5479000000000001</v>
      </c>
      <c r="L52" s="17" t="n">
        <v>0.5493</v>
      </c>
      <c r="M52" s="17" t="n">
        <v>0.5566</v>
      </c>
      <c r="N52" s="17" t="n">
        <v>0.5555</v>
      </c>
      <c r="O52" s="17" t="n">
        <v>0.5098</v>
      </c>
      <c r="P52" s="17" t="n">
        <v>0.515</v>
      </c>
      <c r="Q52" s="17" t="n">
        <v>0.53</v>
      </c>
      <c r="R52" s="17" t="n">
        <v>-0.0027</v>
      </c>
    </row>
    <row r="54">
      <c r="A54" t="inlineStr">
        <is>
          <t>Effective property tax rate on owner-occupied homes, percent: aggregate real estate taxes paid (Census ACS table B25090) divided by aggregate home value (table B25082), five-year estimates. Each year is the five-year survey ending that year. This is the Tax Foundation's method; it reproduces every Tax Foundation 2026-edition rate for 2023 and 2024. The Census Bureau publishes these tables from the 2006-2010 survey onward. Source: api.census.gov, acs/acs5.</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60"/>
  <sheetViews>
    <sheetView zoomScaleNormal="100" zoomScaleSheetLayoutView="100" workbookViewId="0">
      <selection activeCell="A1" sqref="A1"/>
    </sheetView>
  </sheetViews>
  <sheetFormatPr baseColWidth="8" defaultColWidth="8.875" defaultRowHeight="14.1"/>
  <cols>
    <col width="34" customWidth="1" min="1" max="1"/>
    <col width="110" customWidth="1" min="2" max="2"/>
  </cols>
  <sheetData>
    <row r="1" ht="15.95" customHeight="1">
      <c r="A1" s="3" t="inlineStr">
        <is>
          <t>Item</t>
        </is>
      </c>
      <c r="B1" s="3" t="inlineStr">
        <is>
          <t>Definition / coding rule</t>
        </is>
      </c>
    </row>
    <row r="2" ht="49" customHeight="1">
      <c r="A2" s="13" t="inlineStr">
        <is>
          <t>How to read a cell</t>
        </is>
      </c>
      <c r="B2" s="4" t="inlineStr">
        <is>
          <t>Status cells start with Yes., Partial. or No. on the first line. The details follow, and an "Authority:" line names the constitutional provision, statute, bill or ballot measure behind the rule, with the year adopted. Text-only columns (jurisdictions, loopholes, reforms, notes) carry no status.</t>
        </is>
      </c>
    </row>
    <row r="3" ht="49" customHeight="1">
      <c r="A3" s="13" t="inlineStr">
        <is>
          <t>Four-regime scorecard</t>
        </is>
      </c>
      <c r="B3" s="4" t="inlineStr">
        <is>
          <t>How many of the four core limitation regimes a state has in force: a local spending limit, a property tax levy limit, an assessment cap and a rate cap. ✓ = Yes, ◐ = Partial, ✗ = No. Calculated by formula from columns C–F.</t>
        </is>
      </c>
    </row>
    <row r="4" ht="64" customHeight="1">
      <c r="A4" s="13" t="inlineStr">
        <is>
          <t>Local spending limit</t>
        </is>
      </c>
      <c r="B4" s="4" t="inlineStr">
        <is>
          <t>Yes = a state constitutional or statutory limit on growth in local government spending, appropriations or general revenue (e.g., Arizona's expenditure limit, Colorado's TABOR) covering major local governments. Partial = covers only some localities or purposes, is enforced only through loss of state aid, or exists only in local charters. A balanced-budget requirement does not count.</t>
        </is>
      </c>
    </row>
    <row r="5" ht="64" customHeight="1">
      <c r="A5" s="13" t="inlineStr">
        <is>
          <t>Local property tax levy limit</t>
        </is>
      </c>
      <c r="B5" s="4" t="inlineStr">
        <is>
          <t>Yes = a cap on year-over-year growth in property tax revenue (the levy) for major local governments, such as Massachusetts' Proposition 2½ or Arizona's 2% primary levy limit, even if voters can override it. Partial = covers only some kinds of local government, applies only after reassessment, or can be exceeded by a governing-body vote alone.</t>
        </is>
      </c>
    </row>
    <row r="6" ht="64" customHeight="1">
      <c r="A6" s="13" t="inlineStr">
        <is>
          <t>Property tax assessment caps</t>
        </is>
      </c>
      <c r="B6" s="4" t="inlineStr">
        <is>
          <t>Yes = a statewide limit on annual growth in a property's taxable or assessed value covering at least owner-occupied homes. Partial = temporary, limited to some classes or places, or adopted only by local option. Each cell lists the exclusions (sales, new construction, improvements, reclassification and similar resets).</t>
        </is>
      </c>
    </row>
    <row r="7" ht="49" customHeight="1">
      <c r="A7" s="13" t="inlineStr">
        <is>
          <t>Property tax rate limits</t>
        </is>
      </c>
      <c r="B7" s="4" t="inlineStr">
        <is>
          <t>Yes = constitutional or statutory maximum tax rates (mills, dollars per $100 or $1,000 of value, or overall caps on a property's total bill) for major levies. Each cell gives the specific rates. Partial = only some levies, jurisdictions or property classes.</t>
        </is>
      </c>
    </row>
    <row r="8" ht="64" customHeight="1">
      <c r="A8" s="13" t="inlineStr">
        <is>
          <t>School districts covered?</t>
        </is>
      </c>
      <c r="B8" s="4" t="inlineStr">
        <is>
          <t>Yes = school district levies are subject to the state's limits. Partial = some limits reach school taxes and others exclude them. No = school taxes sit outside the limits. Many states exempt school levies, bond levies or voter-approved overrides, so this column flags where the biggest share of most tax bills escapes the caps.</t>
        </is>
      </c>
    </row>
    <row r="9" ht="49" customHeight="1">
      <c r="A9" s="13" t="inlineStr">
        <is>
          <t>A statewide property tax</t>
        </is>
      </c>
      <c r="B9" s="4" t="inlineStr">
        <is>
          <t>Yes = the state levies its own property tax. Each cell says whether it is an additional tax or a state-set levy that substitutes for or funds local schools, and where the money goes. Partial = narrow (one industry or class) or a state-required local levy.</t>
        </is>
      </c>
    </row>
    <row r="10" ht="79" customHeight="1">
      <c r="A10" s="13" t="inlineStr">
        <is>
          <t>Homestead Exemption</t>
        </is>
      </c>
      <c r="B10" s="4" t="inlineStr">
        <is>
          <t>Yes = a statewide exemption or reduction in the taxable value of owner-occupied homes, either for all homeowners or for a broad class such as seniors or disabled owners (income limits allowed). Partial = only narrow groups (such as veterans or the blind), only local-option programs, a flat deduction from the bill, or only a classification or rate difference. No = none. Creditor and bankruptcy "homestead" protections, which the original matrix cited for most states, do not reduce property taxes and are excluded.</t>
        </is>
      </c>
    </row>
    <row r="11" ht="64" customHeight="1">
      <c r="A11" s="13" t="inlineStr">
        <is>
          <t>Property tax credits, circuit breakers &amp; rebates</t>
        </is>
      </c>
      <c r="B11" s="4" t="inlineStr">
        <is>
          <t>Relief paid as a credit, refund, rebate, freeze or deferral, separate from exemptions. Includes income tax credits for property tax and renter credits. Yes = a state-funded credit, refund, rebate, freeze or circuit breaker for homeowners. Partial = only deferral or postponement, or a small or narrow credit. No = none.</t>
        </is>
      </c>
    </row>
    <row r="12" ht="64" customHeight="1">
      <c r="A12" s="13" t="inlineStr">
        <is>
          <t>State subsidies to local governments</t>
        </is>
      </c>
      <c r="B12" s="4" t="inlineStr">
        <is>
          <t>State money paid to local governments, or on taxpayers' behalf, to reduce or replace local property taxes: school tax compression, homestead credit reimbursements, cap backfills and similar programs. Each cell names the mechanism and the amount where available. Subsidies can lower bills without restraining local spending.</t>
        </is>
      </c>
    </row>
    <row r="13" ht="79" customHeight="1">
      <c r="A13" s="13" t="inlineStr">
        <is>
          <t>Truth-in-taxation laws</t>
        </is>
      </c>
      <c r="B13" s="4" t="inlineStr">
        <is>
          <t>Yes = the law has at least two of three key requirements: a revenue-neutral (rollback) rate calculation, mailed parcel-specific notices and a governing-body vote to exceed the rollback rate. Partial = one or none of the three but some notice-and-hearing rule tied to tax increases, or a rule limited to reassessment years. No = ordinary budget or ballot notices only. See the Truth-in-Taxation sheet for measured outcomes.</t>
        </is>
      </c>
    </row>
    <row r="14" ht="79" customHeight="1">
      <c r="A14" s="13" t="inlineStr">
        <is>
          <t>Property tax rollback protections</t>
        </is>
      </c>
      <c r="B14" s="4" t="inlineStr">
        <is>
          <t>Yes = an automatic rate reduction by formula, or a certified / no-new-revenue rate that limits revenue gains from reassessment unless the governing body (after notice and hearing) or voters approve more. Partial = disclosure only, limited mechanics, or a dollar levy cap that lowers rates only as a by-product (those caps are credited under the levy limit column). Farmland-conversion "rollback taxes" are a penalty on owners and do not count.</t>
        </is>
      </c>
    </row>
    <row r="15" ht="64" customHeight="1">
      <c r="A15" s="13" t="inlineStr">
        <is>
          <t>Supermajority requirement</t>
        </is>
      </c>
      <c r="B15" s="4" t="inlineStr">
        <is>
          <t>Yes = a local tax increase, or an override of a limit, needs more than a simple majority of voters or of the governing body; the cell gives the threshold (e.g., two-thirds of voters, 60% of the board). Partial = applies only to some taxes or bodies. State legislative supermajorities are noted where relevant but do not count.</t>
        </is>
      </c>
    </row>
    <row r="16" ht="34" customHeight="1">
      <c r="A16" s="13" t="inlineStr">
        <is>
          <t>November-ballot requirement</t>
        </is>
      </c>
      <c r="B16" s="4" t="inlineStr">
        <is>
          <t>Yes = state law requires major local tax referenda to be held at November general elections. Partial = covers only some taxes, or allows a short list of other fixed dates.</t>
        </is>
      </c>
    </row>
    <row r="17" ht="34" customHeight="1">
      <c r="A17" s="13" t="inlineStr">
        <is>
          <t>Statewide restrictions on use of property tax dollars</t>
        </is>
      </c>
      <c r="B17" s="4" t="inlineStr">
        <is>
          <t>Yes = state law limits what property tax revenue may fund (purpose-specific levies, core-service restrictions, earmarks). Partial = only some levies are dedicated.</t>
        </is>
      </c>
    </row>
    <row r="18" ht="49" customHeight="1">
      <c r="A18" s="13" t="inlineStr">
        <is>
          <t>Jurisdictions with property taxing authority</t>
        </is>
      </c>
      <c r="B18" s="4" t="inlineStr">
        <is>
          <t>Types of local government that can levy a property tax, with counts from the U.S. Census Bureau's 2022 Census of Governments. Special districts are counted by Census function; many of them (housing authorities, for example) levy no property tax, and cells say so where known.</t>
        </is>
      </c>
    </row>
    <row r="19" ht="64" customHeight="1">
      <c r="A19" s="13" t="inlineStr">
        <is>
          <t>Loopholes, workarounds &amp; has it worked?</t>
        </is>
      </c>
      <c r="B19" s="4" t="inlineStr">
        <is>
          <t>An evaluation of results: documented workarounds (overrides, carve-outs, special districts, TIF, fees), whether limits pushed revenue toward sales taxes, income taxes or fees, and the evidence. Revenue-mix figures come from Census FY2022 state and local government finance data (property tax share of local taxes; charges as a share of local own-source revenue).</t>
        </is>
      </c>
    </row>
    <row r="20" ht="34" customHeight="1">
      <c r="A20" s="13" t="inlineStr">
        <is>
          <t>Recent reform efforts (2020–2026)</t>
        </is>
      </c>
      <c r="B20" s="4" t="inlineStr">
        <is>
          <t>Enacted, failed and pending measures from 2020 through 2026, including measures on the Nov. 3, 2026 ballot, which are pending as of the research date.</t>
        </is>
      </c>
    </row>
    <row r="21" ht="64" customHeight="1">
      <c r="A21" s="13" t="inlineStr">
        <is>
          <t>Tax Foundation rank</t>
        </is>
      </c>
      <c r="B21" s="4" t="inlineStr">
        <is>
          <t>Tax Foundation, Property Taxes by State and County, 2026: each state's effective property tax rate on owner-occupied homes and its rank among the 50 states, with 1 the lowest rate. The rate is the total real estate taxes homeowners report paying divided by the total value they report for their homes, from Census Bureau American Community Survey five-year estimates (the 2026 edition uses the 2020–2024 survey).</t>
        </is>
      </c>
    </row>
    <row r="22" ht="94" customHeight="1">
      <c r="A22" s="13" t="inlineStr">
        <is>
          <t>Effective rate, 2010–2024</t>
        </is>
      </c>
      <c r="B22" s="4" t="inlineStr">
        <is>
          <t>The same calculation for every year from 2010 to 2024: Census Bureau American Community Survey five-year estimates, aggregate real estate taxes paid (table B25090) divided by aggregate home value (table B25082) for owner-occupied homes. Each year is the five-year survey ending that year, so 2024 means 2020–2024 and 2010 means 2006–2010. The calculation reproduces every Tax Foundation 2026-edition rate for 2023 and 2024 to two decimals. The Census Bureau publishes these tables from the 2006–2010 survey onward, so the series starts in 2010. Change is in percentage points: 0.58% to 0.48% is −0.10 points.</t>
        </is>
      </c>
    </row>
    <row r="23" ht="34" customHeight="1">
      <c r="A23" s="13" t="inlineStr">
        <is>
          <t>Research date and caveat</t>
        </is>
      </c>
      <c r="B23" s="4" t="inlineStr">
        <is>
          <t>Research current as of October 8, 2026. Laws change often; Nov. 3, 2026 ballot measures are listed as pending. This is a policy research matrix and does not constitute legal advice.</t>
        </is>
      </c>
    </row>
    <row r="24" ht="79" customHeight="1">
      <c r="A24" s="13" t="inlineStr">
        <is>
          <t>Core sources</t>
        </is>
      </c>
      <c r="B24" s="4" t="inlineStr">
        <is>
          <t>State constitutions, statutes, enrolled bills, ballot pamphlets and state agency documents cited in each cell. Cross-state references: Tax Foundation (Property Tax Limitation Regimes primer; 2026 State Tax Competitiveness Index; 2026 sales tax rates; 2026 ballot measure tracker); U.S. Census Bureau (2022 Census of Governments; Annual Survey of State and Local Government Finances, FY2002–FY2024; American Community Survey).</t>
        </is>
      </c>
    </row>
    <row r="25" ht="30" customHeight="1">
      <c r="A25" s="13" t="inlineStr">
        <is>
          <t>Tax Foundation: limitation regimes primer</t>
        </is>
      </c>
      <c r="B25" s="4" t="inlineStr">
        <is>
          <t>https://taxfoundation.org/research/all/state/property-tax-limitation-regimes-primer/</t>
        </is>
      </c>
    </row>
    <row r="26" ht="30" customHeight="1">
      <c r="A26" s="13" t="inlineStr">
        <is>
          <t>Census of Governments 2022</t>
        </is>
      </c>
      <c r="B26" s="4" t="inlineStr">
        <is>
          <t>https://www.census.gov/data/tables/2022/econ/gus/2022-governments.html</t>
        </is>
      </c>
    </row>
    <row r="27" ht="30" customHeight="1">
      <c r="A27" s="13" t="inlineStr">
        <is>
          <t>Census state &amp; local finances FY2022</t>
        </is>
      </c>
      <c r="B27" s="4" t="inlineStr">
        <is>
          <t>https://www2.census.gov/programs-surveys/gov-finances/tables/2022/22slsstab1.xlsx</t>
        </is>
      </c>
    </row>
    <row r="28" ht="64" customHeight="1">
      <c r="A28" s="13" t="inlineStr">
        <is>
          <t>Truth-in-Taxation sheet</t>
        </is>
      </c>
      <c r="B28" s="4" t="inlineStr">
        <is>
          <t>One row per state: the truth-in-taxation and rollback status from the matrix, how the procedure works, and measured outcomes where a state agency or credible analysis reports how often governments exceed the rollback rate or how much more they raise. Blank outcome cells mean no statewide outcome data was located.</t>
        </is>
      </c>
    </row>
    <row r="29" ht="124" customHeight="1">
      <c r="A29" s="13" t="inlineStr">
        <is>
          <t>Analyses sheet</t>
        </is>
      </c>
      <c r="B29" s="4" t="inlineStr">
        <is>
          <t>One row per free-market or conservative item, with a clickable title. Kind: "Analysis" (summarized in the matrix's analyses column), "Cited elsewhere in the matrix" (a group's page used as a source for another column; the summary is the matrix sentence that cites it) or "Checked: no report since 2021". Level: State group (State Policy Network groups, taxpayer associations, Americans for Prosperity chapters), National group (Tax Foundation, ALEC, Americans for Tax Reform, Reason, Cato and others), Local group (county and city taxpayer committees) or Legislators &amp; officials (Republican caucuses, leaders and elected officials). Sort date is year-month-day, with 00 where the day or month is unknown. Use the filter arrows to narrow by state, level or group.</t>
        </is>
      </c>
    </row>
    <row r="30" ht="79" customHeight="1">
      <c r="A30" s="13" t="inlineStr">
        <is>
          <t>Sources sheet</t>
        </is>
      </c>
      <c r="B30" s="4" t="inlineStr">
        <is>
          <t>Every source URL in the matrix, one row per state and URL, with a clickable title taken from the page itself (or built from the URL when the page blocks automated reading) and a type: Constitution &amp; statutes, Bills &amp; legislative documents, State government, Local government, Federal government &amp; data, Courts &amp; legal codes, Ballot information, Research &amp; associations, News, or Free-market groups &amp; GOP caucuses. "Also cited for" lists other states that cite the same page.</t>
        </is>
      </c>
    </row>
    <row r="31" ht="94" customHeight="1">
      <c r="A31" s="13" t="inlineStr">
        <is>
          <t>Has it worked? verdict</t>
        </is>
      </c>
      <c r="B31" s="4" t="inlineStr">
        <is>
          <t>Failure means the limits did not stop property taxes from outgrowing inflation. The test is property tax per person: all property tax collected in the state by the state and every local government, divided by residents, after inflation, from FY2002 to FY2024 (Census Bureau; BLS CPI-U). Worked: up 5% or less. Partly: up more than 5% but less than the U.S. (+25.9%). Failed: up as much as the U.S. or more. The verdict is followed by why the limits leak and how localities get around them; the full record of loopholes follows.</t>
        </is>
      </c>
    </row>
    <row r="32">
      <c r="A32" s="4" t="n"/>
      <c r="B32" s="4" t="n"/>
    </row>
    <row r="33">
      <c r="A33" s="4" t="n"/>
      <c r="B33" s="4" t="n"/>
    </row>
    <row r="34">
      <c r="A34" s="4" t="n"/>
      <c r="B34" s="4" t="n"/>
    </row>
    <row r="35">
      <c r="A35" s="4" t="n"/>
      <c r="B35" s="4" t="n"/>
    </row>
    <row r="36">
      <c r="A36" s="4" t="n"/>
      <c r="B36" s="4" t="n"/>
    </row>
    <row r="37">
      <c r="A37" s="4" t="n"/>
      <c r="B37" s="4" t="n"/>
    </row>
    <row r="38">
      <c r="A38" s="4" t="n"/>
      <c r="B38" s="4" t="n"/>
    </row>
    <row r="39">
      <c r="A39" s="4" t="n"/>
      <c r="B39" s="4" t="n"/>
    </row>
    <row r="40">
      <c r="A40" s="4" t="n"/>
      <c r="B40" s="4" t="n"/>
    </row>
    <row r="41">
      <c r="A41" s="4" t="n"/>
      <c r="B41" s="4" t="n"/>
    </row>
    <row r="42">
      <c r="A42" s="4" t="n"/>
      <c r="B42" s="4" t="n"/>
    </row>
    <row r="43">
      <c r="A43" s="4" t="n"/>
      <c r="B43" s="4" t="n"/>
    </row>
    <row r="44">
      <c r="A44" s="4" t="n"/>
      <c r="B44" s="4" t="n"/>
    </row>
    <row r="45">
      <c r="A45" s="4" t="n"/>
      <c r="B45" s="4" t="n"/>
    </row>
    <row r="46">
      <c r="A46" s="4" t="n"/>
      <c r="B46" s="4" t="n"/>
    </row>
    <row r="47">
      <c r="A47" s="4" t="n"/>
      <c r="B47" s="4" t="n"/>
    </row>
    <row r="48">
      <c r="A48" s="4" t="n"/>
      <c r="B48" s="4" t="n"/>
    </row>
    <row r="49">
      <c r="A49" s="4" t="n"/>
      <c r="B49" s="4" t="n"/>
    </row>
    <row r="50">
      <c r="A50" s="4" t="n"/>
      <c r="B50" s="4" t="n"/>
    </row>
    <row r="51">
      <c r="A51" s="4" t="n"/>
      <c r="B51" s="4" t="n"/>
    </row>
    <row r="52">
      <c r="A52" s="4" t="n"/>
      <c r="B52" s="4" t="n"/>
    </row>
    <row r="53">
      <c r="A53" s="4" t="n"/>
      <c r="B53" s="4" t="n"/>
    </row>
    <row r="54">
      <c r="A54" s="4" t="n"/>
      <c r="B54" s="4" t="n"/>
    </row>
    <row r="55">
      <c r="A55" s="4" t="n"/>
      <c r="B55" s="4" t="n"/>
    </row>
    <row r="56">
      <c r="A56" s="4" t="n"/>
      <c r="B56" s="4" t="n"/>
    </row>
    <row r="57">
      <c r="A57" s="4" t="n"/>
      <c r="B57" s="4" t="n"/>
    </row>
    <row r="58">
      <c r="A58" s="4" t="n"/>
      <c r="B58" s="4" t="n"/>
    </row>
    <row r="59">
      <c r="A59" s="4" t="n"/>
      <c r="B59" s="4" t="n"/>
    </row>
    <row r="60">
      <c r="A60" s="4" t="n"/>
      <c r="B60" s="4"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60"/>
  <sheetViews>
    <sheetView zoomScaleNormal="100" zoomScaleSheetLayoutView="100" workbookViewId="0">
      <selection activeCell="A1" sqref="A1"/>
    </sheetView>
  </sheetViews>
  <sheetFormatPr baseColWidth="8" defaultColWidth="8.875" defaultRowHeight="14.1"/>
  <cols>
    <col width="62" customWidth="1" min="1" max="4"/>
    <col width="14" customWidth="1" min="2" max="2"/>
    <col width="14" customWidth="1" min="3" max="3"/>
    <col width="14" customWidth="1" min="4" max="4"/>
    <col width="14" customWidth="1" min="5" max="5"/>
  </cols>
  <sheetData>
    <row r="1" ht="16.5" customHeight="1">
      <c r="A1" s="3" t="inlineStr">
        <is>
          <t>Provision (50 states)</t>
        </is>
      </c>
      <c r="B1" s="3" t="inlineStr">
        <is>
          <t>Yes</t>
        </is>
      </c>
      <c r="C1" s="3" t="inlineStr">
        <is>
          <t>Partial</t>
        </is>
      </c>
      <c r="D1" s="3" t="inlineStr">
        <is>
          <t>No</t>
        </is>
      </c>
      <c r="E1" s="3" t="inlineStr">
        <is>
          <t>Not yet revised</t>
        </is>
      </c>
      <c r="F1" s="4" t="n"/>
      <c r="G1" s="4" t="n"/>
      <c r="H1" s="4" t="n"/>
    </row>
    <row r="2" ht="15" customHeight="1">
      <c r="A2" s="4" t="inlineStr">
        <is>
          <t>Local spending limit (budgets, appropriations or general revenue)</t>
        </is>
      </c>
      <c r="B2" s="4">
        <f>SUMPRODUCT((LEFT('50-state matrix'!$D$2:$D$51,3)="Yes")*(LEFT('50-state matrix'!$W$2:$W$51,7)&lt;&gt;"PENDING"))</f>
        <v/>
      </c>
      <c r="C2" s="4">
        <f>SUMPRODUCT((LEFT('50-state matrix'!$D$2:$D$51,7)="Partial")*(LEFT('50-state matrix'!$W$2:$W$51,7)&lt;&gt;"PENDING"))</f>
        <v/>
      </c>
      <c r="D2" s="4">
        <f>SUMPRODUCT((LEFT('50-state matrix'!$D$2:$D$51,2)="No")*(LEFT('50-state matrix'!$W$2:$W$51,7)&lt;&gt;"PENDING"))</f>
        <v/>
      </c>
      <c r="E2" s="4">
        <f>SUMPRODUCT(--(LEFT('50-state matrix'!$W$2:$W$51,7)="PENDING"))</f>
        <v/>
      </c>
      <c r="F2" s="4" t="n"/>
      <c r="G2" s="4" t="n"/>
      <c r="H2" s="4" t="n"/>
    </row>
    <row r="3" ht="15" customHeight="1">
      <c r="A3" s="4" t="inlineStr">
        <is>
          <t>Local property tax levy limit (cap on property tax revenue growth)</t>
        </is>
      </c>
      <c r="B3" s="4">
        <f>SUMPRODUCT((LEFT('50-state matrix'!$E$2:$E$51,3)="Yes")*(LEFT('50-state matrix'!$W$2:$W$51,7)&lt;&gt;"PENDING"))</f>
        <v/>
      </c>
      <c r="C3" s="4">
        <f>SUMPRODUCT((LEFT('50-state matrix'!$E$2:$E$51,7)="Partial")*(LEFT('50-state matrix'!$W$2:$W$51,7)&lt;&gt;"PENDING"))</f>
        <v/>
      </c>
      <c r="D3" s="4">
        <f>SUMPRODUCT((LEFT('50-state matrix'!$E$2:$E$51,2)="No")*(LEFT('50-state matrix'!$W$2:$W$51,7)&lt;&gt;"PENDING"))</f>
        <v/>
      </c>
      <c r="E3" s="4">
        <f>SUMPRODUCT(--(LEFT('50-state matrix'!$W$2:$W$51,7)="PENDING"))</f>
        <v/>
      </c>
      <c r="F3" s="4" t="n"/>
      <c r="G3" s="4" t="n"/>
      <c r="H3" s="4" t="n"/>
    </row>
    <row r="4" ht="15" customHeight="1">
      <c r="A4" s="4" t="inlineStr">
        <is>
          <t>Property tax assessment caps (with all exclusions)</t>
        </is>
      </c>
      <c r="B4" s="4">
        <f>SUMPRODUCT((LEFT('50-state matrix'!$F$2:$F$51,3)="Yes")*(LEFT('50-state matrix'!$W$2:$W$51,7)&lt;&gt;"PENDING"))</f>
        <v/>
      </c>
      <c r="C4" s="4">
        <f>SUMPRODUCT((LEFT('50-state matrix'!$F$2:$F$51,7)="Partial")*(LEFT('50-state matrix'!$W$2:$W$51,7)&lt;&gt;"PENDING"))</f>
        <v/>
      </c>
      <c r="D4" s="4">
        <f>SUMPRODUCT((LEFT('50-state matrix'!$F$2:$F$51,2)="No")*(LEFT('50-state matrix'!$W$2:$W$51,7)&lt;&gt;"PENDING"))</f>
        <v/>
      </c>
      <c r="E4" s="4">
        <f>SUMPRODUCT(--(LEFT('50-state matrix'!$W$2:$W$51,7)="PENDING"))</f>
        <v/>
      </c>
      <c r="F4" s="4" t="n"/>
      <c r="G4" s="4" t="n"/>
      <c r="H4" s="4" t="n"/>
    </row>
    <row r="5" ht="15" customHeight="1">
      <c r="A5" s="4" t="inlineStr">
        <is>
          <t>Property tax rate limits (specific rates)</t>
        </is>
      </c>
      <c r="B5" s="4">
        <f>SUMPRODUCT((LEFT('50-state matrix'!$G$2:$G$51,3)="Yes")*(LEFT('50-state matrix'!$W$2:$W$51,7)&lt;&gt;"PENDING"))</f>
        <v/>
      </c>
      <c r="C5" s="4">
        <f>SUMPRODUCT((LEFT('50-state matrix'!$G$2:$G$51,7)="Partial")*(LEFT('50-state matrix'!$W$2:$W$51,7)&lt;&gt;"PENDING"))</f>
        <v/>
      </c>
      <c r="D5" s="4">
        <f>SUMPRODUCT((LEFT('50-state matrix'!$G$2:$G$51,2)="No")*(LEFT('50-state matrix'!$W$2:$W$51,7)&lt;&gt;"PENDING"))</f>
        <v/>
      </c>
      <c r="E5" s="4">
        <f>SUMPRODUCT(--(LEFT('50-state matrix'!$W$2:$W$51,7)="PENDING"))</f>
        <v/>
      </c>
      <c r="F5" s="4" t="n"/>
      <c r="G5" s="4" t="n"/>
      <c r="H5" s="4" t="n"/>
    </row>
    <row r="6" ht="15" customHeight="1">
      <c r="A6" s="4" t="inlineStr">
        <is>
          <t>School districts covered by the limits? (education exclusions)</t>
        </is>
      </c>
      <c r="B6" s="4">
        <f>SUMPRODUCT((LEFT('50-state matrix'!$H$2:$H$51,3)="Yes")*(LEFT('50-state matrix'!$W$2:$W$51,7)&lt;&gt;"PENDING"))</f>
        <v/>
      </c>
      <c r="C6" s="4">
        <f>SUMPRODUCT((LEFT('50-state matrix'!$H$2:$H$51,7)="Partial")*(LEFT('50-state matrix'!$W$2:$W$51,7)&lt;&gt;"PENDING"))</f>
        <v/>
      </c>
      <c r="D6" s="4">
        <f>SUMPRODUCT((LEFT('50-state matrix'!$H$2:$H$51,2)="No")*(LEFT('50-state matrix'!$W$2:$W$51,7)&lt;&gt;"PENDING"))</f>
        <v/>
      </c>
      <c r="E6" s="4">
        <f>SUMPRODUCT(--(LEFT('50-state matrix'!$W$2:$W$51,7)="PENDING"))</f>
        <v/>
      </c>
      <c r="F6" s="4" t="n"/>
      <c r="G6" s="4" t="n"/>
      <c r="H6" s="4" t="n"/>
    </row>
    <row r="7" ht="30" customHeight="1">
      <c r="A7" s="4" t="inlineStr">
        <is>
          <t>A statewide property tax (additional tax or local pass-through?)</t>
        </is>
      </c>
      <c r="B7" s="4">
        <f>SUMPRODUCT((LEFT('50-state matrix'!$I$2:$I$51,3)="Yes")*(LEFT('50-state matrix'!$W$2:$W$51,7)&lt;&gt;"PENDING"))</f>
        <v/>
      </c>
      <c r="C7" s="4">
        <f>SUMPRODUCT((LEFT('50-state matrix'!$I$2:$I$51,7)="Partial")*(LEFT('50-state matrix'!$W$2:$W$51,7)&lt;&gt;"PENDING"))</f>
        <v/>
      </c>
      <c r="D7" s="4">
        <f>SUMPRODUCT((LEFT('50-state matrix'!$I$2:$I$51,2)="No")*(LEFT('50-state matrix'!$W$2:$W$51,7)&lt;&gt;"PENDING"))</f>
        <v/>
      </c>
      <c r="E7" s="4">
        <f>SUMPRODUCT(--(LEFT('50-state matrix'!$W$2:$W$51,7)="PENDING"))</f>
        <v/>
      </c>
      <c r="F7" s="4" t="n"/>
      <c r="G7" s="4" t="n"/>
      <c r="H7" s="4" t="n"/>
    </row>
    <row r="8" ht="45" customHeight="1">
      <c r="A8" s="4" t="inlineStr">
        <is>
          <t>Homestead Exemption (property tax)</t>
        </is>
      </c>
      <c r="B8" s="4">
        <f>SUMPRODUCT((LEFT('50-state matrix'!$J$2:$J$51,3)="Yes")*(LEFT('50-state matrix'!$W$2:$W$51,7)&lt;&gt;"PENDING"))</f>
        <v/>
      </c>
      <c r="C8" s="4">
        <f>SUMPRODUCT((LEFT('50-state matrix'!$J$2:$J$51,7)="Partial")*(LEFT('50-state matrix'!$W$2:$W$51,7)&lt;&gt;"PENDING"))</f>
        <v/>
      </c>
      <c r="D8" s="4">
        <f>SUMPRODUCT((LEFT('50-state matrix'!$J$2:$J$51,2)="No")*(LEFT('50-state matrix'!$W$2:$W$51,7)&lt;&gt;"PENDING"))</f>
        <v/>
      </c>
      <c r="E8" s="4">
        <f>SUMPRODUCT(--(LEFT('50-state matrix'!$W$2:$W$51,7)="PENDING"))</f>
        <v/>
      </c>
      <c r="F8" s="4" t="n"/>
      <c r="G8" s="4" t="n"/>
      <c r="H8" s="4" t="n"/>
    </row>
    <row r="9">
      <c r="A9" s="4" t="inlineStr">
        <is>
          <t>Property tax credits, circuit breakers &amp; rebates (separate from homestead exemptions)</t>
        </is>
      </c>
      <c r="B9" s="4">
        <f>SUMPRODUCT((LEFT('50-state matrix'!$K$2:$K$51,3)="Yes")*(LEFT('50-state matrix'!$W$2:$W$51,7)&lt;&gt;"PENDING"))</f>
        <v/>
      </c>
      <c r="C9" s="4">
        <f>SUMPRODUCT((LEFT('50-state matrix'!$K$2:$K$51,7)="Partial")*(LEFT('50-state matrix'!$W$2:$W$51,7)&lt;&gt;"PENDING"))</f>
        <v/>
      </c>
      <c r="D9" s="4">
        <f>SUMPRODUCT((LEFT('50-state matrix'!$K$2:$K$51,2)="No")*(LEFT('50-state matrix'!$W$2:$W$51,7)&lt;&gt;"PENDING"))</f>
        <v/>
      </c>
      <c r="E9" s="4">
        <f>SUMPRODUCT(--(LEFT('50-state matrix'!$W$2:$W$51,7)="PENDING"))</f>
        <v/>
      </c>
      <c r="F9" s="4" t="n"/>
      <c r="G9" s="4" t="n"/>
      <c r="H9" s="4" t="n"/>
    </row>
    <row r="10">
      <c r="A10" s="4" t="inlineStr">
        <is>
          <t>State subsidies to local governments to reduce property taxes (mechanism)</t>
        </is>
      </c>
      <c r="B10" s="4">
        <f>SUMPRODUCT((LEFT('50-state matrix'!$L$2:$L$51,3)="Yes")*(LEFT('50-state matrix'!$W$2:$W$51,7)&lt;&gt;"PENDING"))</f>
        <v/>
      </c>
      <c r="C10" s="4">
        <f>SUMPRODUCT((LEFT('50-state matrix'!$L$2:$L$51,7)="Partial")*(LEFT('50-state matrix'!$W$2:$W$51,7)&lt;&gt;"PENDING"))</f>
        <v/>
      </c>
      <c r="D10" s="4">
        <f>SUMPRODUCT((LEFT('50-state matrix'!$L$2:$L$51,2)="No")*(LEFT('50-state matrix'!$W$2:$W$51,7)&lt;&gt;"PENDING"))</f>
        <v/>
      </c>
      <c r="E10" s="4">
        <f>SUMPRODUCT(--(LEFT('50-state matrix'!$W$2:$W$51,7)="PENDING"))</f>
        <v/>
      </c>
      <c r="F10" s="4" t="n"/>
      <c r="G10" s="4" t="n"/>
      <c r="H10" s="4" t="n"/>
    </row>
    <row r="11">
      <c r="A11" s="4" t="inlineStr">
        <is>
          <t>Truth-in-taxation laws</t>
        </is>
      </c>
      <c r="B11" s="4">
        <f>SUMPRODUCT((LEFT('50-state matrix'!$M$2:$M$51,3)="Yes")*(LEFT('50-state matrix'!$W$2:$W$51,7)&lt;&gt;"PENDING"))</f>
        <v/>
      </c>
      <c r="C11" s="4">
        <f>SUMPRODUCT((LEFT('50-state matrix'!$M$2:$M$51,7)="Partial")*(LEFT('50-state matrix'!$W$2:$W$51,7)&lt;&gt;"PENDING"))</f>
        <v/>
      </c>
      <c r="D11" s="4">
        <f>SUMPRODUCT((LEFT('50-state matrix'!$M$2:$M$51,2)="No")*(LEFT('50-state matrix'!$W$2:$W$51,7)&lt;&gt;"PENDING"))</f>
        <v/>
      </c>
      <c r="E11" s="4">
        <f>SUMPRODUCT(--(LEFT('50-state matrix'!$W$2:$W$51,7)="PENDING"))</f>
        <v/>
      </c>
      <c r="F11" s="4" t="n"/>
      <c r="G11" s="4" t="n"/>
      <c r="H11" s="4" t="n"/>
    </row>
    <row r="12">
      <c r="A12" s="4" t="inlineStr">
        <is>
          <t>Property tax rollback protections</t>
        </is>
      </c>
      <c r="B12" s="4">
        <f>SUMPRODUCT((LEFT('50-state matrix'!$N$2:$N$51,3)="Yes")*(LEFT('50-state matrix'!$W$2:$W$51,7)&lt;&gt;"PENDING"))</f>
        <v/>
      </c>
      <c r="C12" s="4">
        <f>SUMPRODUCT((LEFT('50-state matrix'!$N$2:$N$51,7)="Partial")*(LEFT('50-state matrix'!$W$2:$W$51,7)&lt;&gt;"PENDING"))</f>
        <v/>
      </c>
      <c r="D12" s="4">
        <f>SUMPRODUCT((LEFT('50-state matrix'!$N$2:$N$51,2)="No")*(LEFT('50-state matrix'!$W$2:$W$51,7)&lt;&gt;"PENDING"))</f>
        <v/>
      </c>
      <c r="E12" s="4">
        <f>SUMPRODUCT(--(LEFT('50-state matrix'!$W$2:$W$51,7)="PENDING"))</f>
        <v/>
      </c>
      <c r="F12" s="4" t="n"/>
      <c r="G12" s="4" t="n"/>
      <c r="H12" s="4" t="n"/>
    </row>
    <row r="13">
      <c r="A13" s="4" t="inlineStr">
        <is>
          <t>Supermajority requirement for local tax increases (thresholds)</t>
        </is>
      </c>
      <c r="B13" s="4">
        <f>SUMPRODUCT((LEFT('50-state matrix'!$O$2:$O$51,3)="Yes")*(LEFT('50-state matrix'!$W$2:$W$51,7)&lt;&gt;"PENDING"))</f>
        <v/>
      </c>
      <c r="C13" s="4">
        <f>SUMPRODUCT((LEFT('50-state matrix'!$O$2:$O$51,7)="Partial")*(LEFT('50-state matrix'!$W$2:$W$51,7)&lt;&gt;"PENDING"))</f>
        <v/>
      </c>
      <c r="D13" s="4">
        <f>SUMPRODUCT((LEFT('50-state matrix'!$O$2:$O$51,2)="No")*(LEFT('50-state matrix'!$W$2:$W$51,7)&lt;&gt;"PENDING"))</f>
        <v/>
      </c>
      <c r="E13" s="4">
        <f>SUMPRODUCT(--(LEFT('50-state matrix'!$W$2:$W$51,7)="PENDING"))</f>
        <v/>
      </c>
      <c r="F13" s="4" t="n"/>
      <c r="G13" s="4" t="n"/>
      <c r="H13" s="4" t="n"/>
    </row>
    <row r="14">
      <c r="A14" s="4" t="inlineStr">
        <is>
          <t>November-ballot requirement for local spending/tax increases</t>
        </is>
      </c>
      <c r="B14" s="4">
        <f>SUMPRODUCT((LEFT('50-state matrix'!$P$2:$P$51,3)="Yes")*(LEFT('50-state matrix'!$W$2:$W$51,7)&lt;&gt;"PENDING"))</f>
        <v/>
      </c>
      <c r="C14" s="4">
        <f>SUMPRODUCT((LEFT('50-state matrix'!$P$2:$P$51,7)="Partial")*(LEFT('50-state matrix'!$W$2:$W$51,7)&lt;&gt;"PENDING"))</f>
        <v/>
      </c>
      <c r="D14" s="4">
        <f>SUMPRODUCT((LEFT('50-state matrix'!$P$2:$P$51,2)="No")*(LEFT('50-state matrix'!$W$2:$W$51,7)&lt;&gt;"PENDING"))</f>
        <v/>
      </c>
      <c r="E14" s="4">
        <f>SUMPRODUCT(--(LEFT('50-state matrix'!$W$2:$W$51,7)="PENDING"))</f>
        <v/>
      </c>
      <c r="F14" s="4" t="n"/>
      <c r="G14" s="4" t="n"/>
      <c r="H14" s="4" t="n"/>
    </row>
    <row r="15">
      <c r="A15" s="4" t="inlineStr">
        <is>
          <t>Statewide restrictions on how localities may spend property tax dollars</t>
        </is>
      </c>
      <c r="B15" s="4">
        <f>SUMPRODUCT((LEFT('50-state matrix'!$Q$2:$Q$51,3)="Yes")*(LEFT('50-state matrix'!$W$2:$W$51,7)&lt;&gt;"PENDING"))</f>
        <v/>
      </c>
      <c r="C15" s="4">
        <f>SUMPRODUCT((LEFT('50-state matrix'!$Q$2:$Q$51,7)="Partial")*(LEFT('50-state matrix'!$W$2:$W$51,7)&lt;&gt;"PENDING"))</f>
        <v/>
      </c>
      <c r="D15" s="4">
        <f>SUMPRODUCT((LEFT('50-state matrix'!$Q$2:$Q$51,2)="No")*(LEFT('50-state matrix'!$W$2:$W$51,7)&lt;&gt;"PENDING"))</f>
        <v/>
      </c>
      <c r="E15" s="4">
        <f>SUMPRODUCT(--(LEFT('50-state matrix'!$W$2:$W$51,7)="PENDING"))</f>
        <v/>
      </c>
      <c r="F15" s="4" t="n"/>
      <c r="G15" s="4" t="n"/>
      <c r="H15" s="4" t="n"/>
    </row>
    <row r="16">
      <c r="A16" s="4" t="n"/>
      <c r="B16" s="4" t="n"/>
      <c r="C16" s="4" t="n"/>
      <c r="D16" s="4" t="n"/>
      <c r="E16" s="4" t="n"/>
      <c r="F16" s="4" t="n"/>
      <c r="G16" s="4" t="n"/>
      <c r="H16" s="4" t="n"/>
    </row>
    <row r="17">
      <c r="A17" s="13" t="inlineStr">
        <is>
          <t>Four-regime count (revised states only)</t>
        </is>
      </c>
      <c r="B17" s="4" t="n"/>
      <c r="C17" s="4" t="n"/>
      <c r="D17" s="4" t="n"/>
      <c r="E17" s="4" t="n"/>
      <c r="F17" s="4" t="n"/>
      <c r="G17" s="4" t="n"/>
      <c r="H17" s="4" t="n"/>
    </row>
    <row r="18">
      <c r="A18" s="13" t="inlineStr">
        <is>
          <t>Regimes fully in force (Yes)</t>
        </is>
      </c>
      <c r="B18" s="13" t="inlineStr">
        <is>
          <t>States</t>
        </is>
      </c>
      <c r="C18" s="4" t="n"/>
      <c r="D18" s="4" t="n"/>
      <c r="E18" s="4" t="n"/>
      <c r="F18" s="4" t="n"/>
      <c r="G18" s="4" t="n"/>
      <c r="H18" s="4" t="n"/>
    </row>
    <row r="19">
      <c r="A19" s="4" t="inlineStr">
        <is>
          <t>4 of 4</t>
        </is>
      </c>
      <c r="B19" s="4">
        <f>SUMPRODUCT(--(LEFT('50-state matrix'!$C$2:$C$51,6)="4 of 4"))</f>
        <v/>
      </c>
      <c r="C19" s="4" t="n"/>
      <c r="D19" s="4" t="n"/>
      <c r="E19" s="4" t="n"/>
      <c r="F19" s="4" t="n"/>
      <c r="G19" s="4" t="n"/>
      <c r="H19" s="4" t="n"/>
    </row>
    <row r="20">
      <c r="A20" s="4" t="inlineStr">
        <is>
          <t>3 of 4</t>
        </is>
      </c>
      <c r="B20" s="4">
        <f>SUMPRODUCT(--(LEFT('50-state matrix'!$C$2:$C$51,6)="3 of 4"))</f>
        <v/>
      </c>
      <c r="C20" s="4" t="n"/>
      <c r="D20" s="4" t="n"/>
      <c r="E20" s="4" t="n"/>
      <c r="F20" s="4" t="n"/>
      <c r="G20" s="4" t="n"/>
      <c r="H20" s="4" t="n"/>
    </row>
    <row r="21">
      <c r="A21" s="4" t="inlineStr">
        <is>
          <t>2 of 4</t>
        </is>
      </c>
      <c r="B21" s="4">
        <f>SUMPRODUCT(--(LEFT('50-state matrix'!$C$2:$C$51,6)="2 of 4"))</f>
        <v/>
      </c>
      <c r="C21" s="4" t="n"/>
      <c r="D21" s="4" t="n"/>
      <c r="E21" s="4" t="n"/>
      <c r="F21" s="4" t="n"/>
      <c r="G21" s="4" t="n"/>
      <c r="H21" s="4" t="n"/>
    </row>
    <row r="22">
      <c r="A22" s="4" t="inlineStr">
        <is>
          <t>1 of 4</t>
        </is>
      </c>
      <c r="B22" s="4">
        <f>SUMPRODUCT(--(LEFT('50-state matrix'!$C$2:$C$51,6)="1 of 4"))</f>
        <v/>
      </c>
      <c r="C22" s="4" t="n"/>
      <c r="D22" s="4" t="n"/>
      <c r="E22" s="4" t="n"/>
      <c r="F22" s="4" t="n"/>
      <c r="G22" s="4" t="n"/>
      <c r="H22" s="4" t="n"/>
    </row>
    <row r="23">
      <c r="A23" s="4" t="inlineStr">
        <is>
          <t>0 of 4</t>
        </is>
      </c>
      <c r="B23" s="4">
        <f>SUMPRODUCT(--(LEFT('50-state matrix'!$C$2:$C$51,6)="0 of 4"))</f>
        <v/>
      </c>
      <c r="C23" s="4" t="n"/>
      <c r="D23" s="4" t="n"/>
      <c r="E23" s="4" t="n"/>
      <c r="F23" s="4" t="n"/>
      <c r="G23" s="4" t="n"/>
      <c r="H23" s="4" t="n"/>
    </row>
    <row r="24">
      <c r="A24" s="4" t="n"/>
      <c r="B24" s="4" t="n"/>
      <c r="C24" s="4" t="n"/>
      <c r="D24" s="4" t="n"/>
      <c r="E24" s="4" t="n"/>
      <c r="F24" s="4" t="n"/>
      <c r="G24" s="4" t="n"/>
      <c r="H24" s="4" t="n"/>
    </row>
    <row r="25" ht="32" customHeight="1">
      <c r="A25" s="4" t="inlineStr">
        <is>
          <t>Counts use the first word of each cell (Yes / Partial / No). Rows marked PENDING still hold the original matrix text and are excluded until revised.</t>
        </is>
      </c>
      <c r="F25" s="4" t="n"/>
      <c r="G25" s="4" t="n"/>
      <c r="H25" s="4" t="n"/>
    </row>
    <row r="26">
      <c r="A26" s="4" t="n"/>
      <c r="B26" s="4" t="n"/>
      <c r="C26" s="4" t="n"/>
      <c r="D26" s="4" t="n"/>
      <c r="E26" s="4" t="n"/>
      <c r="F26" s="4" t="n"/>
      <c r="G26" s="4" t="n"/>
      <c r="H26" s="4" t="n"/>
    </row>
    <row r="27">
      <c r="A27" s="4" t="n"/>
      <c r="B27" s="4" t="n"/>
      <c r="C27" s="4" t="n"/>
      <c r="D27" s="4" t="n"/>
      <c r="E27" s="4" t="n"/>
      <c r="F27" s="4" t="n"/>
      <c r="G27" s="4" t="n"/>
      <c r="H27" s="4" t="n"/>
    </row>
    <row r="28">
      <c r="A28" s="4" t="n"/>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row r="41">
      <c r="A41" s="4" t="n"/>
      <c r="B41" s="4" t="n"/>
      <c r="C41" s="4" t="n"/>
      <c r="D41" s="4" t="n"/>
      <c r="E41" s="4" t="n"/>
      <c r="F41" s="4" t="n"/>
      <c r="G41" s="4" t="n"/>
      <c r="H41" s="4" t="n"/>
    </row>
    <row r="42">
      <c r="A42" s="4" t="n"/>
      <c r="B42" s="4" t="n"/>
      <c r="C42" s="4" t="n"/>
      <c r="D42" s="4" t="n"/>
      <c r="E42" s="4" t="n"/>
      <c r="F42" s="4" t="n"/>
      <c r="G42" s="4" t="n"/>
      <c r="H42" s="4" t="n"/>
    </row>
    <row r="43">
      <c r="A43" s="4" t="n"/>
      <c r="B43" s="4" t="n"/>
      <c r="C43" s="4" t="n"/>
      <c r="D43" s="4" t="n"/>
      <c r="E43" s="4" t="n"/>
      <c r="F43" s="4" t="n"/>
      <c r="G43" s="4" t="n"/>
      <c r="H43" s="4" t="n"/>
    </row>
    <row r="44">
      <c r="A44" s="4" t="n"/>
      <c r="B44" s="4" t="n"/>
      <c r="C44" s="4" t="n"/>
      <c r="D44" s="4" t="n"/>
      <c r="E44" s="4" t="n"/>
      <c r="F44" s="4" t="n"/>
      <c r="G44" s="4" t="n"/>
      <c r="H44" s="4" t="n"/>
    </row>
    <row r="45">
      <c r="A45" s="4" t="n"/>
      <c r="B45" s="4" t="n"/>
      <c r="C45" s="4" t="n"/>
      <c r="D45" s="4" t="n"/>
      <c r="E45" s="4" t="n"/>
      <c r="F45" s="4" t="n"/>
      <c r="G45" s="4" t="n"/>
      <c r="H45" s="4" t="n"/>
    </row>
    <row r="46">
      <c r="A46" s="4" t="n"/>
      <c r="B46" s="4" t="n"/>
      <c r="C46" s="4" t="n"/>
      <c r="D46" s="4" t="n"/>
      <c r="E46" s="4" t="n"/>
      <c r="F46" s="4" t="n"/>
      <c r="G46" s="4" t="n"/>
      <c r="H46" s="4" t="n"/>
    </row>
    <row r="47">
      <c r="A47" s="4" t="n"/>
      <c r="B47" s="4" t="n"/>
      <c r="C47" s="4" t="n"/>
      <c r="D47" s="4" t="n"/>
      <c r="E47" s="4" t="n"/>
      <c r="F47" s="4" t="n"/>
      <c r="G47" s="4" t="n"/>
      <c r="H47" s="4" t="n"/>
    </row>
    <row r="48">
      <c r="A48" s="4" t="n"/>
      <c r="B48" s="4" t="n"/>
      <c r="C48" s="4" t="n"/>
      <c r="D48" s="4" t="n"/>
      <c r="E48" s="4" t="n"/>
      <c r="F48" s="4" t="n"/>
      <c r="G48" s="4" t="n"/>
      <c r="H48" s="4" t="n"/>
    </row>
    <row r="49">
      <c r="A49" s="4" t="n"/>
      <c r="B49" s="4" t="n"/>
      <c r="C49" s="4" t="n"/>
      <c r="D49" s="4" t="n"/>
      <c r="E49" s="4" t="n"/>
      <c r="F49" s="4" t="n"/>
      <c r="G49" s="4" t="n"/>
      <c r="H49" s="4" t="n"/>
    </row>
    <row r="50">
      <c r="A50" s="4" t="n"/>
      <c r="B50" s="4" t="n"/>
      <c r="C50" s="4" t="n"/>
      <c r="D50" s="4" t="n"/>
      <c r="E50" s="4" t="n"/>
      <c r="F50" s="4" t="n"/>
      <c r="G50" s="4" t="n"/>
      <c r="H50" s="4" t="n"/>
    </row>
    <row r="51">
      <c r="A51" s="4" t="n"/>
      <c r="B51" s="4" t="n"/>
      <c r="C51" s="4" t="n"/>
      <c r="D51" s="4" t="n"/>
      <c r="E51" s="4" t="n"/>
      <c r="F51" s="4" t="n"/>
      <c r="G51" s="4" t="n"/>
      <c r="H51" s="4" t="n"/>
    </row>
    <row r="52">
      <c r="A52" s="4" t="n"/>
      <c r="B52" s="4" t="n"/>
      <c r="C52" s="4" t="n"/>
      <c r="D52" s="4" t="n"/>
      <c r="E52" s="4" t="n"/>
      <c r="F52" s="4" t="n"/>
      <c r="G52" s="4" t="n"/>
      <c r="H52" s="4" t="n"/>
    </row>
    <row r="53">
      <c r="A53" s="4" t="n"/>
      <c r="B53" s="4" t="n"/>
      <c r="C53" s="4" t="n"/>
      <c r="D53" s="4" t="n"/>
      <c r="E53" s="4" t="n"/>
      <c r="F53" s="4" t="n"/>
      <c r="G53" s="4" t="n"/>
      <c r="H53" s="4" t="n"/>
    </row>
    <row r="54">
      <c r="A54" s="4" t="n"/>
      <c r="B54" s="4" t="n"/>
      <c r="C54" s="4" t="n"/>
      <c r="D54" s="4" t="n"/>
      <c r="E54" s="4" t="n"/>
      <c r="F54" s="4" t="n"/>
      <c r="G54" s="4" t="n"/>
      <c r="H54" s="4" t="n"/>
    </row>
    <row r="55">
      <c r="A55" s="4" t="n"/>
      <c r="B55" s="4" t="n"/>
      <c r="C55" s="4" t="n"/>
      <c r="D55" s="4" t="n"/>
      <c r="E55" s="4" t="n"/>
      <c r="F55" s="4" t="n"/>
      <c r="G55" s="4" t="n"/>
      <c r="H55" s="4" t="n"/>
    </row>
    <row r="56">
      <c r="A56" s="4" t="n"/>
      <c r="B56" s="4" t="n"/>
      <c r="C56" s="4" t="n"/>
      <c r="D56" s="4" t="n"/>
      <c r="E56" s="4" t="n"/>
      <c r="F56" s="4" t="n"/>
      <c r="G56" s="4" t="n"/>
      <c r="H56" s="4" t="n"/>
    </row>
    <row r="57">
      <c r="A57" s="4" t="n"/>
      <c r="B57" s="4" t="n"/>
      <c r="C57" s="4" t="n"/>
      <c r="D57" s="4" t="n"/>
      <c r="E57" s="4" t="n"/>
      <c r="F57" s="4" t="n"/>
      <c r="G57" s="4" t="n"/>
      <c r="H57" s="4" t="n"/>
    </row>
    <row r="58">
      <c r="A58" s="4" t="n"/>
      <c r="B58" s="4" t="n"/>
      <c r="C58" s="4" t="n"/>
      <c r="D58" s="4" t="n"/>
      <c r="E58" s="4" t="n"/>
      <c r="F58" s="4" t="n"/>
      <c r="G58" s="4" t="n"/>
      <c r="H58" s="4" t="n"/>
    </row>
    <row r="59">
      <c r="A59" s="4" t="n"/>
      <c r="B59" s="4" t="n"/>
      <c r="C59" s="4" t="n"/>
      <c r="D59" s="4" t="n"/>
      <c r="E59" s="4" t="n"/>
      <c r="F59" s="4" t="n"/>
      <c r="G59" s="4" t="n"/>
      <c r="H59" s="4" t="n"/>
    </row>
    <row r="60">
      <c r="A60" s="4" t="n"/>
      <c r="B60" s="4" t="n"/>
      <c r="C60" s="4" t="n"/>
      <c r="D60" s="4" t="n"/>
      <c r="E60" s="4" t="n"/>
      <c r="F60" s="4" t="n"/>
      <c r="G60" s="4" t="n"/>
      <c r="H60" s="4" t="n"/>
    </row>
  </sheetData>
  <mergeCells count="1">
    <mergeCell ref="A25:E25"/>
  </mergeCells>
  <conditionalFormatting sqref="B2:B15">
    <cfRule type="dataBar" priority="1">
      <dataBar>
        <cfvo type="num" val="0"/>
        <cfvo type="num" val="50"/>
        <color rgb="FF5B9BD5"/>
      </dataBar>
    </cfRule>
  </conditionalFormatting>
  <conditionalFormatting sqref="C2:C15">
    <cfRule type="dataBar" priority="2">
      <dataBar>
        <cfvo type="num" val="0"/>
        <cfvo type="num" val="50"/>
        <color rgb="FF5B9BD5"/>
      </dataBar>
    </cfRule>
  </conditionalFormatting>
  <conditionalFormatting sqref="D2:D15">
    <cfRule type="dataBar" priority="3">
      <dataBar>
        <cfvo type="num" val="0"/>
        <cfvo type="num" val="50"/>
        <color rgb="FF5B9BD5"/>
      </dataBar>
    </cfRule>
  </conditionalFormatting>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12" customWidth="1" min="3" max="3"/>
    <col width="95" customWidth="1" min="4" max="4"/>
    <col width="70" customWidth="1" min="5" max="5"/>
    <col width="45" customWidth="1" min="6" max="6"/>
  </cols>
  <sheetData>
    <row r="1">
      <c r="A1" s="3" t="inlineStr">
        <is>
          <t>State</t>
        </is>
      </c>
      <c r="B1" s="3" t="inlineStr">
        <is>
          <t>Truth-in-taxation</t>
        </is>
      </c>
      <c r="C1" s="3" t="inlineStr">
        <is>
          <t>Rollback</t>
        </is>
      </c>
      <c r="D1" s="3" t="inlineStr">
        <is>
          <t>How it works (from the matrix)</t>
        </is>
      </c>
      <c r="E1" s="3" t="inlineStr">
        <is>
          <t>Measured outcomes</t>
        </is>
      </c>
      <c r="F1" s="3" t="inlineStr">
        <is>
          <t>Outcome source</t>
        </is>
      </c>
    </row>
    <row r="2" ht="30" customHeight="1">
      <c r="A2" s="13" t="inlineStr">
        <is>
          <t>Alabama</t>
        </is>
      </c>
      <c r="B2" s="4" t="inlineStr">
        <is>
          <t>No</t>
        </is>
      </c>
      <c r="C2" s="4" t="inlineStr">
        <is>
          <t>No</t>
        </is>
      </c>
      <c r="D2" s="4" t="inlineStr"/>
      <c r="E2" s="4" t="inlineStr"/>
      <c r="F2" s="4" t="inlineStr"/>
    </row>
    <row r="3" ht="30" customHeight="1">
      <c r="A3" s="13" t="inlineStr">
        <is>
          <t>Alaska</t>
        </is>
      </c>
      <c r="B3" s="4" t="inlineStr">
        <is>
          <t>No</t>
        </is>
      </c>
      <c r="C3" s="4" t="inlineStr">
        <is>
          <t>No</t>
        </is>
      </c>
      <c r="D3" s="4" t="inlineStr"/>
      <c r="E3" s="4" t="inlineStr"/>
      <c r="F3" s="4" t="inlineStr"/>
    </row>
    <row r="4" ht="156" customHeight="1">
      <c r="A4" s="13" t="inlineStr">
        <is>
          <t>Arizona</t>
        </is>
      </c>
      <c r="B4" s="4" t="inlineStr">
        <is>
          <t>Partial</t>
        </is>
      </c>
      <c r="C4" s="4" t="inlineStr">
        <is>
          <t>Yes</t>
        </is>
      </c>
      <c r="D4" s="4" t="inlineStr">
        <is>
          <t>Counties, cities, towns and community college districts: if the proposed primary levy, excluding new construction, exceeds the prior year's levy, the governing body must publish a "Truth in Taxation Hearing - Notice of Tax Increase" twice in a newspaper (or mail it to all registered voters), issue a press release, hold a hearing, and adopt the increase by roll-call vote. An increase of 15% or more requires a unanimous roll call. A body that skips the procedure may not levy more than last year's amount plus new construction. Schools follow a parallel statute; the Legislature itself must hold a TnT hearing and win 2/3 of each house to set school Qualifying Tax Rates above the "truth in taxation rate."
Coded Partial because Arizona meets one of the three key truth-in-taxation requirements (a rollback rate calculation, mailed parcel-specific notices and a governing-body vote to exceed the rollback rate).
Authority: A.R.S. §42-17107; §15-905.01; §41-1276(E)-(G).</t>
        </is>
      </c>
      <c r="E4" s="4" t="inlineStr"/>
      <c r="F4" s="4" t="inlineStr"/>
    </row>
    <row r="5" ht="30" customHeight="1">
      <c r="A5" s="13" t="inlineStr">
        <is>
          <t>Arkansas</t>
        </is>
      </c>
      <c r="B5" s="4" t="inlineStr">
        <is>
          <t>No</t>
        </is>
      </c>
      <c r="C5" s="4" t="inlineStr">
        <is>
          <t>Yes</t>
        </is>
      </c>
      <c r="D5" s="4" t="inlineStr"/>
      <c r="E5" s="4" t="inlineStr"/>
      <c r="F5" s="4" t="inlineStr"/>
    </row>
    <row r="6" ht="30" customHeight="1">
      <c r="A6" s="13" t="inlineStr">
        <is>
          <t>California</t>
        </is>
      </c>
      <c r="B6" s="4" t="inlineStr">
        <is>
          <t>No</t>
        </is>
      </c>
      <c r="C6" s="4" t="inlineStr">
        <is>
          <t>No</t>
        </is>
      </c>
      <c r="D6" s="4" t="inlineStr"/>
      <c r="E6" s="4" t="inlineStr"/>
      <c r="F6" s="4" t="inlineStr"/>
    </row>
    <row r="7" ht="30" customHeight="1">
      <c r="A7" s="13" t="inlineStr">
        <is>
          <t>Colorado</t>
        </is>
      </c>
      <c r="B7" s="4" t="inlineStr">
        <is>
          <t>No</t>
        </is>
      </c>
      <c r="C7" s="4" t="inlineStr">
        <is>
          <t>Partial</t>
        </is>
      </c>
      <c r="D7" s="4" t="inlineStr"/>
      <c r="E7" s="4" t="inlineStr"/>
      <c r="F7" s="4" t="inlineStr"/>
    </row>
    <row r="8" ht="30" customHeight="1">
      <c r="A8" s="13" t="inlineStr">
        <is>
          <t>Connecticut</t>
        </is>
      </c>
      <c r="B8" s="4" t="inlineStr">
        <is>
          <t>No</t>
        </is>
      </c>
      <c r="C8" s="4" t="inlineStr">
        <is>
          <t>No</t>
        </is>
      </c>
      <c r="D8" s="4" t="inlineStr"/>
      <c r="E8" s="4" t="inlineStr"/>
      <c r="F8" s="4" t="inlineStr"/>
    </row>
    <row r="9" ht="96" customHeight="1">
      <c r="A9" s="13" t="inlineStr">
        <is>
          <t>Delaware</t>
        </is>
      </c>
      <c r="B9" s="4" t="inlineStr">
        <is>
          <t>Yes</t>
        </is>
      </c>
      <c r="C9" s="4" t="inlineStr">
        <is>
          <t>Partial</t>
        </is>
      </c>
      <c r="D9" s="4" t="inlineStr">
        <is>
          <t>After a total reassessment, the county ordinance setting the tax rate must state the percentage by which the rate exceeds the rolled-back rate, and the county must advertise that percentage increase in a newspaper within 15 days. Delaware is the only truth-in-taxation state that requires no public hearing on the levy.
Coded Yes because Delaware meets two of the three key truth-in-taxation requirements (a rollback rate calculation, mailed parcel-specific notices and a governing-body vote to exceed the rollback rate).
Authority: 9 Del. C. §8002(e).</t>
        </is>
      </c>
      <c r="E9" s="4" t="inlineStr">
        <is>
          <t>After the 2025 reassessments, many school boards took some or all of the 10% revenue increase allowed without a referendum; the Legislature then replaced the allowance with a five-year-average growth limit.</t>
        </is>
      </c>
      <c r="F9" s="4" t="inlineStr">
        <is>
          <t>https://www.delawarepublic.org/politics-government/2025-08-08/what-changes-are-on-the-table-for-tax-relief-following-reassessment-turmoil</t>
        </is>
      </c>
    </row>
    <row r="10" ht="156" customHeight="1">
      <c r="A10" s="13" t="inlineStr">
        <is>
          <t>Florida</t>
        </is>
      </c>
      <c r="B10" s="4" t="inlineStr">
        <is>
          <t>Yes</t>
        </is>
      </c>
      <c r="C10" s="4" t="inlineStr">
        <is>
          <t>Yes</t>
        </is>
      </c>
      <c r="D10" s="4" t="inlineStr">
        <is>
          <t>Truth in Millage (TRIM), in place since 1980: the property appraiser mails every owner a parcel-specific notice showing taxes at last year's rate, at the rolled-back rate and at each taxing authority's proposed rate, with hearing dates. Each authority must hold two public hearings (the first item discussed must be the percent increase over the rolled-back rate), and advertise a quarter-page "Notice of Proposed Tax Increase" if its rate exceeds the rolled-back rate. Exceeding the maximum millage requires the supermajorities described under Levy limit.
Results: in 2025, 58 of 67 counties adopted operating millage above the rolled-back rate; statewide, local operating levies rose 7.9% over 2024 and came in $1.44 billion (4.9%) above what rolled-back rates would have raised (Florida Dept. of Revenue).
Authority: Fla. Stat. §§200.065, 200.069.</t>
        </is>
      </c>
      <c r="E10" s="4" t="inlineStr">
        <is>
          <t>2025: 58 of 67 counties adopted operating millage above the rolled-back rate. Operating levies of taxing authorities subject to the maximum millage law came in $1.44 billion (4.9%) above rolled-back rates and 7.9% above 2024.</t>
        </is>
      </c>
      <c r="F10" s="4" t="inlineStr">
        <is>
          <t>https://floridarevenue.com/property/Documents/comp25.pdf</t>
        </is>
      </c>
    </row>
    <row r="11" ht="81" customHeight="1">
      <c r="A11" s="13" t="inlineStr">
        <is>
          <t>Georgia</t>
        </is>
      </c>
      <c r="B11" s="4" t="inlineStr">
        <is>
          <t>Yes</t>
        </is>
      </c>
      <c r="C11" s="4" t="inlineStr">
        <is>
          <t>Yes</t>
        </is>
      </c>
      <c r="D11" s="4" t="inlineStr">
        <is>
          <t>Taxpayer Bill of Rights: each year the governing body computes a rollback rate (the rate that raises last year's revenue from existing property); to adopt a higher rate it must advertise a "Notice of Property Tax Increase" stating the percentage increase and hold three public hearings. Since HB 581, assessment notices show an "estimated rollback rate," and if the adopted rate exceeds it the tax bill must say so.
Authority: O.C.G.A. §48-5-32.1 (enacted 1999; amended by HB 581, 2024).</t>
        </is>
      </c>
      <c r="E11" s="4" t="inlineStr">
        <is>
          <t>The rollback rate is disclosure only, and governments exceed it after hearings. Related evidence: 316 governments, including about two-thirds of school districts, opted out of the 2024 floating homestead exemption.</t>
        </is>
      </c>
      <c r="F11" s="4" t="inlineStr">
        <is>
          <t>https://taxfoundation.org/blog/georgia-property-tax-reform/</t>
        </is>
      </c>
    </row>
    <row r="12" ht="30" customHeight="1">
      <c r="A12" s="13" t="inlineStr">
        <is>
          <t>Hawaii</t>
        </is>
      </c>
      <c r="B12" s="4" t="inlineStr">
        <is>
          <t>No</t>
        </is>
      </c>
      <c r="C12" s="4" t="inlineStr">
        <is>
          <t>No</t>
        </is>
      </c>
      <c r="D12" s="4" t="inlineStr"/>
      <c r="E12" s="4" t="inlineStr"/>
      <c r="F12" s="4" t="inlineStr"/>
    </row>
    <row r="13" ht="30" customHeight="1">
      <c r="A13" s="13" t="inlineStr">
        <is>
          <t>Idaho</t>
        </is>
      </c>
      <c r="B13" s="4" t="inlineStr">
        <is>
          <t>No</t>
        </is>
      </c>
      <c r="C13" s="4" t="inlineStr">
        <is>
          <t>No</t>
        </is>
      </c>
      <c r="D13" s="4" t="inlineStr"/>
      <c r="E13" s="4" t="inlineStr"/>
      <c r="F13" s="4" t="inlineStr"/>
    </row>
    <row r="14" ht="96" customHeight="1">
      <c r="A14" s="13" t="inlineStr">
        <is>
          <t>Illinois</t>
        </is>
      </c>
      <c r="B14" s="4" t="inlineStr">
        <is>
          <t>Partial</t>
        </is>
      </c>
      <c r="C14" s="4" t="inlineStr">
        <is>
          <t>Partial</t>
        </is>
      </c>
      <c r="D14" s="4" t="inlineStr">
        <is>
          <t>Truth in Taxation Law: if a district's proposed aggregate levy exceeds 105% of the prior year's extension, it must publish a notice of proposed property tax increase and hold a public hearing before adopting the levy.
Coded Partial because Illinois meets none of the three key truth-in-taxation requirements (a rollback rate calculation, mailed parcel-specific notices and a governing-body vote to exceed the rollback rate); its hearing is triggered only by a levy above 105% of the prior year.
Authority: 35 ILCS 200/18-55 to 18-100 (1981).</t>
        </is>
      </c>
      <c r="E14" s="4" t="inlineStr"/>
      <c r="F14" s="4" t="inlineStr"/>
    </row>
    <row r="15" ht="30" customHeight="1">
      <c r="A15" s="13" t="inlineStr">
        <is>
          <t>Indiana</t>
        </is>
      </c>
      <c r="B15" s="4" t="inlineStr">
        <is>
          <t>No</t>
        </is>
      </c>
      <c r="C15" s="4" t="inlineStr">
        <is>
          <t>Partial</t>
        </is>
      </c>
      <c r="D15" s="4" t="inlineStr"/>
      <c r="E15" s="4" t="inlineStr"/>
      <c r="F15" s="4" t="inlineStr"/>
    </row>
    <row r="16" ht="126" customHeight="1">
      <c r="A16" s="13" t="inlineStr">
        <is>
          <t>Iowa</t>
        </is>
      </c>
      <c r="B16" s="4" t="inlineStr">
        <is>
          <t>Yes</t>
        </is>
      </c>
      <c r="C16" s="4" t="inlineStr">
        <is>
          <t>Yes</t>
        </is>
      </c>
      <c r="D16" s="4" t="inlineStr">
        <is>
          <t>Each March the county auditor mails every owner a statement (marked "not a tax bill") comparing current city, county and school taxes on the parcel with the proposed amounts, with the percent change and the date of each body's hearing. Each city, county and school district must then hold a separate public hearing on its proposed property tax amount, on or after March 20, before adopting its budget; after the hearing it may lower the amount but cannot raise it. A city or county that misses the March 5 filing deadline is held to the prior year's budget amount. The 2019 law (SF 634) that required a 2/3 governing-body vote for growth above 2% was repealed by HF 718 in 2023.
Authority: Iowa Code §24.2A (HF 718, 2023; amended by SF 2472, 2026); Iowa Code §384.15A (repealed 2023).</t>
        </is>
      </c>
      <c r="E16" s="4" t="inlineStr">
        <is>
          <t>Property taxes rose more than 10% in the two years before the 2026 law; the 2019 rule requiring a two-thirds vote for growth above 2% had been repealed in 2023.</t>
        </is>
      </c>
      <c r="F16" s="4" t="inlineStr">
        <is>
          <t>https://www.thegazette.com/news/state/what-s-in-iowa-s-property-tax-legislation/article_bccdd01a-d59f-48d6-a0eb-dddecf8fc473.html</t>
        </is>
      </c>
    </row>
    <row r="17" ht="186" customHeight="1">
      <c r="A17" s="13" t="inlineStr">
        <is>
          <t>Kansas</t>
        </is>
      </c>
      <c r="B17" s="4" t="inlineStr">
        <is>
          <t>Yes</t>
        </is>
      </c>
      <c r="C17" s="4" t="inlineStr">
        <is>
          <t>Yes</t>
        </is>
      </c>
      <c r="D17" s="4" t="inlineStr">
        <is>
          <t>Revenue neutral rate (RNR), 2021: by June 15 the county clerk calculates for every taxing body the rate that would raise last year's property tax revenue on this year's total assessed value. New construction is included in the base, so even growth from new buildings requires the process. A body that wants to exceed its RNR must: notify the county clerk by July 20; publish notice at least 10 days before a hearing held between Aug. 20 and Sept. 20; and adopt a resolution by majority vote at that hearing. The county clerk mails every taxpayer a combined notice showing, for each taxing body, the tax at the RNR, the proposed tax and the hearing date. A body that skips the process must refund the excess, the county clerk must cut its levy to the RNR, and taxpayers can complain to the Board of Tax Appeals.
Measured results: in the first year (2021) 52.7% of about 3,700 taxing entities stayed at or below the RNR; in the 2025 cycle 62.4% did, while 37.6% exceeded it and 5.9% raised property tax revenue more than 20% (Kansas Policy Institute analysis of Department of Administration RNR reports).
Authority: K.S.A. 79-2988 (SB 13, 2021, as amended).</t>
        </is>
      </c>
      <c r="E17" s="4" t="inlineStr">
        <is>
          <t>Revenue neutral rate (2021): in the first year 52.7% of about 3,700 taxing entities held to the RNR; in 2025, 62.4% did and about 38% exceeded it, 5.9% by more than 20%.</t>
        </is>
      </c>
      <c r="F17" s="4" t="inlineStr">
        <is>
          <t>https://kslegislature.gov/li/b2025_26/committees/ctte_s_assess_tax_1/documents/testimony/20250317_28.pdf</t>
        </is>
      </c>
    </row>
    <row r="18" ht="96" customHeight="1">
      <c r="A18" s="13" t="inlineStr">
        <is>
          <t>Kentucky</t>
        </is>
      </c>
      <c r="B18" s="4" t="inlineStr">
        <is>
          <t>Yes</t>
        </is>
      </c>
      <c r="C18" s="4" t="inlineStr">
        <is>
          <t>Yes</t>
        </is>
      </c>
      <c r="D18" s="4" t="inlineStr">
        <is>
          <t>A taxing body that proposes a rate above its compensating rate must advertise the compensating rate, the proposed rate, the revenue from each and the planned use of new revenue, and hold a public hearing before adopting it. If the adopted rate exceeds the 4% rate, it must publish within 7 days (for school boards, a display ad of at least 12 column inches) that the excess is subject to recall, with the county clerk's contact information for petitions. Kentucky's law dates to 1979.
Authority: KRS 132.027; KRS 160.470(7)-(8).</t>
        </is>
      </c>
      <c r="E18" s="4" t="inlineStr">
        <is>
          <t>The 4% rate has become an annual default: governing bodies can take 4% revenue growth on existing property each year without a vote, and voters can petition to recall only the part above 4%.</t>
        </is>
      </c>
      <c r="F18" s="4" t="inlineStr">
        <is>
          <t>https://apps.legislature.ky.gov/law/Statutes/statute.aspx?id=57653</t>
        </is>
      </c>
    </row>
    <row r="19" ht="96" customHeight="1">
      <c r="A19" s="13" t="inlineStr">
        <is>
          <t>Louisiana</t>
        </is>
      </c>
      <c r="B19" s="4" t="inlineStr">
        <is>
          <t>Partial</t>
        </is>
      </c>
      <c r="C19" s="4" t="inlineStr">
        <is>
          <t>Yes</t>
        </is>
      </c>
      <c r="D19" s="4" t="inlineStr">
        <is>
          <t>Before any roll-forward above the adjusted millage, a taxing body must publish notice twice, at least 30 days before the hearing, in its official journal (and online), stating that it will consider increasing millage without a vote of the people, with estimates of the revenue the increase would raise and how much of the change in taxes it causes. Notice is required only for roll-forwards. Revenue growth from new property and from voted millage triggers no notice.
Authority: La. R.S. 47:1705(B)(2)(c).</t>
        </is>
      </c>
      <c r="E19" s="4" t="inlineStr"/>
      <c r="F19" s="4" t="inlineStr"/>
    </row>
    <row r="20" ht="30" customHeight="1">
      <c r="A20" s="13" t="inlineStr">
        <is>
          <t>Maine</t>
        </is>
      </c>
      <c r="B20" s="4" t="inlineStr">
        <is>
          <t>No</t>
        </is>
      </c>
      <c r="C20" s="4" t="inlineStr">
        <is>
          <t>No</t>
        </is>
      </c>
      <c r="D20" s="4" t="inlineStr"/>
      <c r="E20" s="4" t="inlineStr"/>
      <c r="F20" s="4" t="inlineStr"/>
    </row>
    <row r="21" ht="216" customHeight="1">
      <c r="A21" s="13" t="inlineStr">
        <is>
          <t>Maryland</t>
        </is>
      </c>
      <c r="B21" s="4" t="inlineStr">
        <is>
          <t>Partial</t>
        </is>
      </c>
      <c r="C21" s="4" t="inlineStr">
        <is>
          <t>Partial</t>
        </is>
      </c>
      <c r="D21" s="4" t="inlineStr">
        <is>
          <t>Maryland repealed its truth-in-taxation law in 2023. The 1979 constant yield tax rate law required any county or city whose proposed rate exceeded the constant yield rate (the rate that raises last year's revenue from existing property) to advertise and hold a hearing. SB 114 (Chapter 531 of 2023, effective June 1, 2023) replaced that trigger: notice and a hearing are now required only when a taxing authority proposes to raise its nominal rate above the current year's rate. The notice goes in a newspaper and on the government's website; the hearing must come 7 to 21 days after the notice and by June 17. Rising assessments can raise revenue with no notice at all, though tax bills must show the prior and current county rates and, when rates did not rise, state that any increase comes from a higher assessment. Since June 1, 2025 (HB 133/SB 183), SDAT calculates the constant yield rate only when a taxing authority asks for it.
Coded Partial because Maryland meets none of the three key truth-in-taxation requirements (a rollback rate calculation, mailed parcel-specific notices and a governing-body vote to exceed the rollback rate); Maryland is one of five states that have repealed truth in taxation. A notice-and-hearing rule for rate increases remains.
Authority: Md. Code, Tax-Prop. §2-205; §6-308 (SB 114, Ch. 531, 2023; HB 133/SB 183, Chs. 71-72, 2025).</t>
        </is>
      </c>
      <c r="E21" s="4" t="inlineStr"/>
      <c r="F21" s="4" t="inlineStr"/>
    </row>
    <row r="22" ht="30" customHeight="1">
      <c r="A22" s="13" t="inlineStr">
        <is>
          <t>Massachusetts</t>
        </is>
      </c>
      <c r="B22" s="4" t="inlineStr">
        <is>
          <t>No</t>
        </is>
      </c>
      <c r="C22" s="4" t="inlineStr">
        <is>
          <t>Partial</t>
        </is>
      </c>
      <c r="D22" s="4" t="inlineStr"/>
      <c r="E22" s="4" t="inlineStr"/>
      <c r="F22" s="4" t="inlineStr"/>
    </row>
    <row r="23" ht="171" customHeight="1">
      <c r="A23" s="13" t="inlineStr">
        <is>
          <t>Michigan</t>
        </is>
      </c>
      <c r="B23" s="4" t="inlineStr">
        <is>
          <t>Yes</t>
        </is>
      </c>
      <c r="C23" s="4" t="inlineStr">
        <is>
          <t>Yes</t>
        </is>
      </c>
      <c r="D23" s="4" t="inlineStr">
        <is>
          <t>Truth in taxation (1982): each year the "base tax rate" is computed to raise the same operating revenue from existing property. A governing body that wants to levy above it must publish a newspaper notice headed "notice of a public hearing on increasing property taxes," hold a public hearing and adopt a separate resolution or ordinance; it may then levy up to its Headlee-reduced maximum. Since 1995 a unit may fold this step into its budget ("truth in budgeting"): the budget hearing notice must state in boldface type that the proposed millage "will be a subject of this hearing," and the general appropriations act must set the millage. No parcel-specific notice is mailed.
Coded Yes because Michigan meets two of the three key truth-in-taxation requirements (a rollback rate calculation and a governing-body vote to exceed it; it has no mailed parcel-specific notices). Truth in taxation offers transparency and accountability.
Authority: MCL 211.24e; MCL 141.412 and 141.436 (1995 PA 40-42).</t>
        </is>
      </c>
      <c r="E23" s="4" t="inlineStr"/>
      <c r="F23" s="4" t="inlineStr"/>
    </row>
    <row r="24" ht="216" customHeight="1">
      <c r="A24" s="13" t="inlineStr">
        <is>
          <t>Minnesota</t>
        </is>
      </c>
      <c r="B24" s="4" t="inlineStr">
        <is>
          <t>Partial</t>
        </is>
      </c>
      <c r="C24" s="4" t="inlineStr">
        <is>
          <t>No</t>
        </is>
      </c>
      <c r="D24" s="4" t="inlineStr">
        <is>
          <t>Truth in taxation (current form since 1998): by Sept. 30, cities, counties, school districts and special taxing districts certify a maximum proposed levy (Sept. 15 for the Metropolitan Council). Between Nov. 10 and Nov. 24 the county mails each owner a parcel-specific notice showing the property's market value, the current year's tax and the proposed tax for each body, with a one-page sheet listing the percent change in each county, city and school district levy. Cities over 500, counties, school districts and metropolitan districts must hold a meeting after Nov. 24 (starting at 6 p.m. or later) where the public may speak. The final levy, set in late December (by Dec. 29 for 2026), may not exceed the proposed amount except for listed items such as voter-approved levies, and a body that fails to comply is held to its prior-year levy.
Results: for taxes payable in 2026, final levies came in $75 million below the September maximums.
Coded Partial because Minnesota meets one of the three key truth-in-taxation requirements (a rollback rate calculation, mailed parcel-specific notices and a governing-body vote to exceed the rollback rate); it computes no rollback rate and requires no vote to exceed one.
Authority: Minn. Stat. §275.065 (subd. 3c, a fiscal disparities display rule added in 2024, was repealed in 2025).</t>
        </is>
      </c>
      <c r="E24" s="4" t="inlineStr"/>
      <c r="F24" s="4" t="inlineStr"/>
    </row>
    <row r="25" ht="111" customHeight="1">
      <c r="A25" s="13" t="inlineStr">
        <is>
          <t>Mississippi</t>
        </is>
      </c>
      <c r="B25" s="4" t="inlineStr">
        <is>
          <t>Partial</t>
        </is>
      </c>
      <c r="C25" s="4" t="inlineStr">
        <is>
          <t>Partial</t>
        </is>
      </c>
      <c r="D25" s="4" t="inlineStr">
        <is>
          <t>Every taxing entity must hold a public hearing on its budget for the following year. It may not budget an increase in revenue from existing property (growth from new property excepted) unless it advertises its intent to increase revenue, in a notice meeting statutory size, placement and frequency rules, at the same time it advertises the budget. 
Coded Partial: the notice and hearing apply to budgeted revenue growth, with no rollback rate calculation, parcel notice or separate vote to exceed one.
Authority: Miss. Code §§27-39-203, 27-39-205.</t>
        </is>
      </c>
      <c r="E25" s="4" t="inlineStr"/>
      <c r="F25" s="4" t="inlineStr"/>
    </row>
    <row r="26" ht="111" customHeight="1">
      <c r="A26" s="13" t="inlineStr">
        <is>
          <t>Missouri</t>
        </is>
      </c>
      <c r="B26" s="4" t="inlineStr">
        <is>
          <t>Partial</t>
        </is>
      </c>
      <c r="C26" s="4" t="inlineStr">
        <is>
          <t>Yes</t>
        </is>
      </c>
      <c r="D26" s="4" t="inlineStr">
        <is>
          <t>Before setting rates, each taxing subdivision must hold a public hearing on its proposed rate, and in reassessment years it must disclose the increase in tax revenue that the proposed rate would produce from reassessment, in dollars and as a percentage.
Coded Partial because Missouri meets none of the three key truth-in-taxation requirements (a rollback rate calculation, mailed parcel-specific notices and a governing-body vote to exceed the rollback rate); its disclosure and hearing rules remain.
Authority: RSMo 67.110; RSMo 137.073.</t>
        </is>
      </c>
      <c r="E26" s="4" t="inlineStr"/>
      <c r="F26" s="4" t="inlineStr"/>
    </row>
    <row r="27" ht="30" customHeight="1">
      <c r="A27" s="13" t="inlineStr">
        <is>
          <t>Montana</t>
        </is>
      </c>
      <c r="B27" s="4" t="inlineStr">
        <is>
          <t>No</t>
        </is>
      </c>
      <c r="C27" s="4" t="inlineStr">
        <is>
          <t>Yes</t>
        </is>
      </c>
      <c r="D27" s="4" t="inlineStr"/>
      <c r="E27" s="4" t="inlineStr"/>
      <c r="F27" s="4" t="inlineStr"/>
    </row>
    <row r="28" ht="201" customHeight="1">
      <c r="A28" s="13" t="inlineStr">
        <is>
          <t>Nebraska</t>
        </is>
      </c>
      <c r="B28" s="4" t="inlineStr">
        <is>
          <t>Yes</t>
        </is>
      </c>
      <c r="C28" s="4" t="inlineStr">
        <is>
          <t>Yes</t>
        </is>
      </c>
      <c r="D28" s="4" t="inlineStr">
        <is>
          <t>Current law (through 2026):
- Default rollback: if reassessment would raise a government's taxes at last year's rate, its property tax request is held to last year's amount and the rate falls, unless the governing body holds a special public hearing after published notice (prior and current valuations, the rate that would raise last year's amount, the proposed request and rate) and passes a resolution with a recorded vote.
- Postcard notice (LB 644, 2021): a county, city or school district seeking to raise its request by more than 2% plus real growth must join a countywide joint public hearing held between September 14 and 24 after 6 p.m., and each affected taxpayer receives a postcard listing every participating government's proposed increase.
From January 1, 2027 (LB 803, 2026): the Department of Revenue mails a postcard by June 25 to every owner who received a valuation-change notice; every county, city and school district joins a joint hearing between July 1 and 15; the September postcard process is repealed; and raising the request above last year's requires a two-thirds vote of the governing body (four of seven on seven-member boards).
Authority: Neb. Rev. Stat. §§77-1631 to 77-1633 (LB 644, 2021); 77-1632 as amended and LB 803 §18 (2026).</t>
        </is>
      </c>
      <c r="E28" s="4" t="inlineStr">
        <is>
          <t>Gross levies rose 5.4% in 2025 while taxable value rose 9.6%. LB 803 (2026) adds a two-thirds board vote to exceed the prior year's request from 2027.</t>
        </is>
      </c>
      <c r="F28" s="4" t="inlineStr">
        <is>
          <t>https://revenue.nebraska.gov/sites/default/files/doc/pad/research/annual-reports/2025/annrpt2025%20table%203.pdf</t>
        </is>
      </c>
    </row>
    <row r="29" ht="81" customHeight="1">
      <c r="A29" s="13" t="inlineStr">
        <is>
          <t>Nevada</t>
        </is>
      </c>
      <c r="B29" s="4" t="inlineStr">
        <is>
          <t>Partial</t>
        </is>
      </c>
      <c r="C29" s="4" t="inlineStr">
        <is>
          <t>Partial</t>
        </is>
      </c>
      <c r="D29" s="4" t="inlineStr">
        <is>
          <t>Local budget hearings must disclose proposed tax increases (required since 1985), but the disclosure shows tax increases without a parcel-level comparison of prior-year and current taxes.
Coded Partial because Nevada meets none of the three key truth-in-taxation requirements (a rollback rate calculation, mailed parcel-specific notices and a governing-body vote to exceed the rollback rate); its newspaper notices and hearings remain.</t>
        </is>
      </c>
      <c r="E29" s="4" t="inlineStr"/>
      <c r="F29" s="4" t="inlineStr"/>
    </row>
    <row r="30" ht="30" customHeight="1">
      <c r="A30" s="13" t="inlineStr">
        <is>
          <t>New Hampshire</t>
        </is>
      </c>
      <c r="B30" s="4" t="inlineStr">
        <is>
          <t>No</t>
        </is>
      </c>
      <c r="C30" s="4" t="inlineStr">
        <is>
          <t>No</t>
        </is>
      </c>
      <c r="D30" s="4" t="inlineStr"/>
      <c r="E30" s="4" t="inlineStr"/>
      <c r="F30" s="4" t="inlineStr"/>
    </row>
    <row r="31" ht="30" customHeight="1">
      <c r="A31" s="13" t="inlineStr">
        <is>
          <t>New Jersey</t>
        </is>
      </c>
      <c r="B31" s="4" t="inlineStr">
        <is>
          <t>No</t>
        </is>
      </c>
      <c r="C31" s="4" t="inlineStr">
        <is>
          <t>Partial</t>
        </is>
      </c>
      <c r="D31" s="4" t="inlineStr"/>
      <c r="E31" s="4" t="inlineStr"/>
      <c r="F31" s="4" t="inlineStr"/>
    </row>
    <row r="32" ht="30" customHeight="1">
      <c r="A32" s="13" t="inlineStr">
        <is>
          <t>New Mexico</t>
        </is>
      </c>
      <c r="B32" s="4" t="inlineStr">
        <is>
          <t>No</t>
        </is>
      </c>
      <c r="C32" s="4" t="inlineStr">
        <is>
          <t>Yes</t>
        </is>
      </c>
      <c r="D32" s="4" t="inlineStr"/>
      <c r="E32" s="4" t="inlineStr"/>
      <c r="F32" s="4" t="inlineStr"/>
    </row>
    <row r="33" ht="51" customHeight="1">
      <c r="A33" s="13" t="inlineStr">
        <is>
          <t>New York</t>
        </is>
      </c>
      <c r="B33" s="4" t="inlineStr">
        <is>
          <t>No</t>
        </is>
      </c>
      <c r="C33" s="4" t="inlineStr">
        <is>
          <t>Partial</t>
        </is>
      </c>
      <c r="D33" s="4" t="inlineStr"/>
      <c r="E33" s="4" t="inlineStr">
        <is>
          <t>May 2026: about 25 of 38 school budgets that needed a 60% override passed (66%). For fiscal 2026, 45% of cities, 35.5% of villages and 28.6% of towns planned to override the levy cap.</t>
        </is>
      </c>
      <c r="F33" s="4" t="inlineStr">
        <is>
          <t>https://www.osc.ny.gov/press/releases/2026/08/dinapoli-growing-number-local-governments-reporting-plans-override-property-tax-cap</t>
        </is>
      </c>
    </row>
    <row r="34" ht="171" customHeight="1">
      <c r="A34" s="13" t="inlineStr">
        <is>
          <t>North Carolina</t>
        </is>
      </c>
      <c r="B34" s="4" t="inlineStr">
        <is>
          <t>Partial</t>
        </is>
      </c>
      <c r="C34" s="4" t="inlineStr">
        <is>
          <t>Partial</t>
        </is>
      </c>
      <c r="D34" s="4" t="inlineStr">
        <is>
          <t>In each year a general reappraisal takes effect, each local government's budget officer must include in the proposed budget, "for comparison purposes," the revenue-neutral property tax rate: the rate that would raise the current year's revenue on the new values, increased by the average annual growth in the tax base from improvements since the last reappraisal and adjusted for annexations and similar events. No separate notice, hearing or vote is required to adopt a higher rate. Every unit must publish notice that the proposed budget is available, with the time and place of its one required public hearing, and that notice need not mention the revenue-neutral rate. The board then adopts the budget ordinance and tax levy by a simple majority of members present and voting, and city charter initiative or referendum provisions do not apply to it. 
In 2026 the revenue-neutral rate gained a one-time role: a Hurricane Helene-area county that adopted it (rounded up to the next cent) for 2026-27 was exempt from the reappraisal moratorium.
Authority: N.C. Gen. Stat. §§159-11(e) (S.L. 2003-264), 159-12, 159-17; S.L. 2026-47 §1.</t>
        </is>
      </c>
      <c r="E34" s="4" t="inlineStr"/>
      <c r="F34" s="4" t="inlineStr"/>
    </row>
    <row r="35" ht="171" customHeight="1">
      <c r="A35" s="13" t="inlineStr">
        <is>
          <t>North Dakota</t>
        </is>
      </c>
      <c r="B35" s="4" t="inlineStr">
        <is>
          <t>Partial</t>
        </is>
      </c>
      <c r="C35" s="4" t="inlineStr">
        <is>
          <t>Partial</t>
        </is>
      </c>
      <c r="D35" s="4" t="inlineStr">
        <is>
          <t>Notices and hearings are required, with no rollback or no-new-revenue rate:
- Each taxing district must give the county auditor the date of its budget hearing (no earlier than September 7) by August 10; a district that misses the deadline may not levy more dollars than in the prior year.
- By August 31 the county treasurer sends every owner a notice listing the budget hearing of each taxing district on the parcel and where its budget can be reviewed.
- Assessors send every owner the current and prior-year value before the local board of equalization meets.
- Levies are certified in dollars, and the Tax Commissioner reports each year the levy changes of the 50 largest counties, cities, school districts and park districts.
HB 1176 (2025) removed from the August notice the parcel's prior-year tax and estimated tax by district, the bold "INCREASE" flag and the property's value.
Authority: N.D.C.C. §§57-15-01, 57-15-02.2 (amended by HB 1176, 2025, §21), 57-02-53, 57-20-04.</t>
        </is>
      </c>
      <c r="E35" s="4" t="inlineStr"/>
      <c r="F35" s="4" t="inlineStr"/>
    </row>
    <row r="36" ht="30" customHeight="1">
      <c r="A36" s="13" t="inlineStr">
        <is>
          <t>Ohio</t>
        </is>
      </c>
      <c r="B36" s="4" t="inlineStr">
        <is>
          <t>No</t>
        </is>
      </c>
      <c r="C36" s="4" t="inlineStr">
        <is>
          <t>Yes</t>
        </is>
      </c>
      <c r="D36" s="4" t="inlineStr"/>
      <c r="E36" s="4" t="inlineStr"/>
      <c r="F36" s="4" t="inlineStr"/>
    </row>
    <row r="37" ht="30" customHeight="1">
      <c r="A37" s="13" t="inlineStr">
        <is>
          <t>Oklahoma</t>
        </is>
      </c>
      <c r="B37" s="4" t="inlineStr">
        <is>
          <t>No</t>
        </is>
      </c>
      <c r="C37" s="4" t="inlineStr">
        <is>
          <t>No</t>
        </is>
      </c>
      <c r="D37" s="4" t="inlineStr"/>
      <c r="E37" s="4" t="inlineStr"/>
      <c r="F37" s="4" t="inlineStr"/>
    </row>
    <row r="38" ht="30" customHeight="1">
      <c r="A38" s="13" t="inlineStr">
        <is>
          <t>Oregon</t>
        </is>
      </c>
      <c r="B38" s="4" t="inlineStr">
        <is>
          <t>No</t>
        </is>
      </c>
      <c r="C38" s="4" t="inlineStr">
        <is>
          <t>No</t>
        </is>
      </c>
      <c r="D38" s="4" t="inlineStr"/>
      <c r="E38" s="4" t="inlineStr"/>
      <c r="F38" s="4" t="inlineStr"/>
    </row>
    <row r="39" ht="171" customHeight="1">
      <c r="A39" s="13" t="inlineStr">
        <is>
          <t>Pennsylvania</t>
        </is>
      </c>
      <c r="B39" s="4" t="inlineStr">
        <is>
          <t>Partial</t>
        </is>
      </c>
      <c r="C39" s="4" t="inlineStr">
        <is>
          <t>Yes</t>
        </is>
      </c>
      <c r="D39" s="4" t="inlineStr">
        <is>
          <t>No truth-in-taxation law;  Notice rules:
- School districts must print the preliminary and final budgets, with proposed tax rates, for public inspection 20 days before adoption and give 10 days' notice of adoption; a public hearing is optional. Districts that adopt a resolution to stay within the index follow the Public School Code's budget procedures. A district seeking an exception must publish notice in a newspaper and on its website at least one week before applying, and notice of any Department hearing.
- Boroughs and first class townships may keep or cut a rate by resolution; a rate increase requires an ordinance.
- After a countywide reassessment, taxing districts must roll back rates and take a separate and specific vote to set any higher rate (see Rollback).
Authority: Taxpayer Relief Act §§311, 312, 333(j)(2); 8 Pa.C.S. §1302(a); 73 Pa.C.S. §4908; 53 Pa.C.S. §8823.</t>
        </is>
      </c>
      <c r="E39" s="4" t="inlineStr"/>
      <c r="F39" s="4" t="inlineStr"/>
    </row>
    <row r="40" ht="66" customHeight="1">
      <c r="A40" s="13" t="inlineStr">
        <is>
          <t>Rhode Island</t>
        </is>
      </c>
      <c r="B40" s="4" t="inlineStr">
        <is>
          <t>Partial</t>
        </is>
      </c>
      <c r="C40" s="4" t="inlineStr">
        <is>
          <t>Partial</t>
        </is>
      </c>
      <c r="D40" s="4" t="inlineStr">
        <is>
          <t>Municipal budget disclosure: the proposed change in the levy must be stated as a percentage and the proposed rate change in dollars per $1,000 of value (required since 1979). There is no rollback rate calculation, and the 4% cap does the limiting.
Authority: R.I. Gen. Laws ch. 44-35.</t>
        </is>
      </c>
      <c r="E40" s="4" t="inlineStr"/>
      <c r="F40" s="4" t="inlineStr"/>
    </row>
    <row r="41" ht="30" customHeight="1">
      <c r="A41" s="13" t="inlineStr">
        <is>
          <t>South Carolina</t>
        </is>
      </c>
      <c r="B41" s="4" t="inlineStr">
        <is>
          <t>No</t>
        </is>
      </c>
      <c r="C41" s="4" t="inlineStr">
        <is>
          <t>Yes</t>
        </is>
      </c>
      <c r="D41" s="4" t="inlineStr"/>
      <c r="E41" s="4" t="inlineStr"/>
      <c r="F41" s="4" t="inlineStr"/>
    </row>
    <row r="42" ht="30" customHeight="1">
      <c r="A42" s="13" t="inlineStr">
        <is>
          <t>South Dakota</t>
        </is>
      </c>
      <c r="B42" s="4" t="inlineStr">
        <is>
          <t>No</t>
        </is>
      </c>
      <c r="C42" s="4" t="inlineStr">
        <is>
          <t>Partial</t>
        </is>
      </c>
      <c r="D42" s="4" t="inlineStr"/>
      <c r="E42" s="4" t="inlineStr"/>
      <c r="F42" s="4" t="inlineStr"/>
    </row>
    <row r="43" ht="96" customHeight="1">
      <c r="A43" s="13" t="inlineStr">
        <is>
          <t>Tennessee</t>
        </is>
      </c>
      <c r="B43" s="4" t="inlineStr">
        <is>
          <t>Yes</t>
        </is>
      </c>
      <c r="C43" s="4" t="inlineStr">
        <is>
          <t>Yes</t>
        </is>
      </c>
      <c r="D43" s="4" t="inlineStr">
        <is>
          <t>After each reappraisal the State Board of Equalization certifies a tax rate that would raise the same revenue as the prior year from existing property (new construction excluded). A county or city may exceed it only by a resolution or ordinance adopted after advertising its intent in a newspaper of general circulation and holding a public hearing, with proof of publication sent to the State Board within 30 days. Tennessee's law dates to 1979.
Authority: Tenn. Code Ann. §§67-5-1701, 67-5-1702.</t>
        </is>
      </c>
      <c r="E43" s="4" t="inlineStr"/>
      <c r="F43" s="4" t="inlineStr"/>
    </row>
    <row r="44" ht="126" customHeight="1">
      <c r="A44" s="13" t="inlineStr">
        <is>
          <t>Texas</t>
        </is>
      </c>
      <c r="B44" s="4" t="inlineStr">
        <is>
          <t>Yes</t>
        </is>
      </c>
      <c r="C44" s="4" t="inlineStr">
        <is>
          <t>Yes</t>
        </is>
      </c>
      <c r="D44" s="4" t="inlineStr">
        <is>
          <t>Each taxing unit calculates a no-new-revenue rate (the rate that raises the same revenue from the same properties as last year) and a voter-approval rate, publishes both on its website, mails or publishes notices and holds hearings before adopting a higher rate; rates above the voter-approval rate go automatically to voters. For units other than school districts, adopting any rate above the no-new-revenue rate takes a record vote of at least 60% of the governing body, and the motion must say the property tax rate is being increased; school districts need the same 60% vote above a rate set under the Education Code. A debt rate above the minimum needed must also be approved by at least 60% of the governing body. Texas has had truth in taxation since 1982.
Authority: Tex. Tax Code ch. 26, §26.05(b).</t>
        </is>
      </c>
      <c r="E44" s="4" t="inlineStr">
        <is>
          <t>Statewide levies rose 6.6% ($5.4 billion) in 2024 to $86.8 billion under the no-new-revenue and voter-approval rate system; county levies rose 10.4%.</t>
        </is>
      </c>
      <c r="F44" s="4" t="inlineStr">
        <is>
          <t>https://excellentthought.substack.com/p/property-taxes-up-again-in-2024-despite</t>
        </is>
      </c>
    </row>
    <row r="45" ht="171" customHeight="1">
      <c r="A45" s="13" t="inlineStr">
        <is>
          <t>Utah</t>
        </is>
      </c>
      <c r="B45" s="4" t="inlineStr">
        <is>
          <t>Yes</t>
        </is>
      </c>
      <c r="C45" s="4" t="inlineStr">
        <is>
          <t>Yes</t>
        </is>
      </c>
      <c r="D45" s="4" t="inlineStr">
        <is>
          <t>Each year the county auditor computes a certified tax rate that would raise the same revenue as last year plus new growth. A taxing entity that wants more must give notice (mailed notices with parcel-specific information for calendar-year entities such as counties, plus published notices) and hold a public hearing that begins at or after 6 p.m., on a date with no other general business, before adopting the higher rate. Since SB 29 (2024) and SB 202 (2025), the Tax Commission reviews compliance and must deny any increase that misses a required step; SB 238 (2026) requires entities to send compliance evidence within 7 days of adopting the budget and gives the commission 30 days to act. HB 236 (2026) requires cities, school districts and some special service districts to give the public earlier notice that they may raise property taxes, and to operate on an interim budget until they adopt an increase at a truth-in-taxation meeting (passed House 67-0, Senate 28-0). Utah enacted truth in taxation in 1985 at the request of the Utah Taxpayers Association (ALEC).
Authority: Utah Code §59-2-919; SB 29 (2024); SB 202 (2025); SB 238 (2026); HB 236 (2026).</t>
        </is>
      </c>
      <c r="E45" s="4" t="inlineStr">
        <is>
          <t>2025: the Tax Commission approved increases above the certified rate for 28 entities and denied 35, which had sought $49.87 million, because each missed a required notice or hearing step (SB 202, 2025).</t>
        </is>
      </c>
      <c r="F45" s="4" t="inlineStr">
        <is>
          <t>https://www.deseret.com/utah/2025/10/02/utah-tax-officials-deny-tax-hikes-from-35-cities-school-districts-and-other-entities/</t>
        </is>
      </c>
    </row>
    <row r="46" ht="30" customHeight="1">
      <c r="A46" s="13" t="inlineStr">
        <is>
          <t>Vermont</t>
        </is>
      </c>
      <c r="B46" s="4" t="inlineStr">
        <is>
          <t>No</t>
        </is>
      </c>
      <c r="C46" s="4" t="inlineStr">
        <is>
          <t>No</t>
        </is>
      </c>
      <c r="D46" s="4" t="inlineStr"/>
      <c r="E46" s="4" t="inlineStr"/>
      <c r="F46" s="4" t="inlineStr"/>
    </row>
    <row r="47" ht="156" customHeight="1">
      <c r="A47" s="13" t="inlineStr">
        <is>
          <t>Virginia</t>
        </is>
      </c>
      <c r="B47" s="4" t="inlineStr">
        <is>
          <t>Yes</t>
        </is>
      </c>
      <c r="C47" s="4" t="inlineStr">
        <is>
          <t>Yes</t>
        </is>
      </c>
      <c r="D47" s="4" t="inlineStr">
        <is>
          <t>When an annual or general reassessment would raise total real property tax levies by 1% or more, the county, city or town must lower its rate so levies on existing property are no more than 101% of the prior year's, unless it holds a public hearing, separate from its budget hearing, after publishing notice at least seven days in advance. New construction and special levies are left out of the calculation. After the hearing the governing body may adopt the higher rate by ordinary vote. The notice must run at least seven days before the hearing in a newspaper and at the governing body's building; the newspaper notice must fill at least one-eighth of a page, carry an 18-point headline, run outside the legal notices and state the lowered rate, the proposed rate and the percent difference. Truth in taxation offers transparency and accountability. Virginia has had this rule since 1976 (last amended in 2024); increases under 1% need no disclosure.
Authority: Va. Code §58.1-3321.</t>
        </is>
      </c>
      <c r="E47" s="4" t="inlineStr"/>
      <c r="F47" s="4" t="inlineStr"/>
    </row>
    <row r="48" ht="30" customHeight="1">
      <c r="A48" s="13" t="inlineStr">
        <is>
          <t>Washington</t>
        </is>
      </c>
      <c r="B48" s="4" t="inlineStr">
        <is>
          <t>No</t>
        </is>
      </c>
      <c r="C48" s="4" t="inlineStr">
        <is>
          <t>Partial</t>
        </is>
      </c>
      <c r="D48" s="4" t="inlineStr"/>
      <c r="E48" s="4" t="inlineStr"/>
      <c r="F48" s="4" t="inlineStr"/>
    </row>
    <row r="49" ht="66" customHeight="1">
      <c r="A49" s="13" t="inlineStr">
        <is>
          <t>West Virginia</t>
        </is>
      </c>
      <c r="B49" s="4" t="inlineStr">
        <is>
          <t>Yes</t>
        </is>
      </c>
      <c r="C49" s="4" t="inlineStr">
        <is>
          <t>Yes</t>
        </is>
      </c>
      <c r="D49" s="4" t="inlineStr">
        <is>
          <t>The 101% rollback after appraisal can be exceeded only after a public hearing (it may be held with the budget hearing), and revenue still may not rise more than 10% in a year. West Virginia has had this rule since 1990; increases under 1% need no disclosure.
Authority: W. Va. Code §11-8-6e(c).</t>
        </is>
      </c>
      <c r="E49" s="4" t="inlineStr"/>
      <c r="F49" s="4" t="inlineStr"/>
    </row>
    <row r="50" ht="30" customHeight="1">
      <c r="A50" s="13" t="inlineStr">
        <is>
          <t>Wisconsin</t>
        </is>
      </c>
      <c r="B50" s="4" t="inlineStr">
        <is>
          <t>No</t>
        </is>
      </c>
      <c r="C50" s="4" t="inlineStr">
        <is>
          <t>Partial</t>
        </is>
      </c>
      <c r="D50" s="4" t="inlineStr"/>
      <c r="E50" s="4" t="inlineStr"/>
      <c r="F50" s="4" t="inlineStr"/>
    </row>
    <row r="51" ht="30" customHeight="1">
      <c r="A51" s="13" t="inlineStr">
        <is>
          <t>Wyoming</t>
        </is>
      </c>
      <c r="B51" s="4" t="inlineStr">
        <is>
          <t>No</t>
        </is>
      </c>
      <c r="C51" s="4" t="inlineStr">
        <is>
          <t>No</t>
        </is>
      </c>
      <c r="D51" s="4" t="inlineStr"/>
      <c r="E51" s="4" t="inlineStr"/>
      <c r="F51" s="4" t="inlineStr"/>
    </row>
  </sheetData>
  <conditionalFormatting sqref="B2:B51">
    <cfRule type="expression" priority="1" dxfId="110">
      <formula>LEFT(B2,3)="Yes"</formula>
    </cfRule>
    <cfRule type="expression" priority="2" dxfId="111">
      <formula>LEFT(B2,7)="Partial"</formula>
    </cfRule>
    <cfRule type="expression" priority="3" dxfId="112">
      <formula>LEFT(B2,2)="No"</formula>
    </cfRule>
  </conditionalFormatting>
  <conditionalFormatting sqref="C2:C51">
    <cfRule type="expression" priority="4" dxfId="110">
      <formula>LEFT(C2,3)="Yes"</formula>
    </cfRule>
    <cfRule type="expression" priority="5" dxfId="111">
      <formula>LEFT(C2,7)="Partial"</formula>
    </cfRule>
    <cfRule type="expression" priority="6" dxfId="112">
      <formula>LEFT(C2,2)="No"</formula>
    </cfRule>
  </conditionalFormatting>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30" customWidth="1" min="3" max="3"/>
  </cols>
  <sheetData>
    <row r="1">
      <c r="A1" s="3" t="inlineStr">
        <is>
          <t>State</t>
        </is>
      </c>
      <c r="B1" s="3" t="inlineStr">
        <is>
          <t>Batch</t>
        </is>
      </c>
      <c r="C1" s="3" t="inlineStr">
        <is>
          <t>What changed from the original matrix</t>
        </is>
      </c>
    </row>
    <row r="2" ht="169" customHeight="1">
      <c r="A2" s="16" t="inlineStr">
        <is>
          <t>Alabama</t>
        </is>
      </c>
      <c r="B2" t="n">
        <v>1</v>
      </c>
      <c r="C2" s="4" t="inlineStr">
        <is>
          <t>Assessment cap corrected (7% temporary cap, Act 2024-344; prior 10%/5%/15% figures were wrong). Homestead corrected (prior cell cited creditor exemption §6-10-2). Spending limit changed Yes-&gt;No (prior cite was a state budget rule). Oct. 12 pass: Has it worked? rebuilt on Census FY2012-FY2024, ACS 2014-2024 and BEA data; HB 167 (2026) added; grade and think-tank items added. Oct. 12 pass (2): hand-typed Census/ACS numbers paragraph removed from Has it worked? (replaced by the generated record paragraph); home-value comparisons removed. Oct. 12 recheck: status cells confirmed (7% cap in force for 2026 per Tuscaloosa County notice; HB 167 died; Nov. 2026 ballot has no property tax amendment). Added Tuscaloosa 2024 school millage defeat, API 2024 item and SPN associate silence lines; grade_reason rewritten to GRADING.md format. Oct. 13 think-tank pass: 5 items (was 3); added Tax Foundation 2025 session review (TPP exemption) and 1819 News Ainsworth item on the 7% cap; API July 2026 item retitled to its page title; reordered newest first; AFP-Alabama none line added. Oct. 13: added short Has it worked? verdict (worked_brief). Oct. 13: truth-in-taxation description dropped for a No state (text archived in archive_tnt_no_text_2026-10-13.json). Oct. 19: State subsidies recoded under the direct-payment test (No-&gt;No): only state money paid on the bill, tied to a rate or levy cut, or reimbursing revenue lost to a state-law exemption or cap counts; general aid, owner refunds and deferrals do not.</t>
        </is>
      </c>
    </row>
    <row r="3" ht="214" customHeight="1">
      <c r="A3" s="16" t="inlineStr">
        <is>
          <t>Alaska</t>
        </is>
      </c>
      <c r="B3" t="n">
        <v>1</v>
      </c>
      <c r="C3" s="4" t="inlineStr">
        <is>
          <t>Homestead corrected (prior cell cited creditor exemption AS 09.38.010). Rate limit upgraded Partial-&gt;Yes (30-mill statutory cap). Statewide tax changed No-&gt;Partial (AS 43.56 oil &amp; gas property tax). Spending limit text replaced (single-audit rule is not a spending limit). Final consistency pass: homestead Partial-&gt;Yes (statewide exemption for a broad class such as seniors or disabled owners). Oct. 12 pass: Has it worked? rebuilt on Census FY2012-FY2024, ACS 2014-2024 and BEA data; Anchorage 2026 sales tax tabling and April 2026 bond and levy results added; grade and think-tank items added. Oct. 12 pass (2): hand-typed Census/ACS numbers paragraph removed from Has it worked? (replaced by the generated record paragraph); home-value comparisons removed. Oct. 12 recheck: status cells confirmed ($150,000 senior exemption unchanged; SB 259 optional assessment limit and HB 169 died; no property tax measure on Nov. 2026 ballot). Added Fairbanks 2026 rate lines, 2024-2026 bills, APF 2023 testimony; grade_reason rewritten to GRADING.md format. Oct. 13 think-tank pass: 3 items (was 2); added the Alaska Policy Forum and Tax Foundation income tax report (Oct. 4, 2022) for its property tax findings; property tax ranking URL changed to its permanent link; reordered newest first; AFP-Alaska none line added. Alaska Policy Forum searched for property tax, assessment, levy, homestead, mill rate, tax cap and Anchorage: no 2024-2026 property tax item. Oct. 13: added short Has it worked? verdict (worked_brief). Oct. 13: truth-in-taxation description dropped for a No state (text archived in archive_tnt_no_text_2026-10-13.json). Oct. 19: State subsidies recoded under the direct-payment test (No-&gt;No): only state money paid on the bill, tied to a rate or levy cut, or reimbursing revenue lost to a state-law exemption or cap counts; general aid, owner refunds and deferrals do not.</t>
        </is>
      </c>
    </row>
    <row r="4" ht="274" customHeight="1">
      <c r="A4" s="16" t="inlineStr">
        <is>
          <t>Arizona</t>
        </is>
      </c>
      <c r="B4" t="n">
        <v>1</v>
      </c>
      <c r="C4" s="4" t="inlineStr">
        <is>
          <t>Spending limit Partial-&gt;Yes (constitutional limit binds; overrides documented). Levy limit now describes 2% primary levy cap (prior cell described spending). Statewide tax: SETR repealed 2022 (Laws 2022 ch.317) -&gt; Partial (state-set QTR). Homestead corrected (prior cell cited creditor exemption 33-1101/Prop 209). Added state subsidy (Additional State Aid ~$532M FY2026) which contradicts 'no subsidies' framing in ATR primer. Oct. 9 truth-in-taxation review: Yes-&gt;Partial, measured against the three key requirements in Lincoln Institute's June 2024 survey. Oct. 12 pass: Has it worked? rebuilt on Census FY2012-FY2024, ACS 2014-2024 and BEA data; Yuma hospital district refund, 2026 vetoes (HB 2289, HB 2261) and veterans' exemption added; grade and think-tank items added. Oct. 12 pass (2): hand-typed Census/ACS numbers paragraph removed from Has it worked? (replaced by the generated record paragraph); home-value comparisons removed. Oct. 12 recheck: status cells confirmed; assessment cell adds the Laws 2025, ch. 96 reset for homes leaving the senior freeze; 2025 laws (SB 1224, SB 1122, SB 1700) and the eight Nov. 2026 referrals (none on property tax) added; ATRA FY2027 truth-in-taxation noncompliance, city reserves and Phoenix/Gilbert lines added; ATRA, Free Enterprise Club and SPN silence lines added; grade_reason rewritten to GRADING.md format (home-value comparison removed). Oct. 13 think-tank pass: 7 items (was 6); added Common Sense Institute Arizona reports on Prop 312 (Sept. 25, 2024) and business personal property (April 19, 2022), replacing its no-report line, plus Arizona Free Enterprise Club items on the Prop 409 bond (Oct. 28, 2025) and 2026 local tax limits (Jan. 7, 2026); dropped the KJZZ Prop 312 interview and two Free Enterprise Club items on fees and sales taxes; ATRA truth-in-taxation wording tightened to the newsletter's text; reordered newest first; AFP-Arizona none line added. Oct. 13: added short Has it worked? verdict (worked_brief). Oct. 13 correction: Has it worked? text aligned with the record and with other cells.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5" ht="229" customHeight="1">
      <c r="A5" s="16" t="inlineStr">
        <is>
          <t>Arkansas</t>
        </is>
      </c>
      <c r="B5" t="n">
        <v>1</v>
      </c>
      <c r="C5" s="4" t="inlineStr">
        <is>
          <t>Spending limit Yes-&gt;No (balanced budget rule is not a growth cap). Levy limit No-&gt;Partial (Amendment 59 reappraisal rollback). Homestead corrected (prior cell cited creditor exemption 16-66-210); credit now $600 (2025) and $675 passed 2026. Oct. 12 pass: Has it worked? rebuilt on Census FY2012-FY2024, ACS 2014-2024 and BEA data; $675 credit confirmed as Act 174 of 2026; Act 330, 407 and 877 of 2025 added; grade (docked one step for the state-funded credit) and think-tank items added. Oct. 12 pass (2): hand-typed Census/ACS numbers paragraph removed from Has it worked? (replaced by the generated record paragraph); home-value comparisons removed. Oct. 12 recheck: CORRECTION: reforms said no statewide property tax measure was on the Nov. 2026 ballot; Issue 3 (SJR 15 of 2025) would exempt property in economic development districts from regular property taxes and reopen the school tax to TIF. Status cells confirmed. Added TIF/Issue 3 and sales tax vote lines, SJR 16 (2025), SPN silence lines and an Arkansas House release; grade_reason rewritten to GRADING.md format. Oct. 13 think-tank pass: 5 items (was 2); added Arkansas Policy Foundation's June 10, 2024 item on the homestead credit increase (replacing its no-report line) and two Arkansas Senate releases (Issue 3, Aug. 21, 2026; SB 263 credit, March 12, 2025); reordered newest first; AFP-Arkansas none line added. Oct. 13: added short Has it worked? verdict (worked_brief). Oct. 13 correction: Has it worked? text aligned with the record and with other cells. Oct. 13: Lincoln Institute attributions removed from descriptions;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6" ht="244" customHeight="1">
      <c r="A6" s="16" t="inlineStr">
        <is>
          <t>California</t>
        </is>
      </c>
      <c r="B6" t="n">
        <v>1</v>
      </c>
      <c r="C6" s="4" t="inlineStr">
        <is>
          <t>Levy limit changed to No (Gann limit moved to spending column; no levy-growth cap). Homestead corrected (prior cell cited creditor exemption CCP 704.730); homeowners' exemption is $7,000. November ballot narrowed to Partial (general taxes only). Supermajority detail expanded incl. Upland majority-vote path. Oct. 12 pass: Has it worked? rebuilt on Census FY2012-FY2024 (checked against BOE 2023-24), ACS 2014-2024 and BEA data; HJTA's 2025 filing of Prop 43 added; grade and think-tank items added. Oct. 12 pass (2): hand-typed Census/ACS numbers paragraph removed from Has it worked? (replaced by the generated record paragraph); home-value comparisons removed. Oct. 12 recheck: status cells confirmed; disabled veterans' exemption updated from 2018 to 2026 amounts (BOE LTA 2025/014); Prop 42 and Prop 1 added to the Nov. 2026 list; Los Angeles Measure ULA revenue and 2024-2026 local tax measure lines added; CPC, PRI and SPN associate silence lines added; grade_reason rewritten to GRADING.md format. Oct. 13 think-tank pass: 9 items (was 5); groups added: Pacific Legal Foundation, Reason Foundation; replaced HJTA May 2025 release with Sept. 2026 Prop 43 deal account, CalTax 2025 revenue item with Sept. 2026 local ballot count, PRI July 2026 item with two PRI March 2026 items; added CPC Oct. 2024; corrected CPC voter guide summary. Oct. 13: CORRECTION: Prop 43 is the Legislature's ACA 22 (June 25, 2026); HJTA withdrew its 2025 initiative after ACA 21 and ACA 22 passed (the Oct. 12 note calling the HJTA filing Prop 43 was wrong). Oct. 13: added short Has it worked? verdict (worked_brief). Oct. 13 correction: Has it worked? text aligned with the record and with other cells. Oct. 13: Lincoln Institute attributions removed from descriptions; truth-in-taxation description dropped for a No state (text archived in archive_tnt_no_text_2026-10-13.json). Oct. 19: State subsidies recoded under the direct-payment test (Partial-&gt;Yes): only state money paid on the bill, tied to a rate or levy cut, or reimbursing revenue lost to a state-law exemption or cap counts; general aid, owner refunds and deferrals do not.</t>
        </is>
      </c>
    </row>
    <row r="7" ht="229" customHeight="1">
      <c r="A7" s="16" t="inlineStr">
        <is>
          <t>Colorado</t>
        </is>
      </c>
      <c r="B7" t="n">
        <v>1</v>
      </c>
      <c r="C7" s="4" t="inlineStr">
        <is>
          <t>Levy limit now cites 2024 HB24B-1001 5.25% limit (home-rule cities and schools excluded). Rate limit Partial-&gt;Yes (TABOR mill-levy freeze). Homestead corrected (prior cell cited creditor exemption 38-41-201). November ballot cites TABOR election dates. Added de-Brucing and metro district evidence. Final consistency pass: homestead Partial-&gt;Yes (statewide exemption for a broad class such as seniors or disabled owners). Oct. 9 truth-in-taxation review: Partial-&gt;No, measured against the three key requirements in Lincoln Institute's June 2024 survey. Oct. 12 pass: Has it worked? rebuilt on Census FY2012-FY2024, ACS 2014-2024 and BEA data; HB26-1209 and the 2026 school balancing percentage added; grade and think-tank items added. Oct. 12 pass (2): hand-typed Census/ACS numbers paragraph removed from Has it worked? (replaced by the generated record paragraph); home-value comparisons removed. Oct. 13 recheck: status cells confirmed (TABOR, 2024 limits and the older 29-1-301 limit still in force; no 2025-2026 law changed them; HB26-1209 died). Added Advance Colorado, Centennial Institute and Steamboat Institute lines, a Colorado Springs retained-refund line, the 2024 initiative withdrawal and the Nov. 3, 2026 ballot (no property tax measure); grade_reason rewritten under GRADING.md. Oct. 13 think-tank pass: 6 items (was 5); groups added: none (Common Sense Institute Aug. 2024 report added); Independence Institute model-policy summary corrected (annual board vote to keep extra revenue). Oct. 13: added short Has it worked? verdict (worked_brief). Oct. 13 correction: Has it worked? text aligned with the record and with other cells. Oct. 13: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8" ht="199" customHeight="1">
      <c r="A8" s="16" t="inlineStr">
        <is>
          <t>Connecticut</t>
        </is>
      </c>
      <c r="B8" t="n">
        <v>1</v>
      </c>
      <c r="C8" s="4" t="inlineStr">
        <is>
          <t>Spending limit No-&gt;Partial (CGS 4-66l grant-penalty cap). Rate limit No-&gt;Partial (car tax cap). Homestead corrected (prior cell cited creditor exemption 52-352b); added 2024 local option and 2026 SB 1. Oct. 12 pass: Has it worked? rebuilt on Census FY2012-FY2024, ACS 2014-2024 and BEA data; 2026 one-time municipal aid and the failed statewide high-value home tax added; grade and think-tank items added. Oct. 12 pass (2): hand-typed Census/ACS numbers paragraph removed from Has it worked? (replaced by the generated record paragraph); home-value comparisons removed. Oct. 13 recheck: CORRECTION: spending limit Partial-&gt;No (municipal spending cap suspended for FY2026 by PA 25-3 and for FY2026-FY2027 by 2026 SB 1 §175; never enforced). Added Bridgeport revaluation and big-city state aid lines, Senate Republican plan, 2025-2026 reform outcomes; grade_reason rewritten under GRADING.md. Oct. 13 think-tank pass: 6 items (was 5); groups added: none (Yankee Institute Aug. 2026 mandates review added); titles corrected to verbatim, numbers added to car tax, SB 101 and ranking items; Senate GOP line given CBIA headline. Oct. 13 re-add: 7 items (was 6); Reason Foundation guardrails item (Dec. 10, 2024) re-added after the linter fix. Oct. 13: added short Has it worked? verdict (worked_brief). Oct. 13 correction: Has it worked? text aligned with the record and with other cells. Oct. 13: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9" ht="199" customHeight="1">
      <c r="A9" s="16" t="inlineStr">
        <is>
          <t>Delaware</t>
        </is>
      </c>
      <c r="B9" t="n">
        <v>1</v>
      </c>
      <c r="C9" s="4" t="inlineStr">
        <is>
          <t>Spending limit Partial-&gt;No (debt limit is not a spending cap). Levy limit No-&gt;Partial (reassessment-year 15% county / 10% school rules). Homestead corrected (prior cell cited creditor exemption 10-4914). Added 2020 court ruling, 2025 reassessment shock and 2025-2026 legislation. Oct. 9 truth-in-taxation review: Partial-&gt;Yes, measured against the three key requirements in Lincoln Institute's June 2024 survey. Oct. 12 pass: Has it worked? rebuilt on Census FY2012-FY2024, ACS 2014-2024 and BEA data; HB 462 (became law without signature, Aug. 2026) added; grade with warning about post-2024 reassessment, think-tank items added. Oct. 12 pass (2): hand-typed Census/ACS numbers paragraph removed from Has it worked? (replaced by the generated record paragraph); home-value comparisons removed. Oct. 13 recheck: status cells confirmed (no 2026 law changed the reassessment-year limits beyond those already noted; HB 462 became law without signature Aug. 2026). Added New Castle County FY2027 17.2% proposal and HB 461 rate-reset lines, a House Republican item, HB 460-463 final passage; grade_reason rewritten under GRADING.md. Oct. 13 think-tank pass: 7 items (was 3); groups added: Caesar Rodney Institute (2 items replace no-report line), House GOP Aug. 2025, Oct. 2025 and Aug. 2026 items. Oct. 13: added short Has it worked? verdict (worked_brief). Oct. 13: Lincoln Institute attributions removed from descriptions. Oct. 19: State subsidies recoded under the direct-payment test (Partial-&gt;Partial): only state money paid on the bill, tied to a rate or levy cut, or reimbursing revenue lost to a state-law exemption or cap counts; general aid, owner refunds and deferrals do not.</t>
        </is>
      </c>
    </row>
    <row r="10" ht="199" customHeight="1">
      <c r="A10" s="16" t="inlineStr">
        <is>
          <t>Florida</t>
        </is>
      </c>
      <c r="B10" t="n">
        <v>1</v>
      </c>
      <c r="C10" s="4" t="inlineStr">
        <is>
          <t>November ballot No-&gt;Yes after checking statutes (school millage, county millage and sales surtax referenda must be at even-year November general elections). Spending limit Yes-&gt;No (no local spending cap; prior text conflated millage rules). Levy limit Partial-&gt;Yes (2007 maximum millage law). Homestead corrected/expanded. November ballot Yes-&gt;No (statute allows referendum or general election). Added 2025 DOR TRIM results and Amendment 3. Oct. 12 pass: Has it worked? rebuilt on Census FY2012-FY2024, ACS 2014-2024 and BEA data plus Florida TaxWatch FY2025-26 figures; grade and think-tank items added. Oct. 12 pass (2): hand-typed Census/ACS numbers paragraph removed from Has it worked? (replaced by the generated record paragraph); home-value comparisons removed. Oct. 13 recheck: levy limit, rollback and supermajority cells updated for SB 4-F (signed June 24, 2026; maximum millage no longer rises with per capita income; status unchanged, Yes). Added HB 1329, a Broward FY2026-27 line, Florida Policy Project and FGA lines; grade_reason rewritten under GRADING.md. Oct. 13 think-tank pass: 8 items (was 6); added Tax Foundation (June 3, 2026), JMI levy cap paper (March 10, 2026) and property tax study (Oct. 15, 2025), FGA local spending report (Oct. 16, 2024, replaces FGA no-report line); TaxWatch resource center item now cites its Aug. 21, 2026 release; dropped JMI zero-based budgeting handbook to keep JMI at its most relevant items. Oct. 13: added short Has it worked? verdict (worked_brief). Oct. 19: State subsidies recoded under the direct-payment test (No-&gt;Partial): only state money paid on the bill, tied to a rate or levy cut, or reimbursing revenue lost to a state-law exemption or cap counts; general aid, owner refunds and deferrals do not.</t>
        </is>
      </c>
    </row>
    <row r="11" ht="199" customHeight="1">
      <c r="A11" s="16" t="inlineStr">
        <is>
          <t>Georgia</t>
        </is>
      </c>
      <c r="B11" t="n">
        <v>1</v>
      </c>
      <c r="C11" s="4" t="inlineStr">
        <is>
          <t>Assessment cap Partial-&gt;Yes (HB 581 made mandatory by SB 33, 2026). Rate limit Partial (20-mill school cap). Homestead corrected (prior cell cited creditor exemption 44-13-100). Added opt-out data and SB 33 details (no revenue cap in enacted bill). Final consistency pass: rollback Partial-&gt;Yes (certified rollback rate with notice and hearings, coded like Tennessee and Virginia). Oct. 12 pass: Has it worked? rebuilt on Census FY2012-FY2024, ACS 2014-2024 and BEA data; June 2026 special session outcome (no LHOST acts) added; grade and think-tank items added. Oct. 12 pass (2): hand-typed Census/ACS numbers paragraph removed from Has it worked? (replaced by the generated record paragraph); home-value comparisons removed. Oct. 13 recheck: status cells confirmed (SB 33 signed May 11, 2026; no court ruling or ballot measure changed them; Nov. 3, 2026 ballot has only the conservation-use amendment). Added Atlanta TAD extension line, GPPF Guide to the Issues 2026 and a Georgia Center for Opportunity line; grade_reason rewritten under GRADING.md. Oct. 13 think-tank pass: 8 items (was 5); added Tax Foundation on HB 1116 levy limit (April 1, 2026), AFP-Georgia on HB 1116 (March 31, 2026), GPPF levy limit commentary (Jan. 1, 2026); Tax Foundation 2025 item now uses its headline; items reordered newest first. Oct. 13: added short Has it worked? verdict (worked_brief). Oct. 13 correction: Has it worked? text aligned with the record and with other cells. Oct. 19: State subsidies recoded under the direct-payment test (Partial-&gt;Partial): only state money paid on the bill, tied to a rate or levy cut, or reimbursing revenue lost to a state-law exemption or cap counts; general aid, owner refunds and deferrals do not.</t>
        </is>
      </c>
    </row>
    <row r="12" ht="184" customHeight="1">
      <c r="A12" s="16" t="inlineStr">
        <is>
          <t>Hawaii</t>
        </is>
      </c>
      <c r="B12" t="n">
        <v>2</v>
      </c>
      <c r="C12" s="4" t="inlineStr">
        <is>
          <t>Spending limit Yes-&gt;No (prior text described state caps and campaign spending). Rollback Partial-&gt;No (prior text described dedication penalties). Homestead corrected (prior cell cited creditor exemption 651-92); now county home exemptions. Oct. 12 pass: Has it worked? rebuilt on Census FY2012-FY2024, ACS 2014-2024 and BEA data; grade and think-tank items added. Oct. 12 pass (2): hand-typed Census/ACS numbers paragraph removed from Has it worked? (replaced by the generated record paragraph); home-value comparisons removed. Oct. 12 recheck: status cells confirmed (no state limit enacted 2024-2026; Honolulu senior exemption rises to $180,000 July 1, 2027 under Ord. 25-042; Maui $300,000 exemption unchanged). Added Maui and Honolulu FY2027 rate lines, the Nov. 3, 2026 RISE (tax increment) bond amendment, reforms lines; grade_reason rewritten to GRADING.md format. Oct. 13 think-tank pass: 5 items (was 2); added Tax Foundation of Hawaii on Honolulu charter special funds (Aug. 10, 2026), Grassroot testimony on the P170 empty homes tax (July 9, 2026) and Grassroot county relief toolkit (April 20, 2023); tightened the Sept. 23, 2026 summary to match the page. Oct. 13: added short Has it worked? verdict (worked_brief). Oct. 13: truth-in-taxation description dropped for a No state (text archived in archive_tnt_no_text_2026-10-13.json). Oct. 19: State subsidies recoded under the direct-payment test (No-&gt;No): only state money paid on the bill, tied to a rate or levy cut, or reimbursing revenue lost to a state-law exemption or cap counts; general aid, owner refunds and deferrals do not.</t>
        </is>
      </c>
    </row>
    <row r="13" ht="214" customHeight="1">
      <c r="A13" s="16" t="inlineStr">
        <is>
          <t>Idaho</t>
        </is>
      </c>
      <c r="B13" t="n">
        <v>2</v>
      </c>
      <c r="C13" s="4" t="inlineStr">
        <is>
          <t>Spending limit Yes-&gt;No (Idaho limits property-tax budget growth, captured under levy limit). Rate limit Partial-&gt;Yes (statutory fund caps). Supermajority detail: 66 2/3% permanent override, 2/3 bonds. November ballot Partial (May/Nov dates). Added state subsidy history (2006 swap; HB 292, HB 521, HB 74). Oct. 12 pass: Has it worked? rebuilt on Census FY2012-FY2024, ACS 2014-2024 and BEA data; HB 329 (2025) and 2026 bills (HB 959 enacted; HB 842, 670, 886, 885 not enacted) added; levy cell updated for HB 959; grade (docked one step for state buydowns) and think-tank items added. Oct. 12 pass (2): hand-typed Census/ACS numbers paragraph removed from Has it worked? (replaced by the generated record paragraph); home-value comparisons removed. Oct. 12 recheck: status cells confirmed ($125,000 homeowner's exemption cap and §63-802 limits current; HB 369 truth-in-taxation bill died in 2025; no property tax question on the Nov. 2026 ballot). Fixed reforms text: the $125,000 exemption cap dates to 2021 (removed an erroneous 2022 special-session line). Added Ada County and ACHD lines, HB 843 details, two Mountain States Policy Center items; grade_reason rewritten to GRADING.md format. Oct. 13 think-tank pass: 6 items (was 6); all URLs and summaries re-checked; reordered newest first; no new Idaho property tax items found from other conservative groups. Oct. 13: added short Has it worked? verdict (worked_brief). Oct. 13: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14" ht="259" customHeight="1">
      <c r="A14" s="16" t="inlineStr">
        <is>
          <t>Illinois</t>
        </is>
      </c>
      <c r="B14" t="n">
        <v>2</v>
      </c>
      <c r="C14" s="4" t="inlineStr">
        <is>
          <t>Levy limit (PTELL) kept Partial with home-rule and debt exclusions; rate limit detail added (fund caps). Supermajority Yes-&gt;No (local referenda are majority). Homestead corrected/expanded. Added TIF, CPS pension levy, 2024 advisory question. Oct. 9 truth-in-taxation review: Yes-&gt;Partial, measured against the three key requirements in Lincoln Institute's June 2024 survey. Oct. 12 pass: Has it worked? rebuilt on Census FY2012-FY2024, ACS 2014-2024, BEA, IDOR and Cook County Treasurer data; HB 4537 (2026) and tax year 2024 Chicago bills added; grade and think-tank items added. Oct. 12 pass (2): hand-typed Census/ACS numbers paragraph removed from Has it worked? (replaced by the generated record paragraph); home-value comparisons removed. Oct. 12 recheck: status cells confirmed (PTELL, truth in taxation and homestead amounts unchanged). Fixed senior freeze income limit: $65,000 through tax year 2025, $75,000 from 2026 under P.A. 104-0452 (SB 642, Dec. 2025). Added CPS FY2026 maximum levy, HB 910 megaprojects PILOT bill, Nov. 2026 bond referenda and Cook County advisory question, House Republican and Truth in Accounting items; grade_reason rewritten to GRADING.md format. Oct. 13 think-tank pass: 9 lines, 7 items (was 8 lines, 6 items); groups added: Illinois Policy Institute full report Taxed out (Sept. 29, 2026); Truth in Accounting summary corrected to page text. Oct. 13 think-tank pass: 9 lines, 7 items (was 8 lines, 6 items); groups added: Illinois Policy Institute full report Taxed out (Sept. 29, 2026); Truth in Accounting summary corrected to page text. Oct. 13 think-tank pass: 10 lines, 8 items (was 8 lines, 6 items); groups added: Americans for Prosperity-Illinois (Oct. 5, 2026); Illinois Policy Institute full report Taxed out (Sept. 29, 2026); Truth in Accounting summary corrected to page text. Oct. 13: added short Has it worked? verdict (worked_brief). Oct. 13 correction: Has it worked? text aligned with the record and the Tax Foundation 2026 ranking. Oct. 13: Lincoln Institute attributions removed from descriptions. Oct. 19: State subsidies recoded under the direct-payment test (Partial-&gt;Yes): only state money paid on the bill, tied to a rate or levy cut, or reimbursing revenue lost to a state-law exemption or cap counts; general aid, owner refunds and deferrals do not.</t>
        </is>
      </c>
    </row>
    <row r="15" ht="229" customHeight="1">
      <c r="A15" s="16" t="inlineStr">
        <is>
          <t>Indiana</t>
        </is>
      </c>
      <c r="B15" t="n">
        <v>2</v>
      </c>
      <c r="C15" s="4" t="inlineStr">
        <is>
          <t>Added county option circuit breaker credit (IC 6-1.1-49). Levy limit added (maximum levy/MLGQ since 1973; 4% through 2026, 6.0% for 2027). Rate limits = constitutional 1/2/3% circuit breaker caps. November ballot Yes (SEA 1: property tax referenda only at November general elections). Homestead corrected to the SEA 1 phase-down/phase-up schedule. Added referendum pass-rate evidence, short-term debt loophole, LIT overhaul. Oct. 12 pass: Has it worked? rebuilt on Census FY2012-FY2024, ACS 2014-2024 and BEA data; grade and think-tank items added. Oct. 12 pass (2): hand-typed Census/ACS numbers paragraph removed from Has it worked? (replaced by the generated record paragraph); home-value comparisons removed. Oct. 12 recheck: status cells confirmed (2027 MLGQ 6.000% per State Budget Agency memo; caps and November rule unchanged). Added 2026 referendum lines (record 38 districts, Indianapolis 37-cent levy), Fort Wayne SEA 1 revenue loss, AFP-Indiana and Indiana Farm Bureau items; grade_reason rewritten to GRADING.md format. Oct. 13 think-tank pass: 8 lines, 7 items (was 5 lines, 4 items); groups added: Indiana Policy Review Foundation (replaces no-report line), Indiana House Republicans, second AFP-IN item, EdChoice silent line; reordered newest first. Oct. 13 think-tank pass: 8 lines, 7 items (was 5 lines, 4 items); groups added: Indiana Policy Review Foundation (replaces no-report line), Indiana House Republicans, second AFP-IN item, EdChoice silent line; reordered newest first. Oct. 13: added short Has it worked? verdict (worked_brief). Oct. 13 correction: Has it worked? text aligned with the record and the Tax Foundation 2026 ranking. Oct. 13: truth-in-taxation description dropped for a No state (text archived in archive_tnt_no_text_2026-10-13.json). Oct. 19: State subsidies recoded under the direct-payment test (Yes-&gt;No): only state money paid on the bill, tied to a rate or levy cut, or reimbursing revenue lost to a state-law exemption or cap counts; general aid, owner refunds and deferrals do not.</t>
        </is>
      </c>
    </row>
    <row r="16" ht="229" customHeight="1">
      <c r="A16" s="16" t="inlineStr">
        <is>
          <t>Iowa</t>
        </is>
      </c>
      <c r="B16" t="n">
        <v>2</v>
      </c>
      <c r="C16" s="4" t="inlineStr">
        <is>
          <t>Rebuilt from primary sources. Levy limit now describes SF 2472 (2026) 2% cap from FY2028 and HF 718 (2023) tiers. Spending limit Yes-&gt;Partial (school formula only; reserve cap new). Assessment cap No-&gt;Partial (class-wide 3% rollback). Supermajority Yes-&gt;Partial (prior cell described a state income tax rule; local bonds need 60%). November No-&gt;Partial (bond elections November-only since 2023). Statewide tax No-&gt;Partial (state-required school foundation levy). Homestead corrected (2026 exemption up to $20,000). Oct. 12 pass: Has it worked? rebuilt on Census FY2012-FY2024, ACS 2014-2024 and BEA data; grade and think-tank items added. Oct. 12 pass (2): hand-typed Census/ACS numbers paragraph removed from Has it worked? (replaced by the generated record paragraph); home-value comparisons removed. Oct. 12 recheck: status cells confirmed (SF 2472 signed May 18, 2026 per ITR Foundation; no later change found; Amendment 1 on the Nov. 2026 ballot concerns state income tax). Added Des Moines FY2027 levy, Cedar Rapids FY2027 budget and 2026 school PPEL lines, two ITR Foundation items; grade_reason rewritten to GRADING.md format. Oct. 13 think-tank pass: 10 items (was 4); groups added: Tax Foundation; added CSI Iowa Sept. 2026 payroll and April 2025 reports, three ITR Foundation/Iowans for Tax Relief items; CSI ranking URL moved off archive subdomain; June 2026 CSI summary corrected (FY2028-29 drop, $1.61B to $810M gap). Oct. 13 re-add: 11 items (was 10); ITR Foundation truth-in-taxation item (July 17, 2025) re-added after the linter fix.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17" ht="229" customHeight="1">
      <c r="A17" s="16" t="inlineStr">
        <is>
          <t>Kansas</t>
        </is>
      </c>
      <c r="B17" t="n">
        <v>2</v>
      </c>
      <c r="C17" s="4" t="inlineStr">
        <is>
          <t>Levy limit Partial-&gt;No (the revenue neutral rate is a disclosure-and-vote rule; the 2017-2021 tax lid was repealed). Rate limits Yes-&gt;Partial (fixed state levies and fund-specific limits only). Spending limit No-&gt;Partial (school LOB cap). Homestead corrected (prior cell cited creditor exemption 60-2301); added refunds, 2026 vetoes and RNR outcome data. Oct. 12 pass: Has it worked? rebuilt on Census FY2012-FY2024, ACS 2014-2024 and BEA data plus Kansas Policy Institute findings; grade and think-tank items added. Oct. 12 pass (2): hand-typed Census/ACS numbers paragraph removed from Has it worked? (replaced by the generated record paragraph); home-value comparisons removed. Oct. 13 recheck: no status changes (K.S.A. 79-2988 revenue neutral rate confirmed in force; 2026 caps vetoed; no special session). Added big-city lines (Johnson County, Sedgwick County and Wichita, Kansas City, Kansas) to Has it worked?, SCR 1616/1603 and HB 2043 details to Reforms, AFP-Kansas and House Speaker items to think tanks; grade_suggest D with GRADING.md deductions. Oct. 13 think-tank pass: 9 items (was 6); groups added: Tax Foundation; added KPI July 16, 2026 and Sept. 2, 2025 items; reordered newest first; ALEC item and KPI policy-paper summaries tightened to page text. Oct. 13 recheck: KPI items read via WP API (site HTML still 429); Sept. 2, 2025 first-year figure corrected to the page's more than 50% (was just over half); Options item sales tax figure and education property tax scope matched to page; 9 items (was 9). Oct. 13: added short Has it worked? verdict (worked_brief). Oct. 13 correction: Has it worked? text aligned with the record and the Tax Foundation 2026 ranking. Oct. 19: user edits from the site editor to the spending, levy and assessment cells. Oct. 19: State subsidies recoded under the direct-payment test (No-&gt;No): only state money paid on the bill, tied to a rate or levy cut, or reimbursing revenue lost to a state-law exemption or cap counts; general aid, owner refunds and deferrals do not.</t>
        </is>
      </c>
    </row>
    <row r="18" ht="214" customHeight="1">
      <c r="A18" s="16" t="inlineStr">
        <is>
          <t>Kentucky</t>
        </is>
      </c>
      <c r="B18" t="n">
        <v>2</v>
      </c>
      <c r="C18" s="4" t="inlineStr">
        <is>
          <t>Levy limit described precisely (4% recall rule; prior cell said revenue was limited to 4%). Rate limits Partial-&gt;Yes (constitutional caps of $0.50-$1.50 per $100 and state rate rollback). Spending limit Partial-&gt;No (balanced-budget rule only). Homestead corrected (prior cell cited creditor exemption 427.060); now the $49,100 senior/disability exemption. Added 2026 SB 41 and SB 51. Oct. 12 pass: Has it worked? rebuilt on Census FY2012-FY2024, ACS 2014-2024 and BEA data; grade and think-tank items added. Oct. 12 pass (2): hand-typed Census/ACS numbers paragraph removed from Has it worked? (replaced by the generated record paragraph); home-value comparisons removed. Oct. 13 recheck: no status changes (SB 41 confirmed dead in House; 2026 state rate cut confirmed; only Amendment 1 on pardons on the Nov. 3, 2026 ballot). Added Lexington and Louisville school-rate lines to Has it worked?, Senate GOP SB 41 release and KYFREE/Pegasus lines to think tanks, HB 233 to Reforms; grade_suggest C with GRADING.md deductions. Oct. 13 think-tank pass: 3 items (was 3); added Tax Foundation 2021 Kentucky report; dropped Bluegrass 2022 'Local Tax Reform' testimony (slides do not address property tax) and Pegasus Institute line (site no longer loads); corrected Bluegrass Jan. 26, 2026 summary (piece calls for public notice before increases and repeal of the 4% allowance; it does not describe a governing-body vote). Oct. 13: added short Has it worked? verdict (worked_brief). Oct. 13: Lincoln Institute attributions removed from descriptions. Oct. 19: State subsidies recoded under the direct-payment test (No-&gt;No): only state money paid on the bill, tied to a rate or levy cut, or reimbursing revenue lost to a state-law exemption or cap counts; general aid, owner refunds and deferrals do not.</t>
        </is>
      </c>
    </row>
    <row r="19" ht="229" customHeight="1">
      <c r="A19" s="16" t="inlineStr">
        <is>
          <t>Louisiana</t>
        </is>
      </c>
      <c r="B19" t="n">
        <v>2</v>
      </c>
      <c r="C19" s="4" t="inlineStr">
        <is>
          <t>Assessment cap Yes-&gt;Partial (no 10% homestead cap exists; described the 2018 50%+ phase-in and senior freeze). Levy limit described as the reassessment rollback with 2/3 roll-forward. Truth-in-taxation Yes-&gt;Partial (notice only for roll-forwards; not on Lincoln list). Supermajority No-&gt;Yes (2/3 governing-body vote to roll forward). Homestead corrected (prior cell cited creditor statute 20:1). Added ITEP, inventory credit and Nov. 2026 amendments. Oct. 12 pass: Has it worked? rebuilt on Census FY2012-FY2024, ACS 2014-2024 and BEA data; May 16, 2026 rejection of Amendment 4 added; grade and think-tank items added. Oct. 12 pass (2): hand-typed Census/ACS numbers paragraph removed from Has it worked? (replaced by the generated record paragraph); home-value comparisons removed. Oct. 13 recheck: no status changes. Text corrections: the Nov. 2026 senior exemption (Amendment 6, Act 274 of 2026) is local option, effective only after a local vote, at $6,000-$30,000 of assessed value by age; the freeze income limit increase (Amendment 9) takes effect Jan. 1, 2027 (was given as 2028). Nov. 3, 2026 amendments numbered; New Orleans and Baton Rouge lines added to Has it worked?; Louisiana Family Forum line added to think tanks; grade_suggest C with GRADING.md deductions. Oct. 13 think-tank pass: 6 items (was 3); added Pelican fall 2026 amendment guide (millage roll-forward Amendment 2, exemption amendments), Pelican 2023 state-local transfers piece, Tax Foundation 2023 inventory tax analysis; tightened Pelican Amendment 4 and 2025 Amendment 2 summaries to page text.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20" ht="289" customHeight="1">
      <c r="A20" s="16" t="inlineStr">
        <is>
          <t>Maine</t>
        </is>
      </c>
      <c r="B20" t="n">
        <v>2</v>
      </c>
      <c r="C20" s="4" t="inlineStr">
        <is>
          <t>Spending limit Yes-&gt;Partial (LD 1 county and school limits; municipal limit is a levy cap). Levy limit kept Yes with override and school/county exclusions spelled out. Truth-in-taxation Partial-&gt;No (prior text described just-value assessment). Statewide tax No-&gt;Partial (Unorganized Territory tax). Homestead corrected to the $25,000 exemption with 76% state reimbursement. Added LD 1 compliance data from the 2014 state report. Final consistency pass: rollback No-&gt;Partial (dollar levy cap lowers rates indirectly). Oct. 12 pass: CORRECTION, levy limit Yes-&gt;No (municipal LD 1 levy limit repealed by LD 2102, P.L. 2023 ch. 603, April 9, 2024; LD 542 to restore it died May 2025); rollback Partial-&gt;No (no dollar cap remains); schools, TnT, supermajority and notes updated. Has it worked? rebuilt on Maine Revenue Services commitments, ACS 2014-2024, Census and BEA data (Census FY2024 flagged for sampling error); 2025 task force added; grade and think-tank items added. Oct. 12 pass (2): hand-typed Census/ACS numbers paragraph removed from Has it worked? (replaced by the generated record paragraph); home-value comparisons removed. Oct. 13 recheck: no status changes (levy limit repeal stands; homestead stays $25,000 after LD 140 died April 29, 2026). Added Portland, Lewiston and 2024 post-repeal increases to Has it worked?, LD 140 to Reforms, House and Senate Republican items to think tanks; grade_suggest F with GRADING.md deductions. Oct. 13 think-tank pass: 8 items (was 3); groups added: none (Maine Policy Institute items added: Aug. 2026 teacher-salary mandate, Oct. 2025 bill requests, Feb. 2024 LD 2102 testimony, July 2022 stabilization program); added Senate GOP Bickford Sept. 2026 column; titles put in quotes. Oct. 13 recheck: MPI Posik (Feb. 22, 2024) and Palanza (July 25, 2022) items reread from the pages (Posik direct, Palanza via archive.org) and rewritten with verbatim quotes; Palanza summary now gives its conclusion (smarter municipal spending, charitable aid); 8 items (was 8). Oct. 13: added short Has it worked? verdict (worked_brief). Oct. 13: Maine verdict uses FY2023 as the latest reliable Census year. Oct. 13: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21" ht="259" customHeight="1">
      <c r="A21" s="16" t="inlineStr">
        <is>
          <t>Maryland</t>
        </is>
      </c>
      <c r="B21" t="n">
        <v>2</v>
      </c>
      <c r="C21" s="4" t="inlineStr">
        <is>
          <t>Levy limit No-&gt;Partial (five charter-county limits, the 2012 school exception and Montgomery's 2020 rewrite). Rollback Yes-&gt;Partial (prior cell described farmland recapture penalties; now the constant yield rule). Supermajority No-&gt;Partial (Montgomery unanimous vote). Homestead Partial kept but rewritten (credit caps by county, 2026-27). Added state rate ($0.112) and local income tax shift. Final consistency pass: rollback Partial-&gt;Yes (certified constant yield rate with notice and hearing). Oct. 12 pass: CORRECTION: truth in taxation Yes-&gt;Partial (constant yield notice repealed by SB 114, Ch. 531 of 2023; only nominal rate increases need notice and a hearing; SDAT computes the constant yield rate only on request since HB 133/SB 183 of 2025; Lincoln 2024 lists Maryland as a 2023 repeal). CORRECTION: rollback Yes-&gt;Partial (no certified rollback rate; disclosure of nominal increases plus charter revenue caps). 2026-27 homestead caps updated (Worcester 0%, Garrett 2%) with DLS credit relief figures; blind exemption $40,000 (2025); 2025 BRFA (county income tax cap 3.3%, SDAT cost shift); Montgomery FY2024 7-4 increase under the school exception, FY2027 ITOC repeal and failed Stop the Spend petition; Nov. 3, 2026 statewide questions checked; Has it worked?, reforms and notes rewritten; think-tank items, grade_suggest and grade_reason added. Oct. 13 pass: think-tank top-up (Maryland Family Institute and AFP-Maryland checked, none found; Maryland Public Policy Institute, Free State Foundation, Maryland Taxpayers Association and House and Senate Republican caucus sites searched with no property tax items found; Tax Foundation item kept for lack of better Maryland material). Oct. 13 think-tank pass: 4 items (was 2); groups added: Renew Baltimore (2024 rate-cut charter amendment); Stop the Spend outcome item added (Aug. 17, 2026); July item reworded to match the release (rate of inflation). Oct. 13: added short Has it worked? verdict (worked_brief). Oct. 13: Lincoln Institute attributions removed from descriptions. Oct. 19: State subsidies recoded under the direct-payment test (Yes-&gt;Partial): only state money paid on the bill, tied to a rate or levy cut, or reimbursing revenue lost to a state-law exemption or cap counts; general aid, owner refunds and deferrals do not.</t>
        </is>
      </c>
    </row>
    <row r="22" ht="259" customHeight="1">
      <c r="A22" s="16" t="inlineStr">
        <is>
          <t>Massachusetts</t>
        </is>
      </c>
      <c r="B22" t="n">
        <v>3</v>
      </c>
      <c r="C22" s="4" t="inlineStr">
        <is>
          <t>Rate limits Partial-&gt;Yes (the 2.5% levy ceiling is a cap of $25 per $1,000). Rollback No-&gt;Yes (the levy limit forces rates down as values rise). Supermajority No-&gt;Partial (2/3 governing-body vote to place exclusions on the ballot). Homestead corrected (prior cell cited creditor statute c. 188); added override and exclusion data from the state Division of Local Services. Final consistency pass: rollback Yes-&gt;Partial (dollar levy caps are credited under Levy; rollback Yes is reserved for certified or formula rate rollbacks). Oct. 12 pass (v2): no status recodes. Homestead detail corrected (removed unverified claim that a 2023 law let towns raise senior exemptions; added 2026 Senate bills that did not pass the House). Credits updated to tax year 2025 (TIR 25-7). Levy, assessment, supermajority, November and use-restriction cells expanded from statute text (c. 59 §21C(e), (g), (i), (m), (n); c. 40 §56; c. 58 §1A). Has it worked? rebuilt on DLS FY2025-FY2026 override, exclusion, levy, new growth and excess capacity data, 2026 record overrides, Boston's FY2026 tax-shift fight and the Pioneer assessment suit. Reforms extended through the Nov. 3, 2026 ballot; think-tank items and grade suggestion (D) added. Oct. 13 think-tank pass: 6 items (was 4); groups added: Reformers Academy (none-found line); Fiscal Alliance Foundation Prop 2.5 item now cites the foundation's own release, its June 2026 rent control study added; Pioneer April 2024 Wu tax-shift item added; MassFiscal action alert noted; Pioneer title made verbatim. Oct. 13 recheck: MassFiscal read via its sitemap and archive.org copies (site behind Cloudflare); added Sept. 23, 2025 Wu response and Dec. 17, 2025 MMA rebuttal; MassFiscal line corrected (dated reports exist) and alert dated by first capture (Jan. 22, 2026); Beacon Hill Institute line completed (site suspended since at least Aug. 2025); 8 items (was 6). Oct. 13: added short Has it worked? verdict (worked_brief). Oct. 13: truth-in-taxation description dropped for a No state (text archived in archive_tnt_no_text_2026-10-13.json). Oct. 19: State subsidies recoded under the direct-payment test (Partial-&gt;Partial): only state money paid on the bill, tied to a rate or levy cut, or reimbursing revenue lost to a state-law exemption or cap counts; general aid, owner refunds and deferrals do not.</t>
        </is>
      </c>
    </row>
    <row r="23" ht="259" customHeight="1">
      <c r="A23" s="16" t="inlineStr">
        <is>
          <t>Michigan</t>
        </is>
      </c>
      <c r="B23" t="n">
        <v>3</v>
      </c>
      <c r="C23" s="4" t="inlineStr">
        <is>
          <t>Levy limit described precisely (Headlee millage reduction fraction plus truth in taxation; the prior cell called it a revenue limit). Supermajority No-&gt;Partial (3/4 legislative vote for school millage). November No-&gt;Partial (May/August/November dates only). Homestead corrected (prior cell cited creditor statute 600.6023); added principal residence exemption, 2025 credit limits, subsidies and loopholes. Oct. 12 pass (MI agent): no status recodes; all 14 status cells checked against current MCL text and amendment histories (no 2024-2026 amendments to MCL 211.34d, 211.24e, 211.27a, 380.1211, 117.3, 168.641 or 206.520; MCL 211.7b amended by 2023 PA 150). Text correction: reforms line '2023: homestead credit expanded and indexed' replaced (expansion and indexing came from 2015 PA 179, effective tax years 2018 and 2021); credits authority corrected (MCL 206.508 is definitions; computation is in 206.520 and 206.522). TnT cell adds the 1995 truth-in-budgeting route and Lincoln 2024 coding; assessment and levy cells add the 2026 2.7% multiplier and current uncapping exceptions; subsidies cell adds LCSA amounts and homestead credit cost; 2026 House package (HB 5872-5880), SB 1039, SB 423, AxMITax failure and the Nov. 3, 2026 ballot added; Has it worked? rebuilt; think tanks and grade suggestion added. Oct. 13 pass: think-tank items added (Michigan House Republican releases on the HELP UP plan, April 22, 2026, and House passage of the package, May 22, 2026). Oct. 13 think-tank pass: 7 items (was 4); groups added: Michigan Senate Republicans (Nesbitt SB 1039); Mackinac June 2026 collections item and Sept. 2026 off-cycle millage election item added. Oct. 13 think-tank pass: 7 items (was 4); groups added: Michigan Senate Republicans (Nesbitt SB 1039); Mackinac June 2026 collections item and Sept. 2026 off-cycle millage election item added; two Mackinac titles made verbatim (curly apostrophes).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24" ht="214" customHeight="1">
      <c r="A24" s="16" t="inlineStr">
        <is>
          <t>Minnesota</t>
        </is>
      </c>
      <c r="B24" t="n">
        <v>3</v>
      </c>
      <c r="C24" s="4" t="inlineStr">
        <is>
          <t>Statewide tax No-&gt;Yes (state general levy on commercial-industrial and cabin property). Spending limit No-&gt;Partial (school revenue formulas). November No-&gt;Partial (school operating referendums in November). Homestead corrected (prior cell cited creditor statute 510.02); now the market value exclusion. Added refunds, aid and the history of on-and-off levy limits. Oct. 9 truth-in-taxation review: Yes-&gt;Partial, measured against the three key requirements in Lincoln Institute's June 2024 survey. Oct. 12 pass: no status recodes. Fact corrections: levy-limit coverage (all counties and cities over 2,500; the cell had said counties over 5,000) and history years (payable 1972-1992, 1998-2000, 2002-2004, 2009-2011, 2014); state general levy amounts from statute; refund, renter's credit and deferral parameters for 2025-2026; 2023 school board referendum renewal added to spending and schools; 2025 and 2026 tax laws, SF 4608 and HF 4906 added; Has it worked? rebuilt on Department of Revenue certified levy data; think-tank items and grade suggestion added. Oct. 13 think-tank pass: 9 items (was 3); groups added: Alpha News, Opportunity for All Kids, Minnesota Senate Republicans, Citizens' Council for Health Freedom (silent); added three Center of the American Experiment items Oct. 13 recheck: Taxpayers League of Minnesota line added (taxpayersleague.org now serves an unrelated lottery site; archived League site had no posts after 2018; no successor domain found); 9 items (was 9).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25" ht="184" customHeight="1">
      <c r="A25" s="16" t="inlineStr">
        <is>
          <t>Mississippi</t>
        </is>
      </c>
      <c r="B25" t="n">
        <v>3</v>
      </c>
      <c r="C25" s="4" t="inlineStr">
        <is>
          <t>Levy limit No-&gt;Yes (10% county/city and 7% school revenue limits). Rate limits Yes-&gt;Partial (no general rate cap documented). Supermajority No-&gt;Partial (3/5 voter approval for school overrides). Homestead corrected (prior cell cited creditor statute 85-3-21); added state reimbursement and inventory credit. Oct. 9 truth-in-taxation review: Yes-&gt;Partial, measured against the three key requirements in Lincoln Institute's June 2024 survey. Oct. 12 pass: CORRECTION, levy Yes-&gt;Partial (10% county/city limit binds only above a ten-year millage high or 20 mills; school 7% limit binds); CORRECTION, assessment No-&gt;Partial (assessment freeze for owners 65+ and disabled, Miss. Code 27-33-75(2)(c)); rate, subsidies, rollback, homestead-related reforms rewritten from statute and 2024-2026 bill status; think-tank items and grade suggestion added. Oct. 13 pass: think-tank items added (Magnolia Tribune on the House Select Committee on Property Tax, Sept. 18, 2026, and on DeSoto County assessment ratios, July 29, 2025). Oct. 13 think-tank pass: 7 items (was 3); groups added: Mississippi Center for Public Policy (Carswell TaxToolMS column), Office of the State Auditor car tag report, two Magnolia Tribune columns, American Dream Legal (silent); reordered newest first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26" ht="214" customHeight="1">
      <c r="A26" s="16" t="inlineStr">
        <is>
          <t>Missouri</t>
        </is>
      </c>
      <c r="B26" t="n">
        <v>3</v>
      </c>
      <c r="C26" s="4" t="inlineStr">
        <is>
          <t>Spending limit Yes-&gt;No (prior cell described state limits). Levy limit kept Yes with the Hancock rollback (CPI, capped at 5%) spelled out. Rate limits Partial-&gt;Yes (constitutional caps of $0.35-$2.75 per $100). Truth-in-taxation Partial-&gt;Yes. Supermajority Partial-&gt;Yes (2/3 voters for city and county overrides and bonds). Homestead corrected (prior cell cited creditor statute 513.475); added Prop C, SB 190 (2023) and SB 3 (2025). Oct. 9 truth-in-taxation review: Yes-&gt;Partial, measured against the three key requirements in Lincoln Institute's June 2024 survey. Oct. 12 pass: no status recodes. Homestead rewritten with SB 3 credit details from RSMo 137.1055 (zero percent and five percent counties; 5% or CPI, whichever is greater), April 7, 2026 county results and the pending Cole County challenge; assessment and credits cells updated to match. Loopholes and reforms updated (2026 session ended without a property tax bill; Aug. 4, 2026 Amendments 2 and 5; 2026 earnings tax renewals; Nov. 3, 2026 ballot). Think-tank items and grade suggestion added. Oct. 13 pass: think-tank items added (Show-Me Institute on the April 2026 county reassessment freeze votes, March 20, 2026). Oct. 13 think-tank pass: 6 items plus 1 no-report line (was 2 plus 1); added Show-Me Institute on St. Louis County's rate increase (Sept. 18, 2026), SJR 111 testimony (Feb. 18, 2026), Blueprint property tax chapter (Nov. 12, 2025) and the Town and Country Hancock loophole (Nov. 22, 2024); existing URLs verified. Oct. 13: added short Has it worked? verdict (worked_brief). Oct. 13: Lincoln Institute attributions removed from descriptions. Oct. 19: State subsidies recoded under the direct-payment test (Yes-&gt;Partial): only state money paid on the bill, tied to a rate or levy cut, or reimbursing revenue lost to a state-law exemption or cap counts; general aid, owner refunds and deferrals do not.</t>
        </is>
      </c>
    </row>
    <row r="27" ht="229" customHeight="1">
      <c r="A27" s="16" t="inlineStr">
        <is>
          <t>Montana</t>
        </is>
      </c>
      <c r="B27" t="n">
        <v>3</v>
      </c>
      <c r="C27" s="4" t="inlineStr">
        <is>
          <t>Levy limit No-&gt;Yes (15-10-420 inflation limit, up to 4%). Spending limit No-&gt;Partial (school budget caps). Rate limits Yes-&gt;Partial (no general mill cap; tiered tax rates described). Homestead corrected (prior cell cited creditor statute 70-32-104); added 2026 homestead reduced rate and PTAP. Truth-in-taxation No-&gt;Partial (voted levy ballot impact statements). Supermajority No-&gt;Partial (school bond turnout rule). Added the 2023 95-mill ruling and the 2026 initiatives that did not qualify. Oct. 9 truth-in-taxation review: Partial-&gt;No, measured against the three key requirements in Lincoln Institute's June 2024 survey. Oct. 12 pass: no status recodes. Homestead and rate cells: 2026 tier breakpoints from the Department of Revenue ($378,000, $756,000, $1,512,000; prior text said about $395,000) and the 1.1% multifamily long-term rental rate. 15-10-420 (inflation up to 4%) and the Aug. 17, 2026 ballot list re-confirmed. Loopholes rewritten (Missoula, Helena, Billings, May 2026 school levy results); reforms add the SB 542 lawsuit and the 2028 six-mill expiration. Think-tank items and grade suggestion added. Oct. 13 think-tank pass: 7 items plus 2 no-report lines (was 2 plus 2); added Frontier Institute's 2026 Real Government Budgets report, BI-11 op-ed and voted-levy ratchet piece, AFP-Montana's HB 231 accountability release and the Montana Taxpayers Association's class-rate comment; existing URLs verified. Oct. 13: added short Has it worked? verdict (worked_brief). Oct. 13: Lincoln Institute attributions removed from descriptions; truth-in-taxation description dropped for a No state (text archived in archive_tnt_no_text_2026-10-13.json). Oct. 13: homestead Yes-&gt;Partial (relief is a lower class rate for homesteads, a classification difference under the column definition). Oct. 19: State subsidies recoded under the direct-payment test (Yes-&gt;Yes): only state money paid on the bill, tied to a rate or levy cut, or reimbursing revenue lost to a state-law exemption or cap counts; general aid, owner refunds and deferrals do not.</t>
        </is>
      </c>
    </row>
    <row r="28" ht="199" customHeight="1">
      <c r="A28" s="16" t="inlineStr">
        <is>
          <t>Nebraska</t>
        </is>
      </c>
      <c r="B28" t="n">
        <v>3</v>
      </c>
      <c r="C28" s="4" t="inlineStr">
        <is>
          <t>Spending limit Yes-&gt;Partial (counties, cities and villages left the budget lid in FY2025-26; schools and other units remain under spending limits). Levy limit kept Yes with LB 34 (2024) and LB 243 (2023) caps and exceptions spelled out. Rate limits kept Yes with per-government maximums. Supermajority No-&gt;Yes (60% voters and 70% boards for school overrides; 2/3 board votes). November Partial-&gt;No (overrides allowed at primary and special elections). Homestead corrected (prior cell cited creditor statute 40-101 and a $120,000 creditor figure); added state credits, subsidies and LB 803 (2026) changes. Oct. 12 pass: no status changes; confirmed on the Secretary of State page that no property tax measure is on the Nov. 3, 2026 ballot; confirmed LB 803 (2026) two-thirds vote and postcard provisions on the Department of Revenue page; added think tanks (Platte Institute x2, Common Sense Institute); rewrote Has it worked? with Lincoln, Omaha and Omaha Public Schools evidence; grade suggestion D. Oct. 13 think-tank pass: 7 items (was 3); added Platte Institute's Policy Pathway for Principled Tax Reform report (Jan. 20, 2026), Omaha cap analysis (Sept. 25, 2025) and Utah truth-in-taxation comparison (Sept. 16, 2025), and AFP-Nebraska on the 2024 sales-for-property tax swap; reordered newest first; existing URLs verified.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29" ht="229" customHeight="1">
      <c r="A29" s="16" t="inlineStr">
        <is>
          <t>Nevada</t>
        </is>
      </c>
      <c r="B29" t="n">
        <v>3</v>
      </c>
      <c r="C29" s="4" t="inlineStr">
        <is>
          <t>Spending limit Yes-&gt;No (no local spending cap). Levy limit Partial-&gt;Yes (6% revenue cap, NRS 354.59811). Assessment cap kept Partial and described as a parcel tax-bill abatement. Statewide tax No-&gt;Yes (17-cent state levy; 75-cent school levy). Homestead corrected (prior cell cited creditor statute 21.090). Final consistency pass: homestead No-&gt;Partial (statewide exemptions only for narrow groups such as veterans and the blind). Oct. 9 truth-in-taxation review: Yes-&gt;Partial, measured against the three key requirements in Lincoln Institute's June 2024 survey. Oct. 12 pass: no status changes. CORRECTION (citation only): the assessment Authority line had NRS 361.4722 and 361.4723 reversed; 361.4722 is the general abatement (up to 8%) and 361.4723 the 3% owner-occupied home abatement, with 361.4724 for qualifying rentals. Rate-cap exceptions spelled out from NRS 361.453. Added SB 451 (2025; Las Vegas police levy extended to 2057 without a vote), AB 377 (2025) and SB 96 (2023, died); confirmed no property tax question among the Nov. 3, 2026 statewide questions (6 and 7); added Nevada Policy think-tank item; rewrote Has it worked?; grade suggestion A. Oct. 13 pass: think-tank items added (Nevada Taxpayers Association comment on Regulation R098-26 and AB 377, Aug. 5, 2026). Oct. 13 think-tank pass: 3 items plus 1 no-report line (was 2); added Nevada Policy's 2025 opposition to AJR 1 and AB 362, split its no-full-report note into its own line and reformatted the Nevada Taxpayers Association item; AFP-Nevada, Tax Foundation and the association's member-only publications checked with no Nevada property tax item found; existing URLs verified. Oct. 13: added short Has it worked? verdict (worked_brief). Oct. 13: Lincoln Institute attributions removed from descriptions. Oct. 19: State subsidies recoded under the direct-payment test (No-&gt;No): only state money paid on the bill, tied to a rate or levy cut, or reimbursing revenue lost to a state-law exemption or cap counts; general aid, owner refunds and deferrals do not.</t>
        </is>
      </c>
    </row>
    <row r="30" ht="154" customHeight="1">
      <c r="A30" s="16" t="inlineStr">
        <is>
          <t>New Hampshire</t>
        </is>
      </c>
      <c r="B30" t="n">
        <v>3</v>
      </c>
      <c r="C30" s="4" t="inlineStr">
        <is>
          <t>Spending and levy limits No-&gt;Partial (local charter caps and RSA 32:5-b tax caps). Statewide tax kept Yes and described (SWEPT kept locally; 2025 Rand decision). Homestead corrected (prior cell cited creditor statute 480:1). Supermajority No-&gt;Partial (2/3 or 3/5 for bonds). Oct. 12 pass: CORRECTION: november No-&gt;Partial (HB 1300, 2026, RSA 32:5-i puts local school district tax cap questions on the November 2026 and 2028 general election ballots). Levy, schools, spending and supermajority updated for RSA 32:5-i. Statewide: added ConVal (July 1, 2025) and the AG's Aug. 14, 2026 appeal. Loopholes, reforms and notes rewritten; added think_tanks, grade_suggest (F), grade_reason. Oct. 13 think-tank pass: 9 items (was 3); groups added: New Hampshire House Republican Caucus; added five Josiah Bartlett Center items (July 29, 2026; March 3, 2026; July 1, 2025; June 4, 2025; May 10, 2024) Oct. 13: added short Has it worked? verdict (worked_brief). Oct. 13: truth-in-taxation description dropped for a No state (text archived in archive_tnt_no_text_2026-10-13.json). Oct. 19: State subsidies recoded under the direct-payment test (Partial-&gt;No): only state money paid on the bill, tied to a rate or levy cut, or reimbursing revenue lost to a state-law exemption or cap counts; general aid, owner refunds and deferrals do not.</t>
        </is>
      </c>
    </row>
    <row r="31" ht="199" customHeight="1">
      <c r="A31" s="16" t="inlineStr">
        <is>
          <t>New Jersey</t>
        </is>
      </c>
      <c r="B31" t="n">
        <v>3</v>
      </c>
      <c r="C31" s="4" t="inlineStr">
        <is>
          <t>Levy and spending limits kept Yes with exclusions spelled out (2% levy cap; 1976 appropriations cap). Homestead changed No-&gt;Partial with deductions and veterans' exemption; added ANCHOR, Senior Freeze and Stay NJ, November school elections and PILOT abatements. Final consistency pass: rollback No-&gt;Partial (dollar levy cap lowers rates indirectly). Oct. 12 pass: no status recodes. Credits and subsidies updated for the FY2027 budget (over $4.1 billion relief; Stay NJ income cap cut to $200,000 with tiered maximums). Levy and schools: added A4161 (2024) school cap waivers. Loopholes, reforms and notes rewritten; added think_tanks, grade_suggest (D), grade_reason. Oct. 13 think-tank pass: 6 items (was 5); groups added: New Jersey Policy Institute, Jersey 1st, GSI 2026 school funding report and 2023 budget statement; dropped GSI 'Never Go Down' op-ed (a 2019 piece reposted with a June 2022 date) Oct. 13: added short Has it worked? verdict (worked_brief). Oct. 13: truth-in-taxation description dropped for a No state (text archived in archive_tnt_no_text_2026-10-13.json). Oct. 19: State subsidies recoded under the direct-payment test (Yes-&gt;Partial): only state money paid on the bill, tied to a rate or levy cut, or reimbursing revenue lost to a state-law exemption or cap counts; general aid, owner refunds and deferrals do not. Oct. 21: verdict overridden to Failed (verdict_note); notes replaced with editor text; reforms split into sections for 1976, 2007, 2010, 2011 and Stay NJ with state subsidy amounts, cap exclusions and city budget shares; Stay NJ check total corrected to $756 million; schools and November cells updated for P.L.2023, c.289.</t>
        </is>
      </c>
    </row>
    <row r="32" ht="184" customHeight="1">
      <c r="A32" s="16" t="inlineStr">
        <is>
          <t>New Mexico</t>
        </is>
      </c>
      <c r="B32" t="n">
        <v>4</v>
      </c>
      <c r="C32" s="4" t="inlineStr">
        <is>
          <t>Levy limit Partial-&gt;Yes (yield control, lesser of 5% or inflation). Assessment cap kept Yes with reset and exclusions spelled out. Statewide tax Partial-&gt;Yes (state GO bond debt levy). Rollback Partial-&gt;Yes. November No-&gt;Partial (Local Election Act consolidation). Added veterans' exemption change (2024-2025), credits and gross receipts tax reliance. Oct. 12 pass: no status recodes. Assessment cap exclusions restated from statute text; HB 103 and SJR 5 (2026, died) added; Nov. 3, 2026 ballot confirmed (four amendments, $393.1 million state bonds, no property tax limit); Has it worked rewritten with Albuquerque and APS bonds (Nov. 2025), UNM Hospital levy, data center abatements; dropped unverified Tax Foundation property rank and GRT rate rank; schools cell no longer says capital levies are outside yield control; think_tanks and grade suggestion added. Oct. 13 think-tank pass: 5 items (was 2); groups added: none (Rio Grande Foundation is the only SPN group; added its 2024 Downtown TIF op-ed, 2022 ballot guide and 2021 OAK NM mill levy piece) Oct. 13: added short Has it worked? verdict (worked_brief). Oct. 13: Lincoln Institute attributions removed from descriptions; truth-in-taxation description dropped for a No state (text archived in archive_tnt_no_text_2026-10-13.json). Oct. 19: State subsidies recoded under the direct-payment test (Partial-&gt;No): only state money paid on the bill, tied to a rate or levy cut, or reimbursing revenue lost to a state-law exemption or cap counts; general aid, owner refunds and deferrals do not.</t>
        </is>
      </c>
    </row>
    <row r="33" ht="199" customHeight="1">
      <c r="A33" s="16" t="inlineStr">
        <is>
          <t>New York</t>
        </is>
      </c>
      <c r="B33" t="n">
        <v>4</v>
      </c>
      <c r="C33" s="4" t="inlineStr">
        <is>
          <t>Levy limit kept Yes with exclusions and override thresholds spelled out. Assessment cap No-&gt;Partial (New York City and Nassau County only). Rate limits No-&gt;Partial (constitutional limits for counties, cities and villages). Supermajority No-&gt;Yes (60% of voters or governing boards). Truth-in-taxation No-&gt;Partial (school budget notices). Homestead corrected (prior cell cited a creditor statute); added STAR, override data for 2026 and the State Comptroller's override trend. Final consistency pass: rollback No-&gt;Partial (dollar levy cap lowers rates indirectly). Oct. 9 truth-in-taxation review: Partial-&gt;No, measured against the three key requirements in Lincoln Institute's June 2024 survey. Oct. 12 pass: no status recodes. Has it worked rewritten (New York City outside the cap and the dropped $3.7 billion property tax increase, Comptroller override data kept, Empire Center 2026-27 school levy data, STAR cost); dropped unverified Tax Foundation ranks; reforms add the 2025 Adams Class 1 cap plan, 2026 Mamdani budget and reform pledge, and the Nov. 3, 2026 status; subsidies and assessment cells updated; think_tanks and grade suggestion added. Oct. 13 think-tank pass: 6 items (was 2); groups added: none new (added Empire Center 2026 pied-a-terre, 2025 budget revotes, 2024 Empire Index tax cap poll, 2023 Tale of Two Levies) Oct. 13: added short Has it worked? verdict (worked_brief). Oct. 13: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34" ht="244" customHeight="1">
      <c r="A34" s="16" t="inlineStr">
        <is>
          <t>North Carolina</t>
        </is>
      </c>
      <c r="B34" t="n">
        <v>4</v>
      </c>
      <c r="C34" s="4" t="inlineStr">
        <is>
          <t>Spending limit Partial-&gt;No (the original counted the balanced-budget requirement, which does not qualify). Levy limit kept No; added the pending Nov. 3, 2026 levy-limit amendment (S.L. 2026-5, HB 1089). Assessment cap No-&gt;Partial (one-year 2026-27 reappraisal moratorium in nine counties, S.L. 2026-8 as amended by S.L. 2026-47). Rate limits No-&gt;Yes ($1.50 county and city limits with their exclusions; 10- and 15-cent rural fire district limits). Truth-in-taxation No-&gt;Partial (revenue-neutral rate disclosure in reappraisal years under G.S. 159-11(e)). Rollback No-&gt;Partial (disclosure only). November No-&gt;Partial (G.S. 163-287 confines special elections to listed election dates). Supermajority kept No. Homestead kept Yes: the original cell cited the correct property tax statute (G.S. 105-277.1) and no creditor statute; added the 2026 income limit ($38,800) and the disabled veteran exclusion. Added credits (circuit breaker deferral), subsidies, schools, use restrictions and the 2026 legislation. Oct. 12 pass: no status recodes (all 14 codes confirmed current as of October 2026). Rewrote Has it worked? with labeled lines: Mecklenburg FY2024 (47.31 cents vs 45.71 revenue-neutral), Durham FY2025-26 (55.42 vs 51.92, then 57.42), Wake FY2027 2-cent increase to 53.71 cents, John Locke Foundation decade benchmark ($2.6 billion over in 10 largest counties), S.L. 2026-12 incentive district abatements. Reforms: added S.L. 2026-12, S.L. 2026-31, pending HB 1042, September 2026 poll on the amendment. Added think_tanks (2 JLF items plus associates line), grade_suggest D and grade_reason. Oct. 13 think-tank pass: 6 items (was 2); added JLF Oct. 2, 2026 poll piece, JLF Feb. 4 and Jan. 15, 2026 analyses, Tax Foundation March 24, 2026; existing JLF items re-verified. Oct. 13: added short Has it worked? verdict (worked_brief). Oct. 13: Lincoln Institute attributions removed from descriptions. Oct. 19: State subsidies recoded under the direct-payment test (No-&gt;No): only state money paid on the bill, tied to a rate or levy cut, or reimbursing revenue lost to a state-law exemption or cap counts; general aid, owner refunds and deferrals do not.</t>
        </is>
      </c>
    </row>
    <row r="35" ht="259" customHeight="1">
      <c r="A35" s="16" t="inlineStr">
        <is>
          <t>North Dakota</t>
        </is>
      </c>
      <c r="B35" t="n">
        <v>4</v>
      </c>
      <c r="C35" s="4" t="inlineStr">
        <is>
          <t>Spending limit Yes-&gt;No (the original cited a 3% levy cap, which is a levy limit and dates from 2025). Levy limit Partial-&gt;Yes (HB 1176 3% limit on all taxing districts from 2025, with exclusions and general-election overrides). Rate limits kept Yes with mill limits by government type. Statewide No-&gt;Yes (constitutional one-mill state medical center levy, $6.6 million in 2025). Truth-in-taxation Yes-&gt;Partial (hearing and assessment notices without a rollback rate; HB 1176 removed estimated taxes from the August notice). Rollback kept Partial. Supermajority No-&gt;Partial (60% for school building fund and county historical levies; 55% for school levies in small districts). November No-&gt;Partial (3% limit overrides only at statewide general elections). Homestead corrected (prior cell cited N.D.C.C. 47-18-01, the creditor homestead exemption, and its $150,000 figure); replaced with the homestead credit and disabled veterans' credit; added the $1,600 primary residence credit, Legacy Fund subsidy and 2024 Measure 4. Oct. 12 pass: no status recodes (all 14 codes confirmed current as of October 2026; homestead credit income limits of $40,000 and $70,000 and the $600 renters' refund cap confirmed in the Tax Commissioner guideline; no 2026 special session or new law found). Rewrote Has it worked? with labeled lines, adding Fargo 2026 budget (new-growth levy base, public safety sales tax transfer, fee increases) and Bismarck 2026 budget (3% limit, half-cent sales tax for police station, reserves) and the credit's size relative to 2025 levies. Reforms: added 2026 status. Added think_tanks (Roughrider plus 2 Tax Foundation items), grade_suggest C and grade_reason. Oct. 13 think-tank pass: 4 items (was 3); added AFP-ND 2025 legislative agenda (Feb. 4, 2025); added HB 1168 levy-cap details to the Tax Foundation item; existing items re-verified.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36" ht="244" customHeight="1">
      <c r="A36" s="16" t="inlineStr">
        <is>
          <t>Ohio</t>
        </is>
      </c>
      <c r="B36" t="n">
        <v>4</v>
      </c>
      <c r="C36" s="4" t="inlineStr">
        <is>
          <t>Spending kept No. Levy limit kept Yes, now described levy by levy (H.B. 920 reduction factors on voted levies; 2026 inflation caps on inside millage and 20-mill floor revenue; HB 309 commission reductions). Assessment cap kept No. Rate limits kept Yes with the 10-mill limitation and the 20-mill school floor. Statewide kept No. Truth-in-taxation kept No (not on Lincoln's 2024 list). Rollback kept Yes, re-based on the reduction factors; the prior cell described rollback credits and exemptions, now under Credits and Homestead. Supermajority No-&gt;Yes (two-thirds of the governing body or school board to place levies above 10 mills on the ballot). November kept No. Homestead corrected: the prior cell cited R.C. 1313.36, a voluntary-assignment (creditor) statute that preserves the R.C. 2329.66 debtor exemption and does not reduce property taxes; replaced with the R.C. 323.152 senior, disabled and veteran exemption. Added the 2025-2026 laws (HB 96 veto override, HB 186, HB 335, HB 129, HB 309, HB 479) and the failed 2026 abolition petition. Oct. 12 pass: no status recodes. Confirmed the AxOHTax abolition amendment is off the Nov. 3, 2026 ballot and no statewide property tax measure is on it; dated the Senate veto override (Oct. 1, 2025, 21-11). Added think_tanks (Buckeye Institute, two items; Common Sense Institute ranking; nothing found for 1851 Center or Forge Leadership Network), Franklin County abatement and Cincinnati Public Schools levy lines in Has it worked?, and grade suggestion C. Oct. 13 think-tank pass: 6 items (was 3); added AFP-OH Oct. 22 and July 21, 2025 statements and Buckeye Feb. 6, 2024 HB 344 testimony; noted 1851 Center fee litigation; existing items re-verified. Oct. 13: added short Has it worked? verdict (worked_brief). Oct. 13: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37" ht="244" customHeight="1">
      <c r="A37" s="16" t="inlineStr">
        <is>
          <t>Oklahoma</t>
        </is>
      </c>
      <c r="B37" t="n">
        <v>4</v>
      </c>
      <c r="C37" s="4" t="inlineStr">
        <is>
          <t>Spending and levy limits kept No (no growth caps; fixed millages let revenue rise with value). Assessment cap kept Yes with resets at sale and improvements, exclusions for personal and centrally assessed property and pending SQ 847 spelled out. Rate limits kept Yes with constitutional millages by purpose and the unlimited sinking fund levy. Statewide property tax No-&gt;Partial (constitutionally required 4-mill county school levy). Supermajority No-&gt;Partial (60% of voters for bonds and debt; levies by simple majority). November No-&gt;Partial (local elections limited to fixed dates, 26 O.S. §3-101). Truth-in-taxation and rollback kept No. Homestead corrected (prior cell cited 31 O.S. §2, the homestead protected from forced sale, a creditor statute); added the $1,000 and additional exemptions, veterans' exemptions, senior freeze, circuit breaker, Ad Valorem Reimbursement Fund ($93 million, tax year 2024), SQ 844 result and SQ 847. Oct. 12 pass: no status recodes. Reforms: SQ 843 homestead phase-out held unconstitutional by the Oklahoma Supreme Court, 5-4 (reported Oct. 8, 2026); added SQ 833 rejection (2024), SB 227 (signed April 13, 2026) and stalled SB 2000 and SB 1993. SQ 847 still pending Nov. 3, 2026. Has it worked? rewritten with labeled lines and the April 7, 2026 Tulsa Public Schools bond. Added think_tanks (OCPA column, Senate Republican release; nothing found for Save Our States) and grade suggestion D. Oct. 13 think-tank pass: 5 items (was 2); added OCPA SQ 847 explainer and school reserves report (both Sept. 15, 2026) and OCPA June 8, 2022 assessor article; corrected OCPA Shelton column date to Nov. 11, 2025 and dropped the reprint link (OCPA page now loads). Oct. 13: added short Has it worked? verdict (worked_brief). Oct. 13: Lincoln Institute attributions removed from descriptions;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38" ht="259" customHeight="1">
      <c r="A38" s="16" t="inlineStr">
        <is>
          <t>Oregon</t>
        </is>
      </c>
      <c r="B38" t="n">
        <v>4</v>
      </c>
      <c r="C38" s="4" t="inlineStr">
        <is>
          <t>Levy limit Yes-&gt;No (the prior cell described the Measure 50 assessment cap; Oregon has no levy growth cap, and Measure 50 replaced the levy-based system with permanent rates). Assessment cap kept Yes with exceptions and the catch-up rule spelled out. Rate limits kept Yes (Measure 5 limits plus permanent rates; bond exclusions added). Truth-in-taxation No-&gt;Partial (Local Budget Law notices, hearings and budget committee cap). Supermajority kept No (the double majority is a turnout rule). November kept Partial, now based on the four statutory election dates and the March/August turnout rule. Homestead Yes-&gt;Partial (prior cell cited ORS 18.395, a creditor homestead statute with $150,000/$300,000 caps, which does not count; replaced with veterans' and active-duty exemptions). Added deferral, State School Fund, compression, local option and urban renewal data and 2025-2026 legislation. Oct. 9 truth-in-taxation review: Partial-&gt;No, measured against the three key requirements in Lincoln Institute's June 2024 survey. Oct. 12 pass: no status recodes (no 2024-2026 law changed Measures 5 or 50; no statewide property tax measure on the Nov. 3, 2026 ballot). Loopholes relabeled; added the 2025 Portland parks levy renewal at a 75% higher rate, the $1.83 billion PPS bond, Metro and Multnomah County income taxes. Reforms updated with 2025 local votes. Added think_tanks (Cascade, CSI Oregon) and grade_suggest F (2.5). Oct. 13 think-tank pass: 7 items (was 2); added four Cascade Policy Institute items (HB 2089 Tyler foreclosure fix, PPS bond, PPS tax rate history, Metro parks levy) and the Taxpayers Association of Oregon SB 712 testimony; CSI Oregon research post type rechecked, none. Oct. 13: added short Has it worked? verdict (worked_brief). Oct. 13: Lincoln Institute attributions removed from descriptions; truth-in-taxation description dropped for a No state (text archived in archive_tnt_no_text_2026-10-13.json). Oct. 13: credits Yes-&gt;Partial (deferral only, coded like North Carolina's deferral). Oct. 19: State subsidies recoded under the direct-payment test (Yes-&gt;Yes): only state money paid on the bill, tied to a rate or levy cut, or reimbursing revenue lost to a state-law exemption or cap counts; general aid, owner refunds and deferrals do not.</t>
        </is>
      </c>
    </row>
    <row r="39" ht="274" customHeight="1">
      <c r="A39" s="16" t="inlineStr">
        <is>
          <t>Pennsylvania</t>
        </is>
      </c>
      <c r="B39" t="n">
        <v>4</v>
      </c>
      <c r="C39" s="4" t="inlineStr">
        <is>
          <t>Levy limit No-&gt;Partial (Act 1 index on school tax rates in every district except Philadelphia; 10% first-year limit after countywide reassessment for other taxing districts). Rate limits No-&gt;Partial (code millage caps for counties, third class cities, boroughs, townships and school districts; home rule governments and Philadelphia exempt; school salary and debt levies outside). Statewide No-&gt;Partial (PURTA, a state tax on utility realty distributed to local taxing authorities). Homestead Partial-&gt;Yes (gaming-funded school homestead and farmstead exclusions, local-option exclusions, Philadelphia's $100,000 exemption, disabled veterans); the original cell did not cite a creditor statute. Truth-in-taxation No-&gt;Partial (budget and exception notices; reassessment-year vote). Rollback Partial-&gt;Yes (53 Pa.C.S. §8823 and Act 1 §327 rollbacks after countywide reassessment). Spending, assessment, supermajority and November kept No. Added Act 1 exception data for 2008-09 through 2026-27, the 2023 rebate expansion, gaming allocations and 2025 bills. Oct. 12 pass: no status recodes (Act 1 index, millage caps, reassessment rollback, homestead exclusions and the Act 7 of 2023 rebate rules confirmed; no later rebate expansion law). Added Philadelphia Tax Year 2027 assessments, LOOP, the July 1, 2026 wage tax rates and Allegheny County's 36% rate increase for 2025; loopholes relabeled; SB 962 status updated. Added think_tanks and grade_suggest D (3.75). Oct. 13 pass: think-tank items added (PA House Republican release on the IFO analysis of SB 962/HB 1649, March 11, 2026; Rep. Fink op-ed, Sept. 15, 2025; no-report lines for Center for Independent Thought and Commonwealth Partners). Removed the Commonwealth Foundation no-report line, which could not be confirmed: its site blocks automated reading. Oct. 13 think-tank pass: 3 items (was 2); added Rep. Frank Ryan's Aug. 30, 2021 House Majority Policy Committee testimony on school property tax elimination; both Fink items rechecked; Commonwealth Foundation site blocks bots (API and feed 403), no items to keep.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40" ht="214" customHeight="1">
      <c r="A40" s="16" t="inlineStr">
        <is>
          <t>Rhode Island</t>
        </is>
      </c>
      <c r="B40" t="n">
        <v>4</v>
      </c>
      <c r="C40" s="4" t="inlineStr">
        <is>
          <t>Spending limit Partial-&gt;No (a levy cap is coded under Levy). Levy limit kept Yes with the six exceptions and the four-fifths override spelled out. Rate limits coded No (the original cell had no status). Homestead corrected (prior cell cited R.I. Gen. Laws 9-26-4.1, a creditor homestead statute) and set to Partial (local option only). Rollback Partial-&gt;No. Added the circuit breaker ($600, indexed), car tax replacement aid and 2025 exceptions. Final consistency pass: rollback No-&gt;Partial (dollar levy cap lowers rates indirectly). Oct. 12 pass: CORRECTION: statewide No-&gt;Partial (state Non-Owner-Occupied Property Tax, R.I. Gen. Laws ch. 44-72, in effect July 1, 2026). Levy cell names the certifying agencies, adds FY2026 special-act exemptions (Providence 8%, Little Compton 12%) and unlimited GO bond levies, and cites the 2025 amendments. Homestead updated to Providence FY2027 owner-occupied rates. Subsidies adds $239.5 million car tax replacement aid (about 8.5% of FY2024 collections). Has it worked rewritten from the Division of Municipal Finance FY2026 cap report, Providence FY2027 rates and PILOTs; unverified Tax Foundation property rank dropped. Reforms through the Nov. 3, 2026 ballot, think tanks and grade suggestion (D) added. Oct. 13 think-tank pass: 7 items (was 3); groups added: RIPEC FY 2026 property tax report, The Ocean State Current (RICFP news bureau), Rhode Island House Republicans, Providence Republican City Committee statement.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41" ht="229" customHeight="1">
      <c r="A41" s="16" t="inlineStr">
        <is>
          <t>South Carolina</t>
        </is>
      </c>
      <c r="B41" t="n">
        <v>4</v>
      </c>
      <c r="C41" s="4" t="inlineStr">
        <is>
          <t>Spending limit Partial-&gt;No. Levy limit No-&gt;Partial (millage cap plus reassessment rollback limit revenue growth indirectly). Assessment and rate limits kept Yes with resets, ratios and override purposes spelled out. Rollback No-&gt;Yes (12-37-251(E) rollback millage). Homestead corrected (prior cell cited S.C. Code 15-41-30, a creditor homestead statute); added Act 388 school operating exemption, $50,000 senior exemption and state reimbursements. Oct. 12 pass: no status recodes (millage cap, 15% reassessment cap and $50,000 senior exemption unchanged; S.768 stalled in House Ways and Means). Subsidies quantified from RFA tables (Homestead Exemption Fund $1.005 billion FY2024; Trust Fund $772.1 million) and Act No. 122 of 2026 manufacturing reimbursement added. TnT cell cites the 6-1-80 budget notice. Has it worked rewritten with Richland County, Columbia and Charleston County items; unverified Tax Foundation property rank dropped. Reforms through the Nov. 3, 2026 ballot, think tanks and grade suggestion (D) added. Oct. 13 think-tank pass: 6 items (was 2 items plus a none-found line); groups added: South Carolina Policy Council Feb. 19, 2026 homestead piece (replaces the none-found line), Tax Foundation 2026 South Carolina page, Palmetto Promise Institute 2025 tax report and 2024 property-or-income piece; manufacturing summary corrected (S.439 as passed by the Senate raised the fund to $370 million; Act No. 122 caps it at $300 million). Oct. 13 correction: FY2026-27 budget proviso 117.220 adds a one-year, state-reimbursed $25,000 to the senior, disabled and blind homestead exemption ($75,000 total). Oct. 13: added short Has it worked? verdict (worked_brief). Oct. 13: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42" ht="229" customHeight="1">
      <c r="A42" s="16" t="inlineStr">
        <is>
          <t>South Dakota</t>
        </is>
      </c>
      <c r="B42" t="n">
        <v>5</v>
      </c>
      <c r="C42" s="4" t="inlineStr">
        <is>
          <t>Spending limit Yes-&gt;No (the prior cell described an assessment limit). Levy limit kept Yes with exclusions and the two-thirds opt-out spelled out. Assessment cap No-&gt;Partial (2025 county-total cap on owner-occupied value, 2027-2031). Supermajority No-&gt;Yes (two-thirds board opt-out). Truth-in-taxation Partial-&gt;No. Rollback Yes-&gt;Partial. Homestead corrected (prior cell cited S.D. Codified Laws 43-45-3, a creditor homestead statute); added 2025 SB 216 and the 2026 sales tax swap. Oct. 12 pass (v2): no status recodes; all 14 codes confirmed. Confirmed no property tax measure on the Nov. 3, 2026 ballot (Mueller repeal amendment never certified; SB 245 referendum petition failed June 29, 2026). Named SB 96 and SB 245 (signed March 12, 2026) in Credits and Subsidies, with SB 245 at about $110 million a year (SDPB) and $547 on a $325,000 home (KOTA). Added SB 85 (failed House 29-39) and HB 1323 (died March 10, 2026), the LRC count of 79 school opt-outs ($43 million), the Sioux Falls $2.1 million opt-out, the Karr-Hansen task force recommendations, think tanks and a grade suggestion. Dropped the unverified Tax Foundation property tax sub-rank. Oct. 13 think-tank pass: 6 items (was 6); added AFP-SD truth-in-taxation call (April 15, 2026); dropped AFP-SD town hall release (page does not mention SB 96; two-per-organization limit); task force line corrected to the release's titles and figures; all URLs rechecked. Oct. 13 think-tank pass: Tax Foundation line restored the 8th-on-property-tax rank, confirmed in Table 6 of the 2026 Index. Oct. 13: added short Has it worked? verdict (worked_brief). Oct. 13: Lincoln Institute attributions removed from descriptions;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43" ht="199" customHeight="1">
      <c r="A43" s="16" t="inlineStr">
        <is>
          <t>Tennessee</t>
        </is>
      </c>
      <c r="B43" t="n">
        <v>5</v>
      </c>
      <c r="C43" s="4" t="inlineStr">
        <is>
          <t>Levy limit Partial-&gt;No (the certified tax rate is coded under Truth-in-taxation and Rollback). Rate limits No-&gt;Partial (special school district rates fixed by the General Assembly). Homestead Yes-&gt;No (prior cell cited Tenn. Code Ann. 26-2-301, a creditor homestead statute); added the state relief program, local freeze and the 2026 Amendment 2. Oct. 12 pass (v2): no status recodes; all 14 codes confirmed. Confirmed Constitutional Amendment #2 (state property tax ban) on the Nov. 3, 2026 ballot on the Secretary of State page and added its Authority line. Added Nashville's 2025 rate ($2.814 per $100), Beacon Center reports (Nov. 12, 2025; Aug. 14, 2026), HB 2607/SB 2002 (2% cap, died in committee, 2026), the 2026 refund-credit law, think tanks and a grade suggestion. Dropped the unverified Tax Foundation property tax sub-rank (8th overall confirmed). Oct. 13 think-tank pass: 8 items (was 4); added Beacon Center 'Taxing 9 to 5' (Oct. 12, 2026) and 'Why Tennessee Doesn't Need a State Property Tax' (March 3, 2026), House Republican Caucus Darby op-ed on Amendment 2 (Oct. 12, 2026), AFP-TN Nashville campaign (April 24, 2025); truth-in-taxation wording in the Nov. 2025 Beacon line aligned with house style; all URLs rechecked. Oct. 13 think-tank pass: Tax Foundation line adds the 32nd-on-property-tax rank (Table 6 of the 2026 Index). Oct. 13: added short Has it worked? verdict (worked_brief). Oct. 13: Lincoln Institute attributions removed from descriptions. Oct. 19: State subsidies recoded under the direct-payment test (Yes-&gt;No): only state money paid on the bill, tied to a rate or levy cut, or reimbursing revenue lost to a state-law exemption or cap counts; general aid, owner refunds and deferrals do not.</t>
        </is>
      </c>
    </row>
    <row r="44" ht="199" customHeight="1">
      <c r="A44" s="16" t="inlineStr">
        <is>
          <t>Texas</t>
        </is>
      </c>
      <c r="B44" t="n">
        <v>5</v>
      </c>
      <c r="C44" s="4" t="inlineStr">
        <is>
          <t>Levy limit kept Yes with the 3.5% voter-approval rate, 8% special units, unused increments and de minimis rate spelled out. Assessment cap kept Yes (10% homestead; temporary 20% non-homestead cap). November kept Partial (tax rate elections in November; bonds in May or November). Supermajority Yes-&gt;Partial (the verified rule is a 60% vote for debt rates above the minimum; elections pass by simple majority). Homestead corrected (prior cell cited Tex. Const. art. XVI §50, the creditor homestead protection); added 2023 and 2025 exemption increases, the failed 2025 SB 10 and 2024 levy data. Oct. 12 pass: CORRECTION: supermajority Partial-&gt;Yes (Tax Code §26.05(b) requires a 60% record vote of the governing body to adopt any rate above the no-new-revenue rate). Assessment cell notes the 20% non-homestead cap expires Dec. 31, 2026 without renewal. Subsidies quantified (about $51.0 billion per biennium, LBB). TNT cell adds the 60% vote. Rewrote Has it worked? (Austin Prop Q and 2026 rate, big-city budget growth, Houston revenue cap, TPPF survey); added think_tanks, 2026 Abbott plan, grade suggestion. Oct. 13 think-tank pass: 8 items (was 4); added TPPF 'Just the Facts: Property Taxes' 4th edition (April 3, 2026) and 'Stop the Steal' (August 2025), AFP-Texas Lone Star Property Tax Reform Council (March 11, 2026), Sen. Bettencourt SB 4/SB 23 release (May 30, 2025); all URLs rechecked.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45" ht="199" customHeight="1">
      <c r="A45" s="16" t="inlineStr">
        <is>
          <t>Utah</t>
        </is>
      </c>
      <c r="B45" t="n">
        <v>5</v>
      </c>
      <c r="C45" s="4" t="inlineStr">
        <is>
          <t>Levy limit coded No (the certified tax rate is coded under Truth-in-taxation and Rollback). Statewide coded Partial (state-set basic school levy). Homestead corrected (prior cell cited Utah Code 78B-5-503, a creditor homestead statute); added the 45% residential exemption, circuit breaker amounts, 2025 enforcement data (35 increases denied) and SB 238 (2026). Oct. 12 pass: CORRECTION: reforms no longer say no Utah measure is on the Nov. 3, 2026 ballot; Constitutional Amendment B (SJR 2, 2025) would require 60% voter approval for tax-raising citizen initiatives, including property tax rate changes (noted in supermajority, status kept No). TNT cell: enactment year corrected to 1985 (ALEC) and HB 236 (2026) added. Rewrote Has it worked? with 2026 hearing list (79 entities, about $93.6 million), Salt Lake City and Granite School District, HB 425 fee; added think_tanks, 2026 bills (HB 236, HB 425, HB 170 failed) and grade suggestion. No status code changed. Oct. 13 think-tank pass: 9 items (was 3, plus 3 silent-group lines); groups added: Libertas Institute (SB 29, 2024; senior deferral op-ed, 2022; replaces its no-report line), National Taxpayers Union (2025), Utah Taxpayers Association (2026 hearing list; June 2025 president's message), Utah House majority op-ed on HB 236 (2026); reordered newest first. Oct. 13: added short Has it worked? verdict (worked_brief). Oct. 13: Lincoln Institute attributions removed from descriptions; rate authority now cites Utah Code §59-2-908. Oct. 19: State subsidies recoded under the direct-payment test (Partial-&gt;Partial): only state money paid on the bill, tied to a rate or levy cut, or reimbursing revenue lost to a state-law exemption or cap counts; general aid, owner refunds and deferrals do not.</t>
        </is>
      </c>
    </row>
    <row r="46" ht="199" customHeight="1">
      <c r="A46" s="16" t="inlineStr">
        <is>
          <t>Vermont</t>
        </is>
      </c>
      <c r="B46" t="n">
        <v>5</v>
      </c>
      <c r="C46" s="4" t="inlineStr">
        <is>
          <t>Spending limit No-&gt;Partial (Act 73 cap on supplemental school spending, contingent from July 1, 2028). Statewide tax kept Yes and described (state education tax replaces local school taxes; $1.24 billion in FY2022). Homestead kept Partial; the prior cell's citation (32 V.S.A. 6606) was not verified and was replaced. Added the property tax credit amounts, FY2027 rate forecast and FY2026 buy-down. Oct. 12 pass: CORRECTION: spending and schools cells said the Act 73 cap was 5% from July 1, 2028; Act 170 of 2026 (H.955) delayed it to July 1, 2029, made it contingent on 2027-2028 legislation and set it at 10% falling to 5% in 2038-39. Both cells stay Partial, now resting on the excess spending threshold (32 V.S.A. 5401(12), 118% of the statewide average). Added Act 169 of 2026 (FY2027 yields, $1.643 nonhomestead rate, $104.9 million buy-down, circuit breaker update), credit income limit, Nov. 3, 2026 ballot (Proposals 3 and 4, no property tax measure), think tanks and grade suggestion. Rewrote Has it worked?, reforms and notes. Oct. 13 think-tank pass: 7 items (was 3); groups added: Fiscal Alliance Foundation poll (Sept. 2026), Americans for Prosperity (Jan. 2026), Senate and House Republican leaders (Dec. 2025), Tax Foundation 2026 Index. Oct. 13: added short Has it worked? verdict (worked_brief). Oct. 13: truth-in-taxation description dropped for a No state (text archived in archive_tnt_no_text_2026-10-13.json). Oct. 19: State subsidies recoded under the direct-payment test (Yes-&gt;Yes): only state money paid on the bill, tied to a rate or levy cut, or reimbursing revenue lost to a state-law exemption or cap counts; general aid, owner refunds and deferrals do not.</t>
        </is>
      </c>
    </row>
    <row r="47" ht="184" customHeight="1">
      <c r="A47" s="16" t="inlineStr">
        <is>
          <t>Virginia</t>
        </is>
      </c>
      <c r="B47" t="n">
        <v>5</v>
      </c>
      <c r="C47" s="4" t="inlineStr">
        <is>
          <t>Truth-in-taxation kept Yes with the 1% trigger, 101% rollback and separate hearing spelled out. Rollback No-&gt;Yes (the 101% rule is an automatic rate cut unless a hearing is held). Homestead Yes-&gt;Partial (prior cell cited Va. Code 34-4, the creditor homestead exemption; replaced with the disabled veteran exemption and local senior relief). Subsidies added (PPTRA, $950 million a year). Oct. 12 pass: No status recodes. Confirmed Va. Code 58.1-3321 in force (last amended 2024, no 2025-2026 change) and added notice details; homestead cell updated for the Nov. 5, 2024 line-of-duty surviving-spouse amendment. Added Nov. 3, 2026 ballot (three non-tax amendments; at least 36 local 1% school sales tax referenda), Fairfax and Prince William FY2027 rate holds, think tanks and grade suggestion. Rewrote Has it worked?, reforms and notes. Oct. 13 pass: think-tank items added (Thomas Jefferson Institute on the proposed car tax credit, Dec. 19, 2024). Oct. 13 think-tank pass: 6 items (was 4); added two 2026 Jefferson Forum items on data center property tax revenue and the House Republican car tax agenda; dropped the Jefferson Forum no-report line (the Thomas Jefferson Institute merged into the Jefferson Forum in 2026). Oct. 13: added short Has it worked? verdict (worked_brief). Oct. 19: State subsidies recoded under the direct-payment test (Yes-&gt;Yes): only state money paid on the bill, tied to a rate or levy cut, or reimbursing revenue lost to a state-law exemption or cap counts; general aid, owner refunds and deferrals do not.</t>
        </is>
      </c>
    </row>
    <row r="48" ht="229" customHeight="1">
      <c r="A48" s="16" t="inlineStr">
        <is>
          <t>Washington</t>
        </is>
      </c>
      <c r="B48" t="n">
        <v>5</v>
      </c>
      <c r="C48" s="4" t="inlineStr">
        <is>
          <t>Levy limit kept Yes with banked capacity, lid lifts and the failed 2025 HB 2049 spelled out. Rate limits kept Yes (1% constitutional and $5.90 statutory limits). Statewide kept Yes (state school levy, about $4.4 billion). Supermajority No-&gt;Yes (60% with 40% validation for excess levies and bonds). Rollback No-&gt;Partial. Homestead Yes-&gt;Partial (prior cell cited RCW 6.13.030, the creditor homestead exemption; replaced with the senior and disabled exemption). Final consistency pass: homestead Partial-&gt;Yes (statewide exemption for a broad class such as seniors or disabled owners). Oct. 12 pass: no status recodes. Levy, schools, statewide and homestead cells updated for ESHB 2049 (chapter 404, Laws of 2025, enacted without the 3% levy limit change, raised school enrichment levy caps) and ESSB 6162 (chapter 163, Laws of 2026, wider senior and disabled exemption for 2027, merged state school levy). Homestead veteran eligibility corrected to 80% or more service-connected rating. Credits text trimmed. Has it worked? rewritten with the Seattle levy record ($133 million in 2014 to $570 million in 2026; $480 million library levy Aug. 4, 2026). Added think_tanks (1 item, 2 no-report lines) and grade suggestion D. Oct. 13 pass: think-tank items added (Washington Policy Center on HB 1334, Jan. 23, 2025; Citizen Action Defense Fund no-report line). Oct. 13 think-tank pass: 8 items (was 5); added House Republican tax tallies (Jan. 22 and March 18, 2026), the Senate Republican Caucus on HB 2049 (April 21, 2025), Citizen Action Defense Fund and Mountain States Policy Center items that replace their no-report lines. Oct. 13: added short Has it worked? verdict (worked_brief). Oct. 13: truth-in-taxation description dropped for a No state (text archived in archive_tnt_no_text_2026-10-13.json). Oct. 19: State subsidies recoded under the direct-payment test (Partial-&gt;No): only state money paid on the bill, tied to a rate or levy cut, or reimbursing revenue lost to a state-law exemption or cap counts; general aid, owner refunds and deferrals do not.</t>
        </is>
      </c>
    </row>
    <row r="49" ht="214" customHeight="1">
      <c r="A49" s="16" t="inlineStr">
        <is>
          <t>West Virginia</t>
        </is>
      </c>
      <c r="B49" t="n">
        <v>5</v>
      </c>
      <c r="C49" s="4" t="inlineStr">
        <is>
          <t>Levy limit No-&gt;Yes (101% reappraisal rollback with a 10% hard ceiling after hearing, W. Va. Code 11-8-6e). Rate limits kept Yes with class caps spelled out. Supermajority Partial-&gt;Yes (60% for excess levies and bonds). Homestead corrected (prior cell cited W. Va. Code 38-10-4, a creditor homestead statute); added the $20,000 senior and disabled exemption and income tax credits. Oct. 12 pass: CORRECTION: supermajority Yes-&gt;Partial (school excess levies and school bonds need only a simple majority under W. Va. Const. art. X §10; county and municipal excess levies need 60% and run up to five years under art. X §§1, 11). CORRECTION: schools text said excess school levies need 60%; corrected to simple majority, up to 100% of maximum rates, and added the regular school levy rollback (§11-8-6f). Levy and rollback updated for SB 167 (chapter 240, Acts 2026). Credits expanded (small business 50% and disabled veteran credits). Subsidies: vehicle credit about $140 million a year, about 6.3% of FY2024 collections. Has it worked? rewritten (42 of 55 counties with school excess levies; Kanawha; Morgantown). Reforms: 2025-2026 bills and Nov. 3, 2026 ballot. Added think_tanks (2 Cardinal items) and grade suggestion C. Oct. 13 think-tank pass: 9 items (was 2); groups added: Tax Foundation (3 items, 2022-2024), Americans for Prosperity-West Virginia (2), West Virginia Senate Republican leadership (2023 relief plan); Cardinal Institute 2026 school funding one-pager added; both existing Cardinal items verified. Oct. 13: added short Has it worked? verdict (worked_brief). Oct. 13: Lincoln Institute attributions removed from descriptions. Oct. 19: State subsidies recoded under the direct-payment test (Yes-&gt;Yes): only state money paid on the bill, tied to a rate or levy cut, or reimbursing revenue lost to a state-law exemption or cap counts; general aid, owner refunds and deferrals do not.</t>
        </is>
      </c>
    </row>
    <row r="50" ht="214" customHeight="1">
      <c r="A50" s="16" t="inlineStr">
        <is>
          <t>Wisconsin</t>
        </is>
      </c>
      <c r="B50" t="n">
        <v>5</v>
      </c>
      <c r="C50" s="4" t="inlineStr">
        <is>
          <t>Spending limit kept Partial (school revenue limits; the $325 veto). Levy limit kept Yes with the net new construction rule, carryforward votes and fee-shift rule spelled out. Rate limits kept Partial (county 1992 rate freeze; technical college 1.5 mills). Homestead Yes-&gt;No (prior cell cited Wis. Stat. 815.20, the creditor homestead exemption; the uniformity clause bars a property tax homestead exemption). Truth-in-taxation Partial-&gt;No. Rollback No-&gt;Partial. Added state credits ($1.275 billion school levy credit) and 2024 referendum data. Oct. 12 pass: no status recodes. Levy cell adds the 1.5% maximum for carried-forward capacity (Wis. Stat. 66.0602(3)(f)3). Spending cites LeMieux v. Evers (4-3, April 18, 2025). Has it worked? rewritten (2024 and April 2026 referenda, MPS $252 million, veto escalator, TIF). Reforms: MPS 2024, LeMieux, failed May 2026 tax deal, Nov. 3, 2026 Question 1 (partial veto on taxes and fees). Added think_tanks (3 items) and grade suggestion C. Oct. 13 think-tank pass: 11 items (was 3), plus a no-report line for the Lucy Burns Institute; groups added: Wisconsin Institute for Law &amp; Liberty (2), MacIver Institute (1), Americans for Prosperity-Wisconsin (1), Senate President Felzkowski (2025 release); added Badger Institute Jan. 21 and Feb. 19, 2026 items and IRG Feb. 5, 2025 Act 10 primer; all 3 existing items verified. Oct. 13: added short Has it worked? verdict (worked_brief). Oct. 13: Lincoln Institute attributions removed from descriptions; truth-in-taxation description dropped for a No state (text archived in archive_tnt_no_text_2026-10-13.json). Oct. 13: Lincoln Institute attribution removed from the analyses column. Oct. 19: State subsidies recoded under the direct-payment test (Yes-&gt;Yes): only state money paid on the bill, tied to a rate or levy cut, or reimbursing revenue lost to a state-law exemption or cap counts; general aid, owner refunds and deferrals do not.</t>
        </is>
      </c>
    </row>
    <row r="51" ht="244" customHeight="1">
      <c r="A51" s="16" t="inlineStr">
        <is>
          <t>Wyoming</t>
        </is>
      </c>
      <c r="B51" t="n">
        <v>5</v>
      </c>
      <c r="C51" s="4" t="inlineStr">
        <is>
          <t>Spending limit Yes-&gt;No (the prior cell described a balanced-budget rule, which does not count). Assessment cap kept Yes (4% residential cap) with the 2025 exemptions added. Statewide No-&gt;Yes (12-mill state school levy). Rollback Partial-&gt;No (the 4% cap is coded as an assessment cap). Homestead corrected (prior cell cited Wyo. Stat. 1-20-101, a creditor homestead statute); added SF 69, the long-term homeowner exemption, the refund program and Initiative 1. Oct. 12 pass: no status recodes. Assessment cell names HB 45 (2024, Enrolled Act 54) for the 4% cap (structures from 2024, land from 2025; full value after a sale) and SF 69 (2025, Enrolled Act 60), and adds the 2026 Board of Equalization challenge and the June 19, 2026 court order. Has it worked? rewritten. Reforms: 2026 session (7 of 16 property tax bills failed introduction, including SJ 3 and SF 78; HJ 4), cap litigation, CSI ranking, Nov. 3, 2026 Initiative 1 confirmed. Added think_tanks (3 lines) and grade suggestion D. Oct. 13 think-tank pass: 9 items plus 1 no-report line (was 2 items plus 1 no-report line); groups added: Mountain States Policy Center (Initiative 1 study, Oct. 6, 2026; April 3, 2025 post), replacing its incorrect no-report line; Wyoming Taxpayers Association (opposes Initiative 1); Republican Party of Wyoming (backs Initiative 1); Wyoming Freedom Caucus; Tax Foundation (2024 Amendment A); Wyoming Liberty Group SF 39 item; AFP-Wyoming no-report line. HJ 4 item adds WLG's verdict. Oct. 13 correction: long-term homeowner exemption made permanent by HB 45 (2026; 50% of fair market value on the first $3 million); Initiative 1 described as an exemption on the dwelling, per the ballot language. Oct. 13: added short Has it worked? verdict (worked_brief). Oct. 13: truth-in-taxation description dropped for a No state (text archived in archive_tnt_no_text_2026-10-13.json). Oct. 13: Lincoln Institute attribution removed from the rate cell. Oct. 19: State subsidies recoded under the direct-payment test (Partial-&gt;Partial): only state money paid on the bill, tied to a rate or levy cut, or reimbursing revenue lost to a state-law exemption or cap counts; general aid, owner refunds and deferrals do not.</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2026-06-01T20:12:00Z</dcterms:created>
  <dcterms:modified xmlns:dcterms="http://purl.org/dc/terms/" xmlns:xsi="http://www.w3.org/2001/XMLSchema-instance" xsi:type="dcterms:W3CDTF">2026-10-21T15:51:36Z</dcterms:modified>
</cp:coreProperties>
</file>